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tter/Desktop/ИПС/"/>
    </mc:Choice>
  </mc:AlternateContent>
  <xr:revisionPtr revIDLastSave="0" documentId="13_ncr:1_{D8E148D7-0E8A-2946-895B-B0F121AB8283}" xr6:coauthVersionLast="47" xr6:coauthVersionMax="47" xr10:uidLastSave="{00000000-0000-0000-0000-000000000000}"/>
  <bookViews>
    <workbookView xWindow="4100" yWindow="6420" windowWidth="14680" windowHeight="16760" activeTab="1" xr2:uid="{60217F7C-A1E7-CB4D-B6AC-722EFB92C368}"/>
  </bookViews>
  <sheets>
    <sheet name="Таблица с параметрами" sheetId="1" r:id="rId1"/>
    <sheet name="Общая таблица" sheetId="20" r:id="rId2"/>
    <sheet name="Индекс промышленного производст" sheetId="2" r:id="rId3"/>
    <sheet name="Оборот розничной торговли" sheetId="3" r:id="rId4"/>
    <sheet name="Реальная среднемесячная заработ" sheetId="4" r:id="rId5"/>
    <sheet name="Грузооборот транспорта" sheetId="5" r:id="rId6"/>
    <sheet name="Объем платных услуг населению" sheetId="6" r:id="rId7"/>
    <sheet name="Уровень безработицы по методоло" sheetId="7" r:id="rId8"/>
    <sheet name="CPI (инфляция)" sheetId="8" r:id="rId9"/>
    <sheet name="БИПЦ" sheetId="9" r:id="rId10"/>
    <sheet name="Индекс цен производителей промы" sheetId="10" r:id="rId11"/>
    <sheet name="Ключевая ставка" sheetId="11" r:id="rId12"/>
    <sheet name="Денежная масса М2" sheetId="12" r:id="rId13"/>
    <sheet name="Кредит нефинансовым организация" sheetId="13" r:id="rId14"/>
    <sheet name="Кредит населению" sheetId="14" r:id="rId15"/>
    <sheet name="Курс USD к RUB" sheetId="15" r:id="rId16"/>
    <sheet name="Международные резервы" sheetId="16" r:id="rId17"/>
    <sheet name="Экспорт товаров" sheetId="17" r:id="rId18"/>
    <sheet name="Импорт товаров" sheetId="18" r:id="rId19"/>
    <sheet name="Лист19" sheetId="19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EC9" i="4"/>
  <c r="ED9" i="4"/>
  <c r="EE9" i="4"/>
  <c r="D9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F8" i="4"/>
  <c r="DG8" i="4"/>
  <c r="DH8" i="4"/>
  <c r="DI8" i="4"/>
  <c r="DJ8" i="4"/>
  <c r="DK8" i="4"/>
  <c r="DL8" i="4"/>
  <c r="DM8" i="4"/>
  <c r="DN8" i="4"/>
  <c r="DO8" i="4"/>
  <c r="DP8" i="4"/>
  <c r="DQ8" i="4"/>
  <c r="DR8" i="4"/>
  <c r="DS8" i="4"/>
  <c r="DT8" i="4"/>
  <c r="DU8" i="4"/>
  <c r="DV8" i="4"/>
  <c r="DW8" i="4"/>
  <c r="DX8" i="4"/>
  <c r="DY8" i="4"/>
  <c r="DZ8" i="4"/>
  <c r="EA8" i="4"/>
  <c r="EB8" i="4"/>
  <c r="EC8" i="4"/>
  <c r="ED8" i="4"/>
  <c r="EE8" i="4"/>
  <c r="D8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7" i="4"/>
  <c r="F7" i="4"/>
  <c r="G7" i="4"/>
  <c r="H7" i="4"/>
  <c r="I7" i="4"/>
  <c r="J7" i="4"/>
  <c r="K7" i="4"/>
  <c r="L7" i="4"/>
  <c r="D7" i="4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110" i="19"/>
  <c r="I111" i="19"/>
  <c r="I112" i="19"/>
  <c r="I113" i="19"/>
  <c r="I114" i="19"/>
  <c r="I115" i="19"/>
  <c r="I116" i="19"/>
  <c r="I117" i="19"/>
  <c r="I118" i="19"/>
  <c r="I119" i="19"/>
  <c r="I120" i="19"/>
  <c r="I121" i="19"/>
  <c r="I122" i="19"/>
  <c r="I123" i="19"/>
  <c r="I124" i="19"/>
  <c r="I125" i="19"/>
  <c r="I126" i="19"/>
  <c r="I127" i="19"/>
  <c r="I128" i="19"/>
  <c r="I129" i="19"/>
  <c r="I130" i="19"/>
  <c r="I131" i="19"/>
  <c r="I132" i="19"/>
  <c r="I133" i="19"/>
  <c r="I2" i="19"/>
  <c r="H2" i="19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104" i="19"/>
  <c r="H105" i="19"/>
  <c r="H106" i="19"/>
  <c r="H107" i="19"/>
  <c r="H108" i="19"/>
  <c r="H109" i="19"/>
  <c r="H110" i="19"/>
  <c r="H111" i="19"/>
  <c r="H112" i="19"/>
  <c r="H113" i="19"/>
  <c r="H114" i="19"/>
  <c r="H115" i="19"/>
  <c r="H116" i="19"/>
  <c r="H117" i="19"/>
  <c r="H118" i="19"/>
  <c r="H119" i="19"/>
  <c r="H120" i="19"/>
  <c r="H121" i="19"/>
  <c r="H122" i="19"/>
  <c r="H123" i="19"/>
  <c r="H124" i="19"/>
  <c r="H125" i="19"/>
  <c r="H126" i="19"/>
  <c r="H127" i="19"/>
  <c r="H128" i="19"/>
  <c r="H129" i="19"/>
  <c r="H130" i="19"/>
  <c r="H131" i="19"/>
  <c r="H132" i="19"/>
  <c r="H133" i="19"/>
  <c r="H1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2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253" i="19"/>
  <c r="C254" i="19"/>
  <c r="C255" i="19"/>
  <c r="C256" i="19"/>
  <c r="C257" i="19"/>
  <c r="C258" i="19"/>
  <c r="C259" i="19"/>
  <c r="C260" i="19"/>
  <c r="C261" i="19"/>
  <c r="C262" i="19"/>
  <c r="C263" i="19"/>
  <c r="C264" i="19"/>
  <c r="C265" i="19"/>
  <c r="C266" i="19"/>
  <c r="C267" i="19"/>
  <c r="C268" i="19"/>
  <c r="C269" i="19"/>
  <c r="C270" i="19"/>
  <c r="C271" i="19"/>
  <c r="C272" i="19"/>
  <c r="C273" i="19"/>
  <c r="C274" i="19"/>
  <c r="C275" i="19"/>
  <c r="C276" i="19"/>
  <c r="C277" i="19"/>
  <c r="C278" i="19"/>
  <c r="C279" i="19"/>
  <c r="C280" i="19"/>
  <c r="C281" i="19"/>
  <c r="C282" i="19"/>
  <c r="C283" i="19"/>
  <c r="C284" i="19"/>
  <c r="C285" i="19"/>
  <c r="C286" i="19"/>
  <c r="C287" i="19"/>
  <c r="C288" i="19"/>
  <c r="C289" i="19"/>
  <c r="C290" i="19"/>
  <c r="C291" i="19"/>
  <c r="C292" i="19"/>
  <c r="C293" i="19"/>
  <c r="C294" i="19"/>
  <c r="C295" i="19"/>
  <c r="C296" i="19"/>
  <c r="C297" i="19"/>
  <c r="C298" i="19"/>
  <c r="C299" i="19"/>
  <c r="C300" i="19"/>
  <c r="C301" i="19"/>
  <c r="C302" i="19"/>
  <c r="C303" i="19"/>
  <c r="C304" i="19"/>
  <c r="C305" i="19"/>
  <c r="C306" i="19"/>
  <c r="C307" i="19"/>
  <c r="C308" i="19"/>
  <c r="C309" i="19"/>
  <c r="C310" i="19"/>
  <c r="C311" i="19"/>
  <c r="C312" i="19"/>
  <c r="C313" i="19"/>
  <c r="C314" i="19"/>
  <c r="C315" i="19"/>
  <c r="C316" i="19"/>
  <c r="C317" i="19"/>
  <c r="C318" i="19"/>
  <c r="C319" i="19"/>
  <c r="C320" i="19"/>
  <c r="C321" i="19"/>
  <c r="C322" i="19"/>
  <c r="C323" i="19"/>
  <c r="C324" i="19"/>
  <c r="C325" i="19"/>
  <c r="C326" i="19"/>
  <c r="C327" i="19"/>
  <c r="C328" i="19"/>
  <c r="C329" i="19"/>
  <c r="C330" i="19"/>
  <c r="C331" i="19"/>
  <c r="C332" i="19"/>
  <c r="C333" i="19"/>
  <c r="C334" i="19"/>
  <c r="C335" i="19"/>
  <c r="C336" i="19"/>
  <c r="C337" i="19"/>
  <c r="C338" i="19"/>
  <c r="C339" i="19"/>
  <c r="C340" i="19"/>
  <c r="C341" i="19"/>
  <c r="C342" i="19"/>
  <c r="C343" i="19"/>
  <c r="C344" i="19"/>
  <c r="C345" i="19"/>
  <c r="C346" i="19"/>
  <c r="C347" i="19"/>
  <c r="C348" i="19"/>
  <c r="C349" i="19"/>
  <c r="C350" i="19"/>
  <c r="C351" i="19"/>
  <c r="C352" i="19"/>
  <c r="C353" i="19"/>
  <c r="C354" i="19"/>
  <c r="C355" i="19"/>
  <c r="C356" i="19"/>
  <c r="C357" i="19"/>
  <c r="C358" i="19"/>
  <c r="C359" i="19"/>
  <c r="C360" i="19"/>
  <c r="C361" i="19"/>
  <c r="C362" i="19"/>
  <c r="C363" i="19"/>
  <c r="C364" i="19"/>
  <c r="C365" i="19"/>
  <c r="C366" i="19"/>
  <c r="C367" i="19"/>
  <c r="C368" i="19"/>
  <c r="C369" i="19"/>
  <c r="C370" i="19"/>
  <c r="C371" i="19"/>
  <c r="C372" i="19"/>
  <c r="C373" i="19"/>
  <c r="C374" i="19"/>
  <c r="C375" i="19"/>
  <c r="C376" i="19"/>
  <c r="C377" i="19"/>
  <c r="C378" i="19"/>
  <c r="C379" i="19"/>
  <c r="C380" i="19"/>
  <c r="C381" i="19"/>
  <c r="C382" i="19"/>
  <c r="C383" i="19"/>
  <c r="C384" i="19"/>
  <c r="C385" i="19"/>
  <c r="C386" i="19"/>
  <c r="C387" i="19"/>
  <c r="C388" i="19"/>
  <c r="C389" i="19"/>
  <c r="C390" i="19"/>
  <c r="C391" i="19"/>
  <c r="C392" i="19"/>
  <c r="C393" i="19"/>
  <c r="C394" i="19"/>
  <c r="C395" i="19"/>
  <c r="C396" i="19"/>
  <c r="C397" i="19"/>
  <c r="C398" i="19"/>
  <c r="C399" i="19"/>
  <c r="C400" i="19"/>
  <c r="C401" i="19"/>
  <c r="C402" i="19"/>
  <c r="C403" i="19"/>
  <c r="C404" i="19"/>
  <c r="C405" i="19"/>
  <c r="C406" i="19"/>
  <c r="C407" i="19"/>
  <c r="C408" i="19"/>
  <c r="C409" i="19"/>
  <c r="C410" i="19"/>
  <c r="C411" i="19"/>
  <c r="C412" i="19"/>
  <c r="C413" i="19"/>
  <c r="C414" i="19"/>
  <c r="C415" i="19"/>
  <c r="C416" i="19"/>
  <c r="C417" i="19"/>
  <c r="C418" i="19"/>
  <c r="C419" i="19"/>
  <c r="C420" i="19"/>
  <c r="C421" i="19"/>
  <c r="C422" i="19"/>
  <c r="C423" i="19"/>
  <c r="C424" i="19"/>
  <c r="C425" i="19"/>
  <c r="C426" i="19"/>
  <c r="C427" i="19"/>
  <c r="C428" i="19"/>
  <c r="C429" i="19"/>
  <c r="C430" i="19"/>
  <c r="C431" i="19"/>
  <c r="C432" i="19"/>
  <c r="C433" i="19"/>
  <c r="C434" i="19"/>
  <c r="C435" i="19"/>
  <c r="C436" i="19"/>
  <c r="C437" i="19"/>
  <c r="C438" i="19"/>
  <c r="C439" i="19"/>
  <c r="C440" i="19"/>
  <c r="C441" i="19"/>
  <c r="C442" i="19"/>
  <c r="C443" i="19"/>
  <c r="C444" i="19"/>
  <c r="C445" i="19"/>
  <c r="C446" i="19"/>
  <c r="C447" i="19"/>
  <c r="C448" i="19"/>
  <c r="C449" i="19"/>
  <c r="C450" i="19"/>
  <c r="C451" i="19"/>
  <c r="C452" i="19"/>
  <c r="C453" i="19"/>
  <c r="C454" i="19"/>
  <c r="C455" i="19"/>
  <c r="C456" i="19"/>
  <c r="C457" i="19"/>
  <c r="C458" i="19"/>
  <c r="C459" i="19"/>
  <c r="C460" i="19"/>
  <c r="C461" i="19"/>
  <c r="C462" i="19"/>
  <c r="C463" i="19"/>
  <c r="C464" i="19"/>
  <c r="C465" i="19"/>
  <c r="C466" i="19"/>
  <c r="C467" i="19"/>
  <c r="C468" i="19"/>
  <c r="C469" i="19"/>
  <c r="C470" i="19"/>
  <c r="C471" i="19"/>
  <c r="C472" i="19"/>
  <c r="C473" i="19"/>
  <c r="C474" i="19"/>
  <c r="C475" i="19"/>
  <c r="C476" i="19"/>
  <c r="C477" i="19"/>
  <c r="C478" i="19"/>
  <c r="C479" i="19"/>
  <c r="C480" i="19"/>
  <c r="C481" i="19"/>
  <c r="C482" i="19"/>
  <c r="C483" i="19"/>
  <c r="C484" i="19"/>
  <c r="C485" i="19"/>
  <c r="C486" i="19"/>
  <c r="C487" i="19"/>
  <c r="C488" i="19"/>
  <c r="C489" i="19"/>
  <c r="C490" i="19"/>
  <c r="C491" i="19"/>
  <c r="C492" i="19"/>
  <c r="C493" i="19"/>
  <c r="C494" i="19"/>
  <c r="C495" i="19"/>
  <c r="C496" i="19"/>
  <c r="C497" i="19"/>
  <c r="C498" i="19"/>
  <c r="C499" i="19"/>
  <c r="C500" i="19"/>
  <c r="C501" i="19"/>
  <c r="C502" i="19"/>
  <c r="C503" i="19"/>
  <c r="C504" i="19"/>
  <c r="C505" i="19"/>
  <c r="C506" i="19"/>
  <c r="C507" i="19"/>
  <c r="C508" i="19"/>
  <c r="C509" i="19"/>
  <c r="C510" i="19"/>
  <c r="C511" i="19"/>
  <c r="C512" i="19"/>
  <c r="C513" i="19"/>
  <c r="C514" i="19"/>
  <c r="C515" i="19"/>
  <c r="C516" i="19"/>
  <c r="C517" i="19"/>
  <c r="C518" i="19"/>
  <c r="C519" i="19"/>
  <c r="C520" i="19"/>
  <c r="C521" i="19"/>
  <c r="C522" i="19"/>
  <c r="C523" i="19"/>
  <c r="C524" i="19"/>
  <c r="C525" i="19"/>
  <c r="C526" i="19"/>
  <c r="C527" i="19"/>
  <c r="C528" i="19"/>
  <c r="C529" i="19"/>
  <c r="C530" i="19"/>
  <c r="C531" i="19"/>
  <c r="C532" i="19"/>
  <c r="C533" i="19"/>
  <c r="C534" i="19"/>
  <c r="C535" i="19"/>
  <c r="C536" i="19"/>
  <c r="C537" i="19"/>
  <c r="C538" i="19"/>
  <c r="C539" i="19"/>
  <c r="C540" i="19"/>
  <c r="C541" i="19"/>
  <c r="C542" i="19"/>
  <c r="C543" i="19"/>
  <c r="C544" i="19"/>
  <c r="C545" i="19"/>
  <c r="C546" i="19"/>
  <c r="C547" i="19"/>
  <c r="C548" i="19"/>
  <c r="C549" i="19"/>
  <c r="C550" i="19"/>
  <c r="C551" i="19"/>
  <c r="C552" i="19"/>
  <c r="C553" i="19"/>
  <c r="C554" i="19"/>
  <c r="C555" i="19"/>
  <c r="C556" i="19"/>
  <c r="C557" i="19"/>
  <c r="C558" i="19"/>
  <c r="C559" i="19"/>
  <c r="C560" i="19"/>
  <c r="C561" i="19"/>
  <c r="C562" i="19"/>
  <c r="C563" i="19"/>
  <c r="C564" i="19"/>
  <c r="C565" i="19"/>
  <c r="C566" i="19"/>
  <c r="C567" i="19"/>
  <c r="C568" i="19"/>
  <c r="C569" i="19"/>
  <c r="C570" i="19"/>
  <c r="C571" i="19"/>
  <c r="C572" i="19"/>
  <c r="C573" i="19"/>
  <c r="C574" i="19"/>
  <c r="C575" i="19"/>
  <c r="C576" i="19"/>
  <c r="C577" i="19"/>
  <c r="C578" i="19"/>
  <c r="C579" i="19"/>
  <c r="C580" i="19"/>
  <c r="C581" i="19"/>
  <c r="C582" i="19"/>
  <c r="C583" i="19"/>
  <c r="C584" i="19"/>
  <c r="C585" i="19"/>
  <c r="C586" i="19"/>
  <c r="C587" i="19"/>
  <c r="C588" i="19"/>
  <c r="C589" i="19"/>
  <c r="C590" i="19"/>
  <c r="C591" i="19"/>
  <c r="C592" i="19"/>
  <c r="C593" i="19"/>
  <c r="C594" i="19"/>
  <c r="C595" i="19"/>
  <c r="C596" i="19"/>
  <c r="C597" i="19"/>
  <c r="C598" i="19"/>
  <c r="C599" i="19"/>
  <c r="C600" i="19"/>
  <c r="C601" i="19"/>
  <c r="C602" i="19"/>
  <c r="C603" i="19"/>
  <c r="C604" i="19"/>
  <c r="C605" i="19"/>
  <c r="C606" i="19"/>
  <c r="C607" i="19"/>
  <c r="C608" i="19"/>
  <c r="C609" i="19"/>
  <c r="C610" i="19"/>
  <c r="C611" i="19"/>
  <c r="C612" i="19"/>
  <c r="C613" i="19"/>
  <c r="C614" i="19"/>
  <c r="C615" i="19"/>
  <c r="C616" i="19"/>
  <c r="C617" i="19"/>
  <c r="C618" i="19"/>
  <c r="C619" i="19"/>
  <c r="C620" i="19"/>
  <c r="C621" i="19"/>
  <c r="C622" i="19"/>
  <c r="C623" i="19"/>
  <c r="C624" i="19"/>
  <c r="C625" i="19"/>
  <c r="C626" i="19"/>
  <c r="C627" i="19"/>
  <c r="C628" i="19"/>
  <c r="C629" i="19"/>
  <c r="C630" i="19"/>
  <c r="C631" i="19"/>
  <c r="C632" i="19"/>
  <c r="C633" i="19"/>
  <c r="C634" i="19"/>
  <c r="C635" i="19"/>
  <c r="C636" i="19"/>
  <c r="C637" i="19"/>
  <c r="C638" i="19"/>
  <c r="C639" i="19"/>
  <c r="C640" i="19"/>
  <c r="C641" i="19"/>
  <c r="C642" i="19"/>
  <c r="C643" i="19"/>
  <c r="C644" i="19"/>
  <c r="C645" i="19"/>
  <c r="C646" i="19"/>
  <c r="C647" i="19"/>
  <c r="C648" i="19"/>
  <c r="C649" i="19"/>
  <c r="C650" i="19"/>
  <c r="C651" i="19"/>
  <c r="C652" i="19"/>
  <c r="C653" i="19"/>
  <c r="C654" i="19"/>
  <c r="C655" i="19"/>
  <c r="C656" i="19"/>
  <c r="C657" i="19"/>
  <c r="C658" i="19"/>
  <c r="C659" i="19"/>
  <c r="C660" i="19"/>
  <c r="C661" i="19"/>
  <c r="C662" i="19"/>
  <c r="C663" i="19"/>
  <c r="C664" i="19"/>
  <c r="C665" i="19"/>
  <c r="C666" i="19"/>
  <c r="C667" i="19"/>
  <c r="C668" i="19"/>
  <c r="C669" i="19"/>
  <c r="C670" i="19"/>
  <c r="C671" i="19"/>
  <c r="C672" i="19"/>
  <c r="C673" i="19"/>
  <c r="C674" i="19"/>
  <c r="C675" i="19"/>
  <c r="C676" i="19"/>
  <c r="C677" i="19"/>
  <c r="C678" i="19"/>
  <c r="C679" i="19"/>
  <c r="C680" i="19"/>
  <c r="C681" i="19"/>
  <c r="C682" i="19"/>
  <c r="C683" i="19"/>
  <c r="C684" i="19"/>
  <c r="C685" i="19"/>
  <c r="C686" i="19"/>
  <c r="C687" i="19"/>
  <c r="C688" i="19"/>
  <c r="C689" i="19"/>
  <c r="C690" i="19"/>
  <c r="C691" i="19"/>
  <c r="C692" i="19"/>
  <c r="C693" i="19"/>
  <c r="C694" i="19"/>
  <c r="C695" i="19"/>
  <c r="C696" i="19"/>
  <c r="C697" i="19"/>
  <c r="C698" i="19"/>
  <c r="C699" i="19"/>
  <c r="C700" i="19"/>
  <c r="C701" i="19"/>
  <c r="C702" i="19"/>
  <c r="C703" i="19"/>
  <c r="C704" i="19"/>
  <c r="C705" i="19"/>
  <c r="C706" i="19"/>
  <c r="C707" i="19"/>
  <c r="C708" i="19"/>
  <c r="C709" i="19"/>
  <c r="C710" i="19"/>
  <c r="C711" i="19"/>
  <c r="C712" i="19"/>
  <c r="C713" i="19"/>
  <c r="C714" i="19"/>
  <c r="C715" i="19"/>
  <c r="C716" i="19"/>
  <c r="C717" i="19"/>
  <c r="C718" i="19"/>
  <c r="C719" i="19"/>
  <c r="C720" i="19"/>
  <c r="C721" i="19"/>
  <c r="C722" i="19"/>
  <c r="C723" i="19"/>
  <c r="C724" i="19"/>
  <c r="C725" i="19"/>
  <c r="C726" i="19"/>
  <c r="C727" i="19"/>
  <c r="C728" i="19"/>
  <c r="C729" i="19"/>
  <c r="C730" i="19"/>
  <c r="C731" i="19"/>
  <c r="C732" i="19"/>
  <c r="C733" i="19"/>
  <c r="C734" i="19"/>
  <c r="C735" i="19"/>
  <c r="C736" i="19"/>
  <c r="C737" i="19"/>
  <c r="C738" i="19"/>
  <c r="C739" i="19"/>
  <c r="C740" i="19"/>
  <c r="C741" i="19"/>
  <c r="C742" i="19"/>
  <c r="C743" i="19"/>
  <c r="C744" i="19"/>
  <c r="C745" i="19"/>
  <c r="C746" i="19"/>
  <c r="C747" i="19"/>
  <c r="C748" i="19"/>
  <c r="C749" i="19"/>
  <c r="C750" i="19"/>
  <c r="C751" i="19"/>
  <c r="C752" i="19"/>
  <c r="C753" i="19"/>
  <c r="C754" i="19"/>
  <c r="C755" i="19"/>
  <c r="C756" i="19"/>
  <c r="C757" i="19"/>
  <c r="C758" i="19"/>
  <c r="C759" i="19"/>
  <c r="C760" i="19"/>
  <c r="C761" i="19"/>
  <c r="C762" i="19"/>
  <c r="C763" i="19"/>
  <c r="C764" i="19"/>
  <c r="C765" i="19"/>
  <c r="C766" i="19"/>
  <c r="C767" i="19"/>
  <c r="C768" i="19"/>
  <c r="C769" i="19"/>
  <c r="C770" i="19"/>
  <c r="C771" i="19"/>
  <c r="C772" i="19"/>
  <c r="C773" i="19"/>
  <c r="C774" i="19"/>
  <c r="C775" i="19"/>
  <c r="C776" i="19"/>
  <c r="C777" i="19"/>
  <c r="C778" i="19"/>
  <c r="C779" i="19"/>
  <c r="C780" i="19"/>
  <c r="C781" i="19"/>
  <c r="C782" i="19"/>
  <c r="C783" i="19"/>
  <c r="C784" i="19"/>
  <c r="C785" i="19"/>
  <c r="C786" i="19"/>
  <c r="C787" i="19"/>
  <c r="C788" i="19"/>
  <c r="C789" i="19"/>
  <c r="C790" i="19"/>
  <c r="C791" i="19"/>
  <c r="C792" i="19"/>
  <c r="C793" i="19"/>
  <c r="C794" i="19"/>
  <c r="C795" i="19"/>
  <c r="C796" i="19"/>
  <c r="C797" i="19"/>
  <c r="C798" i="19"/>
  <c r="C799" i="19"/>
  <c r="C800" i="19"/>
  <c r="C801" i="19"/>
  <c r="C802" i="19"/>
  <c r="C803" i="19"/>
  <c r="C804" i="19"/>
  <c r="C805" i="19"/>
  <c r="C806" i="19"/>
  <c r="C807" i="19"/>
  <c r="C808" i="19"/>
  <c r="C809" i="19"/>
  <c r="C810" i="19"/>
  <c r="C811" i="19"/>
  <c r="C812" i="19"/>
  <c r="C813" i="19"/>
  <c r="C814" i="19"/>
  <c r="C815" i="19"/>
  <c r="C816" i="19"/>
  <c r="C817" i="19"/>
  <c r="C818" i="19"/>
  <c r="C819" i="19"/>
  <c r="C820" i="19"/>
  <c r="C821" i="19"/>
  <c r="C822" i="19"/>
  <c r="C823" i="19"/>
  <c r="C824" i="19"/>
  <c r="C825" i="19"/>
  <c r="C826" i="19"/>
  <c r="C827" i="19"/>
  <c r="C828" i="19"/>
  <c r="C829" i="19"/>
  <c r="C830" i="19"/>
  <c r="C831" i="19"/>
  <c r="C832" i="19"/>
  <c r="C833" i="19"/>
  <c r="C834" i="19"/>
  <c r="C835" i="19"/>
  <c r="C836" i="19"/>
  <c r="C837" i="19"/>
  <c r="C838" i="19"/>
  <c r="C839" i="19"/>
  <c r="C840" i="19"/>
  <c r="C841" i="19"/>
  <c r="C842" i="19"/>
  <c r="C843" i="19"/>
  <c r="C844" i="19"/>
  <c r="C845" i="19"/>
  <c r="C846" i="19"/>
  <c r="C847" i="19"/>
  <c r="C848" i="19"/>
  <c r="C849" i="19"/>
  <c r="C850" i="19"/>
  <c r="C851" i="19"/>
  <c r="C852" i="19"/>
  <c r="C853" i="19"/>
  <c r="C854" i="19"/>
  <c r="C855" i="19"/>
  <c r="C856" i="19"/>
  <c r="C857" i="19"/>
  <c r="C858" i="19"/>
  <c r="C859" i="19"/>
  <c r="C860" i="19"/>
  <c r="C861" i="19"/>
  <c r="C862" i="19"/>
  <c r="C863" i="19"/>
  <c r="C864" i="19"/>
  <c r="C865" i="19"/>
  <c r="C866" i="19"/>
  <c r="C867" i="19"/>
  <c r="C868" i="19"/>
  <c r="C869" i="19"/>
  <c r="C870" i="19"/>
  <c r="C871" i="19"/>
  <c r="C872" i="19"/>
  <c r="C873" i="19"/>
  <c r="C874" i="19"/>
  <c r="C875" i="19"/>
  <c r="C876" i="19"/>
  <c r="C877" i="19"/>
  <c r="C878" i="19"/>
  <c r="C879" i="19"/>
  <c r="C880" i="19"/>
  <c r="C881" i="19"/>
  <c r="C882" i="19"/>
  <c r="C883" i="19"/>
  <c r="C884" i="19"/>
  <c r="C885" i="19"/>
  <c r="C886" i="19"/>
  <c r="C887" i="19"/>
  <c r="C888" i="19"/>
  <c r="C889" i="19"/>
  <c r="C890" i="19"/>
  <c r="C891" i="19"/>
  <c r="C892" i="19"/>
  <c r="C893" i="19"/>
  <c r="C894" i="19"/>
  <c r="C895" i="19"/>
  <c r="C896" i="19"/>
  <c r="C897" i="19"/>
  <c r="C898" i="19"/>
  <c r="C899" i="19"/>
  <c r="C900" i="19"/>
  <c r="C901" i="19"/>
  <c r="C902" i="19"/>
  <c r="C903" i="19"/>
  <c r="C904" i="19"/>
  <c r="C905" i="19"/>
  <c r="C906" i="19"/>
  <c r="C907" i="19"/>
  <c r="C908" i="19"/>
  <c r="C909" i="19"/>
  <c r="C910" i="19"/>
  <c r="C911" i="19"/>
  <c r="C912" i="19"/>
  <c r="C913" i="19"/>
  <c r="C914" i="19"/>
  <c r="C915" i="19"/>
  <c r="C916" i="19"/>
  <c r="C917" i="19"/>
  <c r="C918" i="19"/>
  <c r="C919" i="19"/>
  <c r="C920" i="19"/>
  <c r="C921" i="19"/>
  <c r="C922" i="19"/>
  <c r="C923" i="19"/>
  <c r="C924" i="19"/>
  <c r="C925" i="19"/>
  <c r="C926" i="19"/>
  <c r="C927" i="19"/>
  <c r="C928" i="19"/>
  <c r="C929" i="19"/>
  <c r="C930" i="19"/>
  <c r="C931" i="19"/>
  <c r="C932" i="19"/>
  <c r="C933" i="19"/>
  <c r="C934" i="19"/>
  <c r="C935" i="19"/>
  <c r="C936" i="19"/>
  <c r="C937" i="19"/>
  <c r="C938" i="19"/>
  <c r="C939" i="19"/>
  <c r="C940" i="19"/>
  <c r="C941" i="19"/>
  <c r="C942" i="19"/>
  <c r="C943" i="19"/>
  <c r="C944" i="19"/>
  <c r="C945" i="19"/>
  <c r="C946" i="19"/>
  <c r="C947" i="19"/>
  <c r="C948" i="19"/>
  <c r="C949" i="19"/>
  <c r="C950" i="19"/>
  <c r="C951" i="19"/>
  <c r="C952" i="19"/>
  <c r="C953" i="19"/>
  <c r="C954" i="19"/>
  <c r="C955" i="19"/>
  <c r="C956" i="19"/>
  <c r="C957" i="19"/>
  <c r="C958" i="19"/>
  <c r="C959" i="19"/>
  <c r="C960" i="19"/>
  <c r="C961" i="19"/>
  <c r="C962" i="19"/>
  <c r="C963" i="19"/>
  <c r="C964" i="19"/>
  <c r="C965" i="19"/>
  <c r="C966" i="19"/>
  <c r="C967" i="19"/>
  <c r="C968" i="19"/>
  <c r="C969" i="19"/>
  <c r="C970" i="19"/>
  <c r="C971" i="19"/>
  <c r="C972" i="19"/>
  <c r="C973" i="19"/>
  <c r="C974" i="19"/>
  <c r="C975" i="19"/>
  <c r="C976" i="19"/>
  <c r="C977" i="19"/>
  <c r="C978" i="19"/>
  <c r="C979" i="19"/>
  <c r="C980" i="19"/>
  <c r="C981" i="19"/>
  <c r="C982" i="19"/>
  <c r="C983" i="19"/>
  <c r="C984" i="19"/>
  <c r="C985" i="19"/>
  <c r="C986" i="19"/>
  <c r="C987" i="19"/>
  <c r="C988" i="19"/>
  <c r="C989" i="19"/>
  <c r="C990" i="19"/>
  <c r="C991" i="19"/>
  <c r="C992" i="19"/>
  <c r="C993" i="19"/>
  <c r="C994" i="19"/>
  <c r="C995" i="19"/>
  <c r="C996" i="19"/>
  <c r="C997" i="19"/>
  <c r="C998" i="19"/>
  <c r="C999" i="19"/>
  <c r="C1000" i="19"/>
  <c r="C1001" i="19"/>
  <c r="C1002" i="19"/>
  <c r="C1003" i="19"/>
  <c r="C1004" i="19"/>
  <c r="C1005" i="19"/>
  <c r="C1006" i="19"/>
  <c r="C1007" i="19"/>
  <c r="C1008" i="19"/>
  <c r="C1009" i="19"/>
  <c r="C1010" i="19"/>
  <c r="C1011" i="19"/>
  <c r="C1012" i="19"/>
  <c r="C1013" i="19"/>
  <c r="C1014" i="19"/>
  <c r="C1015" i="19"/>
  <c r="C1016" i="19"/>
  <c r="C1017" i="19"/>
  <c r="C1018" i="19"/>
  <c r="C1019" i="19"/>
  <c r="C1020" i="19"/>
  <c r="C1021" i="19"/>
  <c r="C1022" i="19"/>
  <c r="C1023" i="19"/>
  <c r="C1024" i="19"/>
  <c r="C1025" i="19"/>
  <c r="C1026" i="19"/>
  <c r="C1027" i="19"/>
  <c r="C1028" i="19"/>
  <c r="C1029" i="19"/>
  <c r="C1030" i="19"/>
  <c r="C1031" i="19"/>
  <c r="C1032" i="19"/>
  <c r="C1033" i="19"/>
  <c r="C1034" i="19"/>
  <c r="C1035" i="19"/>
  <c r="C1036" i="19"/>
  <c r="C1037" i="19"/>
  <c r="C1038" i="19"/>
  <c r="C1039" i="19"/>
  <c r="C1040" i="19"/>
  <c r="C1041" i="19"/>
  <c r="C1042" i="19"/>
  <c r="C1043" i="19"/>
  <c r="C1044" i="19"/>
  <c r="C1045" i="19"/>
  <c r="C1046" i="19"/>
  <c r="C1047" i="19"/>
  <c r="C1048" i="19"/>
  <c r="C1049" i="19"/>
  <c r="C1050" i="19"/>
  <c r="C1051" i="19"/>
  <c r="C1052" i="19"/>
  <c r="C1053" i="19"/>
  <c r="C1054" i="19"/>
  <c r="C1055" i="19"/>
  <c r="C1056" i="19"/>
  <c r="C1057" i="19"/>
  <c r="C1058" i="19"/>
  <c r="C1059" i="19"/>
  <c r="C1060" i="19"/>
  <c r="C1061" i="19"/>
  <c r="C1062" i="19"/>
  <c r="C1063" i="19"/>
  <c r="C1064" i="19"/>
  <c r="C1065" i="19"/>
  <c r="C1066" i="19"/>
  <c r="C1067" i="19"/>
  <c r="C1068" i="19"/>
  <c r="C1069" i="19"/>
  <c r="C1070" i="19"/>
  <c r="C1071" i="19"/>
  <c r="C1072" i="19"/>
  <c r="C1073" i="19"/>
  <c r="C1074" i="19"/>
  <c r="C1075" i="19"/>
  <c r="C1076" i="19"/>
  <c r="C1077" i="19"/>
  <c r="C1078" i="19"/>
  <c r="C1079" i="19"/>
  <c r="C1080" i="19"/>
  <c r="C1081" i="19"/>
  <c r="C1082" i="19"/>
  <c r="C1083" i="19"/>
  <c r="C1084" i="19"/>
  <c r="C1085" i="19"/>
  <c r="C1086" i="19"/>
  <c r="C1087" i="19"/>
  <c r="C1088" i="19"/>
  <c r="C1089" i="19"/>
  <c r="C1090" i="19"/>
  <c r="C1091" i="19"/>
  <c r="C1092" i="19"/>
  <c r="C1093" i="19"/>
  <c r="C1094" i="19"/>
  <c r="C1095" i="19"/>
  <c r="C1096" i="19"/>
  <c r="C1097" i="19"/>
  <c r="C1098" i="19"/>
  <c r="C1099" i="19"/>
  <c r="C1100" i="19"/>
  <c r="C1101" i="19"/>
  <c r="C1102" i="19"/>
  <c r="C1103" i="19"/>
  <c r="C1104" i="19"/>
  <c r="C1105" i="19"/>
  <c r="C1106" i="19"/>
  <c r="C1107" i="19"/>
  <c r="C1108" i="19"/>
  <c r="C1109" i="19"/>
  <c r="C1110" i="19"/>
  <c r="C1111" i="19"/>
  <c r="C1112" i="19"/>
  <c r="C1113" i="19"/>
  <c r="C1114" i="19"/>
  <c r="C1115" i="19"/>
  <c r="C1116" i="19"/>
  <c r="C1117" i="19"/>
  <c r="C1118" i="19"/>
  <c r="C1119" i="19"/>
  <c r="C1120" i="19"/>
  <c r="C1121" i="19"/>
  <c r="C1122" i="19"/>
  <c r="C1123" i="19"/>
  <c r="C1124" i="19"/>
  <c r="C1125" i="19"/>
  <c r="C1126" i="19"/>
  <c r="C1127" i="19"/>
  <c r="C1128" i="19"/>
  <c r="C1129" i="19"/>
  <c r="C1130" i="19"/>
  <c r="C1131" i="19"/>
  <c r="C1132" i="19"/>
  <c r="C1133" i="19"/>
  <c r="C1134" i="19"/>
  <c r="C1135" i="19"/>
  <c r="C1136" i="19"/>
  <c r="C1137" i="19"/>
  <c r="C1138" i="19"/>
  <c r="C1139" i="19"/>
  <c r="C1140" i="19"/>
  <c r="C1141" i="19"/>
  <c r="C1142" i="19"/>
  <c r="C1143" i="19"/>
  <c r="C1144" i="19"/>
  <c r="C1145" i="19"/>
  <c r="C1146" i="19"/>
  <c r="C1147" i="19"/>
  <c r="C1148" i="19"/>
  <c r="C1149" i="19"/>
  <c r="C1150" i="19"/>
  <c r="C1151" i="19"/>
  <c r="C1152" i="19"/>
  <c r="C1153" i="19"/>
  <c r="C1154" i="19"/>
  <c r="C1155" i="19"/>
  <c r="C1156" i="19"/>
  <c r="C1157" i="19"/>
  <c r="C1158" i="19"/>
  <c r="C1159" i="19"/>
  <c r="C1160" i="19"/>
  <c r="C1161" i="19"/>
  <c r="C1162" i="19"/>
  <c r="C1163" i="19"/>
  <c r="C1164" i="19"/>
  <c r="C1165" i="19"/>
  <c r="C1166" i="19"/>
  <c r="C1167" i="19"/>
  <c r="C1168" i="19"/>
  <c r="C1169" i="19"/>
  <c r="C1170" i="19"/>
  <c r="C1171" i="19"/>
  <c r="C1172" i="19"/>
  <c r="C1173" i="19"/>
  <c r="C1174" i="19"/>
  <c r="C1175" i="19"/>
  <c r="C1176" i="19"/>
  <c r="C1177" i="19"/>
  <c r="C1178" i="19"/>
  <c r="C1179" i="19"/>
  <c r="C1180" i="19"/>
  <c r="C1181" i="19"/>
  <c r="C1182" i="19"/>
  <c r="C1183" i="19"/>
  <c r="C1184" i="19"/>
  <c r="C1185" i="19"/>
  <c r="C1186" i="19"/>
  <c r="C1187" i="19"/>
  <c r="C1188" i="19"/>
  <c r="C1189" i="19"/>
  <c r="C1190" i="19"/>
  <c r="C1191" i="19"/>
  <c r="C1192" i="19"/>
  <c r="C1193" i="19"/>
  <c r="C1194" i="19"/>
  <c r="C1195" i="19"/>
  <c r="C1196" i="19"/>
  <c r="C1197" i="19"/>
  <c r="C1198" i="19"/>
  <c r="C1199" i="19"/>
  <c r="C1200" i="19"/>
  <c r="C1201" i="19"/>
  <c r="C1202" i="19"/>
  <c r="C1203" i="19"/>
  <c r="C1204" i="19"/>
  <c r="C1205" i="19"/>
  <c r="C1206" i="19"/>
  <c r="C1207" i="19"/>
  <c r="C1208" i="19"/>
  <c r="C1209" i="19"/>
  <c r="C1210" i="19"/>
  <c r="C1211" i="19"/>
  <c r="C1212" i="19"/>
  <c r="C1213" i="19"/>
  <c r="C1214" i="19"/>
  <c r="C1215" i="19"/>
  <c r="C1216" i="19"/>
  <c r="C1217" i="19"/>
  <c r="C1218" i="19"/>
  <c r="C1219" i="19"/>
  <c r="C1220" i="19"/>
  <c r="C1221" i="19"/>
  <c r="C1222" i="19"/>
  <c r="C1223" i="19"/>
  <c r="C1224" i="19"/>
  <c r="C1225" i="19"/>
  <c r="C1226" i="19"/>
  <c r="C1227" i="19"/>
  <c r="C1228" i="19"/>
  <c r="C1229" i="19"/>
  <c r="C1230" i="19"/>
  <c r="C1231" i="19"/>
  <c r="C1232" i="19"/>
  <c r="C1233" i="19"/>
  <c r="C1234" i="19"/>
  <c r="C1235" i="19"/>
  <c r="C1236" i="19"/>
  <c r="C1237" i="19"/>
  <c r="C1238" i="19"/>
  <c r="C1239" i="19"/>
  <c r="C1240" i="19"/>
  <c r="C1241" i="19"/>
  <c r="C1242" i="19"/>
  <c r="C1243" i="19"/>
  <c r="C1244" i="19"/>
  <c r="C1245" i="19"/>
  <c r="C1246" i="19"/>
  <c r="C1247" i="19"/>
  <c r="C1248" i="19"/>
  <c r="C1249" i="19"/>
  <c r="C1250" i="19"/>
  <c r="C1251" i="19"/>
  <c r="C1252" i="19"/>
  <c r="C1253" i="19"/>
  <c r="C1254" i="19"/>
  <c r="C1255" i="19"/>
  <c r="C1256" i="19"/>
  <c r="C1257" i="19"/>
  <c r="C1258" i="19"/>
  <c r="C1259" i="19"/>
  <c r="C1260" i="19"/>
  <c r="C1261" i="19"/>
  <c r="C1262" i="19"/>
  <c r="C1263" i="19"/>
  <c r="C1264" i="19"/>
  <c r="C1265" i="19"/>
  <c r="C1266" i="19"/>
  <c r="C1267" i="19"/>
  <c r="C1268" i="19"/>
  <c r="C1269" i="19"/>
  <c r="C1270" i="19"/>
  <c r="C1271" i="19"/>
  <c r="C1272" i="19"/>
  <c r="C1273" i="19"/>
  <c r="C1274" i="19"/>
  <c r="C1275" i="19"/>
  <c r="C1276" i="19"/>
  <c r="C1277" i="19"/>
  <c r="C1278" i="19"/>
  <c r="C1279" i="19"/>
  <c r="C1280" i="19"/>
  <c r="C1281" i="19"/>
  <c r="C1282" i="19"/>
  <c r="C1283" i="19"/>
  <c r="C1284" i="19"/>
  <c r="C1285" i="19"/>
  <c r="C1286" i="19"/>
  <c r="C1287" i="19"/>
  <c r="C1288" i="19"/>
  <c r="C1289" i="19"/>
  <c r="C1290" i="19"/>
  <c r="C1291" i="19"/>
  <c r="C1292" i="19"/>
  <c r="C1293" i="19"/>
  <c r="C1294" i="19"/>
  <c r="C1295" i="19"/>
  <c r="C1296" i="19"/>
  <c r="C1297" i="19"/>
  <c r="C1298" i="19"/>
  <c r="C1299" i="19"/>
  <c r="C1300" i="19"/>
  <c r="C1301" i="19"/>
  <c r="C1302" i="19"/>
  <c r="C1303" i="19"/>
  <c r="C1304" i="19"/>
  <c r="C1305" i="19"/>
  <c r="C1306" i="19"/>
  <c r="C1307" i="19"/>
  <c r="C1308" i="19"/>
  <c r="C1309" i="19"/>
  <c r="C1310" i="19"/>
  <c r="C1311" i="19"/>
  <c r="C1312" i="19"/>
  <c r="C1313" i="19"/>
  <c r="C1314" i="19"/>
  <c r="C1315" i="19"/>
  <c r="C1316" i="19"/>
  <c r="C1317" i="19"/>
  <c r="C1318" i="19"/>
  <c r="C1319" i="19"/>
  <c r="C1320" i="19"/>
  <c r="C1321" i="19"/>
  <c r="C1322" i="19"/>
  <c r="C1323" i="19"/>
  <c r="C1324" i="19"/>
  <c r="C1325" i="19"/>
  <c r="C1326" i="19"/>
  <c r="C1327" i="19"/>
  <c r="C1328" i="19"/>
  <c r="C1329" i="19"/>
  <c r="C1330" i="19"/>
  <c r="C1331" i="19"/>
  <c r="C1332" i="19"/>
  <c r="C1333" i="19"/>
  <c r="C1334" i="19"/>
  <c r="C1335" i="19"/>
  <c r="C1336" i="19"/>
  <c r="C1337" i="19"/>
  <c r="C1338" i="19"/>
  <c r="C1339" i="19"/>
  <c r="C1340" i="19"/>
  <c r="C1341" i="19"/>
  <c r="C1342" i="19"/>
  <c r="C1343" i="19"/>
  <c r="C1344" i="19"/>
  <c r="C1345" i="19"/>
  <c r="C1346" i="19"/>
  <c r="C1347" i="19"/>
  <c r="C1348" i="19"/>
  <c r="C1349" i="19"/>
  <c r="C1350" i="19"/>
  <c r="C1351" i="19"/>
  <c r="C1352" i="19"/>
  <c r="C1353" i="19"/>
  <c r="C1354" i="19"/>
  <c r="C1355" i="19"/>
  <c r="C1356" i="19"/>
  <c r="C1357" i="19"/>
  <c r="C1358" i="19"/>
  <c r="C1359" i="19"/>
  <c r="C1360" i="19"/>
  <c r="C1361" i="19"/>
  <c r="C1362" i="19"/>
  <c r="C1363" i="19"/>
  <c r="C1364" i="19"/>
  <c r="C1365" i="19"/>
  <c r="C1366" i="19"/>
  <c r="C1367" i="19"/>
  <c r="C1368" i="19"/>
  <c r="C1369" i="19"/>
  <c r="C1370" i="19"/>
  <c r="C1371" i="19"/>
  <c r="C1372" i="19"/>
  <c r="C1373" i="19"/>
  <c r="C1374" i="19"/>
  <c r="C1375" i="19"/>
  <c r="C1376" i="19"/>
  <c r="C1377" i="19"/>
  <c r="C1378" i="19"/>
  <c r="C1379" i="19"/>
  <c r="C1380" i="19"/>
  <c r="C1381" i="19"/>
  <c r="C1382" i="19"/>
  <c r="C1383" i="19"/>
  <c r="C1384" i="19"/>
  <c r="C1385" i="19"/>
  <c r="C1386" i="19"/>
  <c r="C1387" i="19"/>
  <c r="C1388" i="19"/>
  <c r="C1389" i="19"/>
  <c r="C1390" i="19"/>
  <c r="C1391" i="19"/>
  <c r="C1392" i="19"/>
  <c r="C1393" i="19"/>
  <c r="C1394" i="19"/>
  <c r="C1395" i="19"/>
  <c r="C1396" i="19"/>
  <c r="C1397" i="19"/>
  <c r="C1398" i="19"/>
  <c r="C1399" i="19"/>
  <c r="C1400" i="19"/>
  <c r="C1401" i="19"/>
  <c r="C1402" i="19"/>
  <c r="C1403" i="19"/>
  <c r="C1404" i="19"/>
  <c r="C1405" i="19"/>
  <c r="C1406" i="19"/>
  <c r="C1407" i="19"/>
  <c r="C1408" i="19"/>
  <c r="C1409" i="19"/>
  <c r="C1410" i="19"/>
  <c r="C1411" i="19"/>
  <c r="C1412" i="19"/>
  <c r="C1413" i="19"/>
  <c r="C1414" i="19"/>
  <c r="C1415" i="19"/>
  <c r="C1416" i="19"/>
  <c r="C1417" i="19"/>
  <c r="C1418" i="19"/>
  <c r="C1419" i="19"/>
  <c r="C1420" i="19"/>
  <c r="C1421" i="19"/>
  <c r="C1422" i="19"/>
  <c r="C1423" i="19"/>
  <c r="C1424" i="19"/>
  <c r="C1425" i="19"/>
  <c r="C1426" i="19"/>
  <c r="C1427" i="19"/>
  <c r="C1428" i="19"/>
  <c r="C1429" i="19"/>
  <c r="C1430" i="19"/>
  <c r="C1431" i="19"/>
  <c r="C1432" i="19"/>
  <c r="C1433" i="19"/>
  <c r="C1434" i="19"/>
  <c r="C1435" i="19"/>
  <c r="C1436" i="19"/>
  <c r="C1437" i="19"/>
  <c r="C1438" i="19"/>
  <c r="C1439" i="19"/>
  <c r="C1440" i="19"/>
  <c r="C1441" i="19"/>
  <c r="C1442" i="19"/>
  <c r="C1443" i="19"/>
  <c r="C1444" i="19"/>
  <c r="C1445" i="19"/>
  <c r="C1446" i="19"/>
  <c r="C1447" i="19"/>
  <c r="C1448" i="19"/>
  <c r="C1449" i="19"/>
  <c r="C1450" i="19"/>
  <c r="C1451" i="19"/>
  <c r="C1452" i="19"/>
  <c r="C1453" i="19"/>
  <c r="C1454" i="19"/>
  <c r="C1455" i="19"/>
  <c r="C1456" i="19"/>
  <c r="C1457" i="19"/>
  <c r="C1458" i="19"/>
  <c r="C1459" i="19"/>
  <c r="C1460" i="19"/>
  <c r="C1461" i="19"/>
  <c r="C1462" i="19"/>
  <c r="C1463" i="19"/>
  <c r="C1464" i="19"/>
  <c r="C1465" i="19"/>
  <c r="C1466" i="19"/>
  <c r="C1467" i="19"/>
  <c r="C1468" i="19"/>
  <c r="C1469" i="19"/>
  <c r="C1470" i="19"/>
  <c r="C1471" i="19"/>
  <c r="C1472" i="19"/>
  <c r="C1473" i="19"/>
  <c r="C1474" i="19"/>
  <c r="C1475" i="19"/>
  <c r="C1476" i="19"/>
  <c r="C1477" i="19"/>
  <c r="C1478" i="19"/>
  <c r="C1479" i="19"/>
  <c r="C1480" i="19"/>
  <c r="C1481" i="19"/>
  <c r="C1482" i="19"/>
  <c r="C1483" i="19"/>
  <c r="C1484" i="19"/>
  <c r="C1485" i="19"/>
  <c r="C1486" i="19"/>
  <c r="C1487" i="19"/>
  <c r="C1488" i="19"/>
  <c r="C1489" i="19"/>
  <c r="C1490" i="19"/>
  <c r="C1491" i="19"/>
  <c r="C1492" i="19"/>
  <c r="C1493" i="19"/>
  <c r="C1494" i="19"/>
  <c r="C1495" i="19"/>
  <c r="C1496" i="19"/>
  <c r="C1497" i="19"/>
  <c r="C1498" i="19"/>
  <c r="C1499" i="19"/>
  <c r="C1500" i="19"/>
  <c r="C1501" i="19"/>
  <c r="C1502" i="19"/>
  <c r="C1503" i="19"/>
  <c r="C1504" i="19"/>
  <c r="C1505" i="19"/>
  <c r="C1506" i="19"/>
  <c r="C1507" i="19"/>
  <c r="C1508" i="19"/>
  <c r="C1509" i="19"/>
  <c r="C1510" i="19"/>
  <c r="C1511" i="19"/>
  <c r="C1512" i="19"/>
  <c r="C1513" i="19"/>
  <c r="C1514" i="19"/>
  <c r="C1515" i="19"/>
  <c r="C1516" i="19"/>
  <c r="C1517" i="19"/>
  <c r="C1518" i="19"/>
  <c r="C1519" i="19"/>
  <c r="C1520" i="19"/>
  <c r="C1521" i="19"/>
  <c r="C1522" i="19"/>
  <c r="C1523" i="19"/>
  <c r="C1524" i="19"/>
  <c r="C1525" i="19"/>
  <c r="C1526" i="19"/>
  <c r="C1527" i="19"/>
  <c r="C1528" i="19"/>
  <c r="C1529" i="19"/>
  <c r="C1530" i="19"/>
  <c r="C1531" i="19"/>
  <c r="C1532" i="19"/>
  <c r="C1533" i="19"/>
  <c r="C1534" i="19"/>
  <c r="C1535" i="19"/>
  <c r="C1536" i="19"/>
  <c r="C1537" i="19"/>
  <c r="C1538" i="19"/>
  <c r="C1539" i="19"/>
  <c r="C1540" i="19"/>
  <c r="C1541" i="19"/>
  <c r="C1542" i="19"/>
  <c r="C1543" i="19"/>
  <c r="C1544" i="19"/>
  <c r="C1545" i="19"/>
  <c r="C1546" i="19"/>
  <c r="C1547" i="19"/>
  <c r="C1548" i="19"/>
  <c r="C1549" i="19"/>
  <c r="C1550" i="19"/>
  <c r="C1551" i="19"/>
  <c r="C1552" i="19"/>
  <c r="C1553" i="19"/>
  <c r="C1554" i="19"/>
  <c r="C1555" i="19"/>
  <c r="C1556" i="19"/>
  <c r="C1557" i="19"/>
  <c r="C1558" i="19"/>
  <c r="C1559" i="19"/>
  <c r="C1560" i="19"/>
  <c r="C1561" i="19"/>
  <c r="C1562" i="19"/>
  <c r="C1563" i="19"/>
  <c r="C1564" i="19"/>
  <c r="C1565" i="19"/>
  <c r="C1566" i="19"/>
  <c r="C1567" i="19"/>
  <c r="C1568" i="19"/>
  <c r="C1569" i="19"/>
  <c r="C1570" i="19"/>
  <c r="C1571" i="19"/>
  <c r="C1572" i="19"/>
  <c r="C1573" i="19"/>
  <c r="C1574" i="19"/>
  <c r="C1575" i="19"/>
  <c r="C1576" i="19"/>
  <c r="C1577" i="19"/>
  <c r="C1578" i="19"/>
  <c r="C1579" i="19"/>
  <c r="C1580" i="19"/>
  <c r="C1581" i="19"/>
  <c r="C1582" i="19"/>
  <c r="C1583" i="19"/>
  <c r="C1584" i="19"/>
  <c r="C1585" i="19"/>
  <c r="C1586" i="19"/>
  <c r="C1587" i="19"/>
  <c r="C1588" i="19"/>
  <c r="C1589" i="19"/>
  <c r="C1590" i="19"/>
  <c r="C1591" i="19"/>
  <c r="C1592" i="19"/>
  <c r="C1593" i="19"/>
  <c r="C1594" i="19"/>
  <c r="C1595" i="19"/>
  <c r="C1596" i="19"/>
  <c r="C1597" i="19"/>
  <c r="C1598" i="19"/>
  <c r="C1599" i="19"/>
  <c r="C1600" i="19"/>
  <c r="C1601" i="19"/>
  <c r="C1602" i="19"/>
  <c r="C1603" i="19"/>
  <c r="C1604" i="19"/>
  <c r="C1605" i="19"/>
  <c r="C1606" i="19"/>
  <c r="C1607" i="19"/>
  <c r="C1608" i="19"/>
  <c r="C1609" i="19"/>
  <c r="C1610" i="19"/>
  <c r="C1611" i="19"/>
  <c r="C1612" i="19"/>
  <c r="C1613" i="19"/>
  <c r="C1614" i="19"/>
  <c r="C1615" i="19"/>
  <c r="C1616" i="19"/>
  <c r="C1617" i="19"/>
  <c r="C1618" i="19"/>
  <c r="C1619" i="19"/>
  <c r="C1620" i="19"/>
  <c r="C1621" i="19"/>
  <c r="C1622" i="19"/>
  <c r="C1623" i="19"/>
  <c r="C1624" i="19"/>
  <c r="C1625" i="19"/>
  <c r="C1626" i="19"/>
  <c r="C1627" i="19"/>
  <c r="C1628" i="19"/>
  <c r="C1629" i="19"/>
  <c r="C1630" i="19"/>
  <c r="C1631" i="19"/>
  <c r="C1632" i="19"/>
  <c r="C1633" i="19"/>
  <c r="C1634" i="19"/>
  <c r="C1635" i="19"/>
  <c r="C1636" i="19"/>
  <c r="C1637" i="19"/>
  <c r="C1638" i="19"/>
  <c r="C1639" i="19"/>
  <c r="C1640" i="19"/>
  <c r="C1641" i="19"/>
  <c r="C1642" i="19"/>
  <c r="C1643" i="19"/>
  <c r="C1644" i="19"/>
  <c r="C1645" i="19"/>
  <c r="C1646" i="19"/>
  <c r="C1647" i="19"/>
  <c r="C1648" i="19"/>
  <c r="C1649" i="19"/>
  <c r="C1650" i="19"/>
  <c r="C1651" i="19"/>
  <c r="C1652" i="19"/>
  <c r="C1653" i="19"/>
  <c r="C1654" i="19"/>
  <c r="C1655" i="19"/>
  <c r="C1656" i="19"/>
  <c r="C1657" i="19"/>
  <c r="C1658" i="19"/>
  <c r="C1659" i="19"/>
  <c r="C1660" i="19"/>
  <c r="C1661" i="19"/>
  <c r="C1662" i="19"/>
  <c r="C1663" i="19"/>
  <c r="C1664" i="19"/>
  <c r="C1665" i="19"/>
  <c r="C1666" i="19"/>
  <c r="C1667" i="19"/>
  <c r="C1668" i="19"/>
  <c r="C1669" i="19"/>
  <c r="C1670" i="19"/>
  <c r="C1671" i="19"/>
  <c r="C1672" i="19"/>
  <c r="C1673" i="19"/>
  <c r="C1674" i="19"/>
  <c r="C1675" i="19"/>
  <c r="C1676" i="19"/>
  <c r="C1677" i="19"/>
  <c r="C1678" i="19"/>
  <c r="C1679" i="19"/>
  <c r="C1680" i="19"/>
  <c r="C1681" i="19"/>
  <c r="C1682" i="19"/>
  <c r="C1683" i="19"/>
  <c r="C1684" i="19"/>
  <c r="C1685" i="19"/>
  <c r="C1686" i="19"/>
  <c r="C1687" i="19"/>
  <c r="C1688" i="19"/>
  <c r="C1689" i="19"/>
  <c r="C1690" i="19"/>
  <c r="C1691" i="19"/>
  <c r="C1692" i="19"/>
  <c r="C1693" i="19"/>
  <c r="C1694" i="19"/>
  <c r="C1695" i="19"/>
  <c r="C1696" i="19"/>
  <c r="C1697" i="19"/>
  <c r="C1698" i="19"/>
  <c r="C1699" i="19"/>
  <c r="C1700" i="19"/>
  <c r="C1701" i="19"/>
  <c r="C1702" i="19"/>
  <c r="C1703" i="19"/>
  <c r="C1704" i="19"/>
  <c r="C1705" i="19"/>
  <c r="C1706" i="19"/>
  <c r="C1707" i="19"/>
  <c r="C1708" i="19"/>
  <c r="C1709" i="19"/>
  <c r="C1710" i="19"/>
  <c r="C1711" i="19"/>
  <c r="C1712" i="19"/>
  <c r="C1713" i="19"/>
  <c r="C1714" i="19"/>
  <c r="C1715" i="19"/>
  <c r="C1716" i="19"/>
  <c r="C1717" i="19"/>
  <c r="C1718" i="19"/>
  <c r="C1719" i="19"/>
  <c r="C1720" i="19"/>
  <c r="C1721" i="19"/>
  <c r="C1722" i="19"/>
  <c r="C1723" i="19"/>
  <c r="C1724" i="19"/>
  <c r="C1725" i="19"/>
  <c r="C1726" i="19"/>
  <c r="C1727" i="19"/>
  <c r="C1728" i="19"/>
  <c r="C1729" i="19"/>
  <c r="C1730" i="19"/>
  <c r="C1731" i="19"/>
  <c r="C1732" i="19"/>
  <c r="C1733" i="19"/>
  <c r="C1734" i="19"/>
  <c r="C1735" i="19"/>
  <c r="C1736" i="19"/>
  <c r="C1737" i="19"/>
  <c r="C1738" i="19"/>
  <c r="C1739" i="19"/>
  <c r="C1740" i="19"/>
  <c r="C1741" i="19"/>
  <c r="C1742" i="19"/>
  <c r="C1743" i="19"/>
  <c r="C1744" i="19"/>
  <c r="C1745" i="19"/>
  <c r="C1746" i="19"/>
  <c r="C1747" i="19"/>
  <c r="C1748" i="19"/>
  <c r="C1749" i="19"/>
  <c r="C1750" i="19"/>
  <c r="C1751" i="19"/>
  <c r="C1752" i="19"/>
  <c r="C1753" i="19"/>
  <c r="C1754" i="19"/>
  <c r="C1755" i="19"/>
  <c r="C1756" i="19"/>
  <c r="C1757" i="19"/>
  <c r="C1758" i="19"/>
  <c r="C1759" i="19"/>
  <c r="C1760" i="19"/>
  <c r="C1761" i="19"/>
  <c r="C1762" i="19"/>
  <c r="C1763" i="19"/>
  <c r="C1764" i="19"/>
  <c r="C1765" i="19"/>
  <c r="C1766" i="19"/>
  <c r="C1767" i="19"/>
  <c r="C1768" i="19"/>
  <c r="C1769" i="19"/>
  <c r="C1770" i="19"/>
  <c r="C1771" i="19"/>
  <c r="C1772" i="19"/>
  <c r="C1773" i="19"/>
  <c r="C1774" i="19"/>
  <c r="C1775" i="19"/>
  <c r="C1776" i="19"/>
  <c r="C1777" i="19"/>
  <c r="C1778" i="19"/>
  <c r="C1779" i="19"/>
  <c r="C1780" i="19"/>
  <c r="C1781" i="19"/>
  <c r="C1782" i="19"/>
  <c r="C1783" i="19"/>
  <c r="C1784" i="19"/>
  <c r="C1785" i="19"/>
  <c r="C1786" i="19"/>
  <c r="C1787" i="19"/>
  <c r="C1788" i="19"/>
  <c r="C1789" i="19"/>
  <c r="C1790" i="19"/>
  <c r="C1791" i="19"/>
  <c r="C1792" i="19"/>
  <c r="C1793" i="19"/>
  <c r="C1794" i="19"/>
  <c r="C1795" i="19"/>
  <c r="C1796" i="19"/>
  <c r="C1797" i="19"/>
  <c r="C1798" i="19"/>
  <c r="C1799" i="19"/>
  <c r="C1800" i="19"/>
  <c r="C1801" i="19"/>
  <c r="C1802" i="19"/>
  <c r="C1803" i="19"/>
  <c r="C1804" i="19"/>
  <c r="C1805" i="19"/>
  <c r="C1806" i="19"/>
  <c r="C1807" i="19"/>
  <c r="C1808" i="19"/>
  <c r="C1809" i="19"/>
  <c r="C1810" i="19"/>
  <c r="C1811" i="19"/>
  <c r="C1812" i="19"/>
  <c r="C1813" i="19"/>
  <c r="C1814" i="19"/>
  <c r="C1815" i="19"/>
  <c r="C1816" i="19"/>
  <c r="C1817" i="19"/>
  <c r="C1818" i="19"/>
  <c r="C1819" i="19"/>
  <c r="C1820" i="19"/>
  <c r="C1821" i="19"/>
  <c r="C1822" i="19"/>
  <c r="C1823" i="19"/>
  <c r="C1824" i="19"/>
  <c r="C1825" i="19"/>
  <c r="C1826" i="19"/>
  <c r="C1827" i="19"/>
  <c r="C1828" i="19"/>
  <c r="C1829" i="19"/>
  <c r="C1830" i="19"/>
  <c r="C1831" i="19"/>
  <c r="C1832" i="19"/>
  <c r="C1833" i="19"/>
  <c r="C1834" i="19"/>
  <c r="C1835" i="19"/>
  <c r="C1836" i="19"/>
  <c r="C1837" i="19"/>
  <c r="C1838" i="19"/>
  <c r="C1839" i="19"/>
  <c r="C1840" i="19"/>
  <c r="C1841" i="19"/>
  <c r="C1842" i="19"/>
  <c r="C1843" i="19"/>
  <c r="C1844" i="19"/>
  <c r="C1845" i="19"/>
  <c r="C1846" i="19"/>
  <c r="C1847" i="19"/>
  <c r="C1848" i="19"/>
  <c r="C1849" i="19"/>
  <c r="C1850" i="19"/>
  <c r="C1851" i="19"/>
  <c r="C1852" i="19"/>
  <c r="C1853" i="19"/>
  <c r="C1854" i="19"/>
  <c r="C1855" i="19"/>
  <c r="C1856" i="19"/>
  <c r="C1857" i="19"/>
  <c r="C1858" i="19"/>
  <c r="C1859" i="19"/>
  <c r="C1860" i="19"/>
  <c r="C1861" i="19"/>
  <c r="C1862" i="19"/>
  <c r="C1863" i="19"/>
  <c r="C1864" i="19"/>
  <c r="C1865" i="19"/>
  <c r="C1866" i="19"/>
  <c r="C1867" i="19"/>
  <c r="C1868" i="19"/>
  <c r="C1869" i="19"/>
  <c r="C1870" i="19"/>
  <c r="C1871" i="19"/>
  <c r="C1872" i="19"/>
  <c r="C1873" i="19"/>
  <c r="C1874" i="19"/>
  <c r="C1875" i="19"/>
  <c r="C1876" i="19"/>
  <c r="C1877" i="19"/>
  <c r="C1878" i="19"/>
  <c r="C1879" i="19"/>
  <c r="C1880" i="19"/>
  <c r="C1881" i="19"/>
  <c r="C1882" i="19"/>
  <c r="C1883" i="19"/>
  <c r="C1884" i="19"/>
  <c r="C1885" i="19"/>
  <c r="C1886" i="19"/>
  <c r="C1887" i="19"/>
  <c r="C1888" i="19"/>
  <c r="C1889" i="19"/>
  <c r="C1890" i="19"/>
  <c r="C1891" i="19"/>
  <c r="C1892" i="19"/>
  <c r="C1893" i="19"/>
  <c r="C1894" i="19"/>
  <c r="C1895" i="19"/>
  <c r="C1896" i="19"/>
  <c r="C1897" i="19"/>
  <c r="C1898" i="19"/>
  <c r="C1899" i="19"/>
  <c r="C1900" i="19"/>
  <c r="C1901" i="19"/>
  <c r="C1902" i="19"/>
  <c r="C1903" i="19"/>
  <c r="C1904" i="19"/>
  <c r="C1905" i="19"/>
  <c r="C1906" i="19"/>
  <c r="C1907" i="19"/>
  <c r="C1908" i="19"/>
  <c r="C1909" i="19"/>
  <c r="C1910" i="19"/>
  <c r="C1911" i="19"/>
  <c r="C1912" i="19"/>
  <c r="C1913" i="19"/>
  <c r="C1914" i="19"/>
  <c r="C1915" i="19"/>
  <c r="C1916" i="19"/>
  <c r="C1917" i="19"/>
  <c r="C1918" i="19"/>
  <c r="C1919" i="19"/>
  <c r="C1920" i="19"/>
  <c r="C1921" i="19"/>
  <c r="C1922" i="19"/>
  <c r="C1923" i="19"/>
  <c r="C1924" i="19"/>
  <c r="C1925" i="19"/>
  <c r="C1926" i="19"/>
  <c r="C1927" i="19"/>
  <c r="C1928" i="19"/>
  <c r="C1929" i="19"/>
  <c r="C1930" i="19"/>
  <c r="C1931" i="19"/>
  <c r="C1932" i="19"/>
  <c r="C1933" i="19"/>
  <c r="C1934" i="19"/>
  <c r="C1935" i="19"/>
  <c r="C1936" i="19"/>
  <c r="C1937" i="19"/>
  <c r="C1938" i="19"/>
  <c r="C1939" i="19"/>
  <c r="C1940" i="19"/>
  <c r="C1941" i="19"/>
  <c r="C1942" i="19"/>
  <c r="C1943" i="19"/>
  <c r="C1944" i="19"/>
  <c r="C1945" i="19"/>
  <c r="C1946" i="19"/>
  <c r="C1947" i="19"/>
  <c r="C1948" i="19"/>
  <c r="C1949" i="19"/>
  <c r="C1950" i="19"/>
  <c r="C1951" i="19"/>
  <c r="C1952" i="19"/>
  <c r="C1953" i="19"/>
  <c r="C1954" i="19"/>
  <c r="C1955" i="19"/>
  <c r="C1956" i="19"/>
  <c r="C1957" i="19"/>
  <c r="C1958" i="19"/>
  <c r="C1959" i="19"/>
  <c r="C1960" i="19"/>
  <c r="C1961" i="19"/>
  <c r="C1962" i="19"/>
  <c r="C1963" i="19"/>
  <c r="C1964" i="19"/>
  <c r="C1965" i="19"/>
  <c r="C1966" i="19"/>
  <c r="C1967" i="19"/>
  <c r="C1968" i="19"/>
  <c r="C1969" i="19"/>
  <c r="C1970" i="19"/>
  <c r="C1971" i="19"/>
  <c r="C1972" i="19"/>
  <c r="C1973" i="19"/>
  <c r="C1974" i="19"/>
  <c r="C1975" i="19"/>
  <c r="C1976" i="19"/>
  <c r="C1977" i="19"/>
  <c r="C1978" i="19"/>
  <c r="C1979" i="19"/>
  <c r="C1980" i="19"/>
  <c r="C1981" i="19"/>
  <c r="C1982" i="19"/>
  <c r="C1983" i="19"/>
  <c r="C1984" i="19"/>
  <c r="C1985" i="19"/>
  <c r="C1986" i="19"/>
  <c r="C1987" i="19"/>
  <c r="C1988" i="19"/>
  <c r="C1989" i="19"/>
  <c r="C1990" i="19"/>
  <c r="C1991" i="19"/>
  <c r="C1992" i="19"/>
  <c r="C1993" i="19"/>
  <c r="C1994" i="19"/>
  <c r="C1995" i="19"/>
  <c r="C1996" i="19"/>
  <c r="C1997" i="19"/>
  <c r="C1998" i="19"/>
  <c r="C1999" i="19"/>
  <c r="C2000" i="19"/>
  <c r="C2001" i="19"/>
  <c r="C2002" i="19"/>
  <c r="C2003" i="19"/>
  <c r="C2004" i="19"/>
  <c r="C2005" i="19"/>
  <c r="C2006" i="19"/>
  <c r="C2007" i="19"/>
  <c r="C2008" i="19"/>
  <c r="C2009" i="19"/>
  <c r="C2010" i="19"/>
  <c r="C2011" i="19"/>
  <c r="C2012" i="19"/>
  <c r="C2013" i="19"/>
  <c r="C2014" i="19"/>
  <c r="C2015" i="19"/>
  <c r="C2016" i="19"/>
  <c r="C2017" i="19"/>
  <c r="C2018" i="19"/>
  <c r="C2019" i="19"/>
  <c r="C2020" i="19"/>
  <c r="C2021" i="19"/>
  <c r="C2022" i="19"/>
  <c r="C2023" i="19"/>
  <c r="C2024" i="19"/>
  <c r="C2025" i="19"/>
  <c r="C2026" i="19"/>
  <c r="C2027" i="19"/>
  <c r="C2028" i="19"/>
  <c r="C2029" i="19"/>
  <c r="C2030" i="19"/>
  <c r="C2031" i="19"/>
  <c r="C2032" i="19"/>
  <c r="C2033" i="19"/>
  <c r="C2034" i="19"/>
  <c r="C2035" i="19"/>
  <c r="C2036" i="19"/>
  <c r="C2037" i="19"/>
  <c r="C2038" i="19"/>
  <c r="C2039" i="19"/>
  <c r="C2040" i="19"/>
  <c r="C2041" i="19"/>
  <c r="C2042" i="19"/>
  <c r="C2043" i="19"/>
  <c r="C2044" i="19"/>
  <c r="C2045" i="19"/>
  <c r="C2046" i="19"/>
  <c r="C2047" i="19"/>
  <c r="C2048" i="19"/>
  <c r="C2049" i="19"/>
  <c r="C2050" i="19"/>
  <c r="C2051" i="19"/>
  <c r="C2052" i="19"/>
  <c r="C2053" i="19"/>
  <c r="C2054" i="19"/>
  <c r="C2055" i="19"/>
  <c r="C2056" i="19"/>
  <c r="C2057" i="19"/>
  <c r="C2058" i="19"/>
  <c r="C2059" i="19"/>
  <c r="C2060" i="19"/>
  <c r="C2061" i="19"/>
  <c r="C2062" i="19"/>
  <c r="C2063" i="19"/>
  <c r="C2064" i="19"/>
  <c r="C2065" i="19"/>
  <c r="C2066" i="19"/>
  <c r="C2067" i="19"/>
  <c r="C2068" i="19"/>
  <c r="C2069" i="19"/>
  <c r="C2070" i="19"/>
  <c r="C2071" i="19"/>
  <c r="C2072" i="19"/>
  <c r="C2073" i="19"/>
  <c r="C2074" i="19"/>
  <c r="C2075" i="19"/>
  <c r="C2076" i="19"/>
  <c r="C2077" i="19"/>
  <c r="C2078" i="19"/>
  <c r="C2079" i="19"/>
  <c r="C2080" i="19"/>
  <c r="C2081" i="19"/>
  <c r="C2082" i="19"/>
  <c r="C2083" i="19"/>
  <c r="C2084" i="19"/>
  <c r="C2085" i="19"/>
  <c r="C2086" i="19"/>
  <c r="C2087" i="19"/>
  <c r="C2088" i="19"/>
  <c r="C2089" i="19"/>
  <c r="C2090" i="19"/>
  <c r="C2091" i="19"/>
  <c r="C2092" i="19"/>
  <c r="C2093" i="19"/>
  <c r="C2094" i="19"/>
  <c r="C2095" i="19"/>
  <c r="C2096" i="19"/>
  <c r="C2097" i="19"/>
  <c r="C2098" i="19"/>
  <c r="C2099" i="19"/>
  <c r="C2100" i="19"/>
  <c r="C2101" i="19"/>
  <c r="C2102" i="19"/>
  <c r="C2103" i="19"/>
  <c r="C2104" i="19"/>
  <c r="C2105" i="19"/>
  <c r="C2106" i="19"/>
  <c r="C2107" i="19"/>
  <c r="C2108" i="19"/>
  <c r="C2109" i="19"/>
  <c r="C2110" i="19"/>
  <c r="C2111" i="19"/>
  <c r="C2112" i="19"/>
  <c r="C2113" i="19"/>
  <c r="C2114" i="19"/>
  <c r="C2115" i="19"/>
  <c r="C2116" i="19"/>
  <c r="C2117" i="19"/>
  <c r="C2118" i="19"/>
  <c r="C2119" i="19"/>
  <c r="C2120" i="19"/>
  <c r="C2121" i="19"/>
  <c r="C2122" i="19"/>
  <c r="C2123" i="19"/>
  <c r="C2124" i="19"/>
  <c r="C2125" i="19"/>
  <c r="C2126" i="19"/>
  <c r="C2127" i="19"/>
  <c r="C2128" i="19"/>
  <c r="C2129" i="19"/>
  <c r="C2130" i="19"/>
  <c r="C2131" i="19"/>
  <c r="C2132" i="19"/>
  <c r="C2133" i="19"/>
  <c r="C2134" i="19"/>
  <c r="C2135" i="19"/>
  <c r="C2136" i="19"/>
  <c r="C2137" i="19"/>
  <c r="C2138" i="19"/>
  <c r="C2139" i="19"/>
  <c r="C2140" i="19"/>
  <c r="C2141" i="19"/>
  <c r="C2142" i="19"/>
  <c r="C2143" i="19"/>
  <c r="C2144" i="19"/>
  <c r="C2145" i="19"/>
  <c r="C2146" i="19"/>
  <c r="C2147" i="19"/>
  <c r="C2148" i="19"/>
  <c r="C2149" i="19"/>
  <c r="C2150" i="19"/>
  <c r="C2151" i="19"/>
  <c r="C2152" i="19"/>
  <c r="C2153" i="19"/>
  <c r="C2154" i="19"/>
  <c r="C2155" i="19"/>
  <c r="C2156" i="19"/>
  <c r="C2157" i="19"/>
  <c r="C2158" i="19"/>
  <c r="C2159" i="19"/>
  <c r="C2160" i="19"/>
  <c r="C2161" i="19"/>
  <c r="C2162" i="19"/>
  <c r="C2163" i="19"/>
  <c r="C2164" i="19"/>
  <c r="C2165" i="19"/>
  <c r="C2166" i="19"/>
  <c r="C2167" i="19"/>
  <c r="C2168" i="19"/>
  <c r="C2169" i="19"/>
  <c r="C2170" i="19"/>
  <c r="C2171" i="19"/>
  <c r="C2172" i="19"/>
  <c r="C2173" i="19"/>
  <c r="C2174" i="19"/>
  <c r="C2175" i="19"/>
  <c r="C2176" i="19"/>
  <c r="C2177" i="19"/>
  <c r="C2178" i="19"/>
  <c r="C2179" i="19"/>
  <c r="C2180" i="19"/>
  <c r="C2181" i="19"/>
  <c r="C2182" i="19"/>
  <c r="C2183" i="19"/>
  <c r="C2184" i="19"/>
  <c r="C2185" i="19"/>
  <c r="C2186" i="19"/>
  <c r="C2187" i="19"/>
  <c r="C2188" i="19"/>
  <c r="C2189" i="19"/>
  <c r="C2190" i="19"/>
  <c r="C2191" i="19"/>
  <c r="C2192" i="19"/>
  <c r="C2193" i="19"/>
  <c r="C2194" i="19"/>
  <c r="C2195" i="19"/>
  <c r="C2196" i="19"/>
  <c r="C2197" i="19"/>
  <c r="C2198" i="19"/>
  <c r="C2199" i="19"/>
  <c r="C2200" i="19"/>
  <c r="C2201" i="19"/>
  <c r="C2202" i="19"/>
  <c r="C2203" i="19"/>
  <c r="C2204" i="19"/>
  <c r="C2205" i="19"/>
  <c r="C2206" i="19"/>
  <c r="C2207" i="19"/>
  <c r="C2208" i="19"/>
  <c r="C2209" i="19"/>
  <c r="C2210" i="19"/>
  <c r="C2211" i="19"/>
  <c r="C2212" i="19"/>
  <c r="C2213" i="19"/>
  <c r="C2214" i="19"/>
  <c r="C2215" i="19"/>
  <c r="C2216" i="19"/>
  <c r="C2217" i="19"/>
  <c r="C2218" i="19"/>
  <c r="C2219" i="19"/>
  <c r="C2220" i="19"/>
  <c r="C2221" i="19"/>
  <c r="C2222" i="19"/>
  <c r="C2223" i="19"/>
  <c r="C2224" i="19"/>
  <c r="C2225" i="19"/>
  <c r="C2226" i="19"/>
  <c r="C2227" i="19"/>
  <c r="C2228" i="19"/>
  <c r="C2229" i="19"/>
  <c r="C2230" i="19"/>
  <c r="C2231" i="19"/>
  <c r="C2232" i="19"/>
  <c r="C2233" i="19"/>
  <c r="C2234" i="19"/>
  <c r="C2235" i="19"/>
  <c r="C2236" i="19"/>
  <c r="C2237" i="19"/>
  <c r="C2238" i="19"/>
  <c r="C2239" i="19"/>
  <c r="C2240" i="19"/>
  <c r="C2241" i="19"/>
  <c r="C2242" i="19"/>
  <c r="C2243" i="19"/>
  <c r="C2244" i="19"/>
  <c r="C2245" i="19"/>
  <c r="C2246" i="19"/>
  <c r="C2247" i="19"/>
  <c r="C2248" i="19"/>
  <c r="C2249" i="19"/>
  <c r="C2250" i="19"/>
  <c r="C2251" i="19"/>
  <c r="C2252" i="19"/>
  <c r="C2253" i="19"/>
  <c r="C2254" i="19"/>
  <c r="C2255" i="19"/>
  <c r="C2256" i="19"/>
  <c r="C2257" i="19"/>
  <c r="C2258" i="19"/>
  <c r="C2259" i="19"/>
  <c r="C2260" i="19"/>
  <c r="C2261" i="19"/>
  <c r="C2262" i="19"/>
  <c r="C2263" i="19"/>
  <c r="C2264" i="19"/>
  <c r="C2265" i="19"/>
  <c r="C2266" i="19"/>
  <c r="C2267" i="19"/>
  <c r="C2268" i="19"/>
  <c r="C2269" i="19"/>
  <c r="C2270" i="19"/>
  <c r="C2271" i="19"/>
  <c r="C2272" i="19"/>
  <c r="C2273" i="19"/>
  <c r="C2274" i="19"/>
  <c r="C2275" i="19"/>
  <c r="C2276" i="19"/>
  <c r="C2277" i="19"/>
  <c r="C2278" i="19"/>
  <c r="C2279" i="19"/>
  <c r="C2280" i="19"/>
  <c r="C2281" i="19"/>
  <c r="C2282" i="19"/>
  <c r="C2283" i="19"/>
  <c r="C2284" i="19"/>
  <c r="C2285" i="19"/>
  <c r="C2286" i="19"/>
  <c r="C2287" i="19"/>
  <c r="C2288" i="19"/>
  <c r="C2289" i="19"/>
  <c r="C2290" i="19"/>
  <c r="C2291" i="19"/>
  <c r="C2292" i="19"/>
  <c r="C2293" i="19"/>
  <c r="C2294" i="19"/>
  <c r="C2295" i="19"/>
  <c r="C2296" i="19"/>
  <c r="C2297" i="19"/>
  <c r="C2298" i="19"/>
  <c r="C2299" i="19"/>
  <c r="C2300" i="19"/>
  <c r="C2301" i="19"/>
  <c r="C2302" i="19"/>
  <c r="C2303" i="19"/>
  <c r="C2304" i="19"/>
  <c r="C2305" i="19"/>
  <c r="C2306" i="19"/>
  <c r="C2307" i="19"/>
  <c r="C2308" i="19"/>
  <c r="C2309" i="19"/>
  <c r="C2310" i="19"/>
  <c r="C2311" i="19"/>
  <c r="C2312" i="19"/>
  <c r="C2313" i="19"/>
  <c r="C2314" i="19"/>
  <c r="C2315" i="19"/>
  <c r="C2316" i="19"/>
  <c r="C2317" i="19"/>
  <c r="C2318" i="19"/>
  <c r="C2319" i="19"/>
  <c r="C2320" i="19"/>
  <c r="C2321" i="19"/>
  <c r="C2322" i="19"/>
  <c r="C2323" i="19"/>
  <c r="C2324" i="19"/>
  <c r="C2325" i="19"/>
  <c r="C2326" i="19"/>
  <c r="C2327" i="19"/>
  <c r="C2328" i="19"/>
  <c r="C2329" i="19"/>
  <c r="C2330" i="19"/>
  <c r="C2331" i="19"/>
  <c r="C2332" i="19"/>
  <c r="C2333" i="19"/>
  <c r="C2334" i="19"/>
  <c r="C2335" i="19"/>
  <c r="C2336" i="19"/>
  <c r="C2337" i="19"/>
  <c r="C2338" i="19"/>
  <c r="C2339" i="19"/>
  <c r="C2340" i="19"/>
  <c r="C2341" i="19"/>
  <c r="C2342" i="19"/>
  <c r="C2343" i="19"/>
  <c r="C2344" i="19"/>
  <c r="C2345" i="19"/>
  <c r="C2346" i="19"/>
  <c r="C2347" i="19"/>
  <c r="C2348" i="19"/>
  <c r="C2349" i="19"/>
  <c r="C2350" i="19"/>
  <c r="C2351" i="19"/>
  <c r="C2352" i="19"/>
  <c r="C2353" i="19"/>
  <c r="C2354" i="19"/>
  <c r="C2355" i="19"/>
  <c r="C2356" i="19"/>
  <c r="C2357" i="19"/>
  <c r="C2358" i="19"/>
  <c r="C2359" i="19"/>
  <c r="C2360" i="19"/>
  <c r="C2361" i="19"/>
  <c r="C2362" i="19"/>
  <c r="C2363" i="19"/>
  <c r="C2364" i="19"/>
  <c r="C2365" i="19"/>
  <c r="C2366" i="19"/>
  <c r="C2367" i="19"/>
  <c r="C2368" i="19"/>
  <c r="C2369" i="19"/>
  <c r="C2370" i="19"/>
  <c r="C2371" i="19"/>
  <c r="C2372" i="19"/>
  <c r="C2373" i="19"/>
  <c r="C2374" i="19"/>
  <c r="C2375" i="19"/>
  <c r="C2376" i="19"/>
  <c r="C2377" i="19"/>
  <c r="C2378" i="19"/>
  <c r="C2379" i="19"/>
  <c r="C2380" i="19"/>
  <c r="C2381" i="19"/>
  <c r="C2382" i="19"/>
  <c r="C2383" i="19"/>
  <c r="C2384" i="19"/>
  <c r="C2385" i="19"/>
  <c r="C2386" i="19"/>
  <c r="C2387" i="19"/>
  <c r="C2388" i="19"/>
  <c r="C2389" i="19"/>
  <c r="C2390" i="19"/>
  <c r="C2391" i="19"/>
  <c r="C2392" i="19"/>
  <c r="C2393" i="19"/>
  <c r="C2394" i="19"/>
  <c r="C2395" i="19"/>
  <c r="C2396" i="19"/>
  <c r="C2397" i="19"/>
  <c r="C2398" i="19"/>
  <c r="C2399" i="19"/>
  <c r="C2400" i="19"/>
  <c r="C2401" i="19"/>
  <c r="C2402" i="19"/>
  <c r="C2403" i="19"/>
  <c r="C2404" i="19"/>
  <c r="C2405" i="19"/>
  <c r="C2406" i="19"/>
  <c r="C2407" i="19"/>
  <c r="C2408" i="19"/>
  <c r="C2409" i="19"/>
  <c r="C2410" i="19"/>
  <c r="C2411" i="19"/>
  <c r="C2412" i="19"/>
  <c r="C2413" i="19"/>
  <c r="C2414" i="19"/>
  <c r="C2415" i="19"/>
  <c r="C2416" i="19"/>
  <c r="C2417" i="19"/>
  <c r="C2418" i="19"/>
  <c r="C2419" i="19"/>
  <c r="C2420" i="19"/>
  <c r="C2421" i="19"/>
  <c r="C2422" i="19"/>
  <c r="C2423" i="19"/>
  <c r="C2424" i="19"/>
  <c r="C2425" i="19"/>
  <c r="C2426" i="19"/>
  <c r="C2427" i="19"/>
  <c r="C2428" i="19"/>
  <c r="C2429" i="19"/>
  <c r="C2430" i="19"/>
  <c r="C2431" i="19"/>
  <c r="C2432" i="19"/>
  <c r="C2433" i="19"/>
  <c r="C2434" i="19"/>
  <c r="C2435" i="19"/>
  <c r="C2436" i="19"/>
  <c r="C2437" i="19"/>
  <c r="C2438" i="19"/>
  <c r="C2439" i="19"/>
  <c r="C2440" i="19"/>
  <c r="C2441" i="19"/>
  <c r="C2442" i="19"/>
  <c r="C2443" i="19"/>
  <c r="C2444" i="19"/>
  <c r="C2445" i="19"/>
  <c r="C2446" i="19"/>
  <c r="C2447" i="19"/>
  <c r="C2448" i="19"/>
  <c r="C2449" i="19"/>
  <c r="C2450" i="19"/>
  <c r="C2451" i="19"/>
  <c r="C2452" i="19"/>
  <c r="C2453" i="19"/>
  <c r="C2454" i="19"/>
  <c r="C2455" i="19"/>
  <c r="C2456" i="19"/>
  <c r="C2457" i="19"/>
  <c r="C2458" i="19"/>
  <c r="C2459" i="19"/>
  <c r="C2460" i="19"/>
  <c r="C2461" i="19"/>
  <c r="C2462" i="19"/>
  <c r="C2463" i="19"/>
  <c r="C2464" i="19"/>
  <c r="C2465" i="19"/>
  <c r="C2466" i="19"/>
  <c r="C2467" i="19"/>
  <c r="C2468" i="19"/>
  <c r="C2469" i="19"/>
  <c r="C2470" i="19"/>
  <c r="C2471" i="19"/>
  <c r="C2472" i="19"/>
  <c r="C2473" i="19"/>
  <c r="C2474" i="19"/>
  <c r="C2475" i="19"/>
  <c r="C2476" i="19"/>
  <c r="C2477" i="19"/>
  <c r="C2478" i="19"/>
  <c r="C2479" i="19"/>
  <c r="C2480" i="19"/>
  <c r="C2481" i="19"/>
  <c r="C2482" i="19"/>
  <c r="C2483" i="19"/>
  <c r="C2484" i="19"/>
  <c r="C2485" i="19"/>
  <c r="C2486" i="19"/>
  <c r="C2487" i="19"/>
  <c r="C2488" i="19"/>
  <c r="C2489" i="19"/>
  <c r="C2490" i="19"/>
  <c r="C2491" i="19"/>
  <c r="C2492" i="19"/>
  <c r="C2493" i="19"/>
  <c r="C2494" i="19"/>
  <c r="C2495" i="19"/>
  <c r="C2496" i="19"/>
  <c r="C2497" i="19"/>
  <c r="C2498" i="19"/>
  <c r="C2499" i="19"/>
  <c r="C2500" i="19"/>
  <c r="C2501" i="19"/>
  <c r="C2502" i="19"/>
  <c r="C2503" i="19"/>
  <c r="C2504" i="19"/>
  <c r="C2505" i="19"/>
  <c r="C2506" i="19"/>
  <c r="C2507" i="19"/>
  <c r="C2508" i="19"/>
  <c r="C2509" i="19"/>
  <c r="C2510" i="19"/>
  <c r="C2511" i="19"/>
  <c r="C2512" i="19"/>
  <c r="C2513" i="19"/>
  <c r="C2514" i="19"/>
  <c r="C2515" i="19"/>
  <c r="C2516" i="19"/>
  <c r="C2517" i="19"/>
  <c r="C2518" i="19"/>
  <c r="C2519" i="19"/>
  <c r="C2520" i="19"/>
  <c r="C2521" i="19"/>
  <c r="C2522" i="19"/>
  <c r="C2523" i="19"/>
  <c r="C2524" i="19"/>
  <c r="C2525" i="19"/>
  <c r="C2526" i="19"/>
  <c r="C2527" i="19"/>
  <c r="C2528" i="19"/>
  <c r="C2529" i="19"/>
  <c r="C2530" i="19"/>
  <c r="C2531" i="19"/>
  <c r="C2532" i="19"/>
  <c r="C2533" i="19"/>
  <c r="C2534" i="19"/>
  <c r="C2535" i="19"/>
  <c r="C2536" i="19"/>
  <c r="C2537" i="19"/>
  <c r="C2538" i="19"/>
  <c r="C2539" i="19"/>
  <c r="C2540" i="19"/>
  <c r="C2541" i="19"/>
  <c r="C2542" i="19"/>
  <c r="C2543" i="19"/>
  <c r="C2544" i="19"/>
  <c r="C2545" i="19"/>
  <c r="C2546" i="19"/>
  <c r="C2547" i="19"/>
  <c r="C2548" i="19"/>
  <c r="C2549" i="19"/>
  <c r="C2550" i="19"/>
  <c r="C2551" i="19"/>
  <c r="C2552" i="19"/>
  <c r="C2553" i="19"/>
  <c r="C2554" i="19"/>
  <c r="C2555" i="19"/>
  <c r="C2556" i="19"/>
  <c r="C2557" i="19"/>
  <c r="C2558" i="19"/>
  <c r="C2559" i="19"/>
  <c r="C2560" i="19"/>
  <c r="C2561" i="19"/>
  <c r="C2562" i="19"/>
  <c r="C2563" i="19"/>
  <c r="C2564" i="19"/>
  <c r="C2565" i="19"/>
  <c r="C2566" i="19"/>
  <c r="C2567" i="19"/>
  <c r="C2568" i="19"/>
  <c r="C2569" i="19"/>
  <c r="C2570" i="19"/>
  <c r="C2571" i="19"/>
  <c r="C2572" i="19"/>
  <c r="C2573" i="19"/>
  <c r="C2574" i="19"/>
  <c r="C2575" i="19"/>
  <c r="C2576" i="19"/>
  <c r="C2577" i="19"/>
  <c r="C2578" i="19"/>
  <c r="C2579" i="19"/>
  <c r="C2580" i="19"/>
  <c r="C2581" i="19"/>
  <c r="C2582" i="19"/>
  <c r="C2583" i="19"/>
  <c r="C2584" i="19"/>
  <c r="C2585" i="19"/>
  <c r="C2586" i="19"/>
  <c r="C2587" i="19"/>
  <c r="C2588" i="19"/>
  <c r="C2589" i="19"/>
  <c r="C2590" i="19"/>
  <c r="C2591" i="19"/>
  <c r="C2592" i="19"/>
  <c r="C2593" i="19"/>
  <c r="C2594" i="19"/>
  <c r="C2595" i="19"/>
  <c r="C2596" i="19"/>
  <c r="C2597" i="19"/>
  <c r="C2598" i="19"/>
  <c r="C2599" i="19"/>
  <c r="C2600" i="19"/>
  <c r="C2601" i="19"/>
  <c r="C2602" i="19"/>
  <c r="C2603" i="19"/>
  <c r="C2604" i="19"/>
  <c r="C2605" i="19"/>
  <c r="C2606" i="19"/>
  <c r="C2607" i="19"/>
  <c r="C2608" i="19"/>
  <c r="C2609" i="19"/>
  <c r="C2610" i="19"/>
  <c r="C2611" i="19"/>
  <c r="C2612" i="19"/>
  <c r="C2613" i="19"/>
  <c r="C2614" i="19"/>
  <c r="C2615" i="19"/>
  <c r="C2616" i="19"/>
  <c r="C2617" i="19"/>
  <c r="C2618" i="19"/>
  <c r="C2619" i="19"/>
  <c r="C2620" i="19"/>
  <c r="C2621" i="19"/>
  <c r="C2622" i="19"/>
  <c r="C2623" i="19"/>
  <c r="C2624" i="19"/>
  <c r="C2625" i="19"/>
  <c r="C2626" i="19"/>
  <c r="C2627" i="19"/>
  <c r="C2628" i="19"/>
  <c r="C2629" i="19"/>
  <c r="C2630" i="19"/>
  <c r="C2631" i="19"/>
  <c r="C2632" i="19"/>
  <c r="C2633" i="19"/>
  <c r="C2634" i="19"/>
  <c r="C2635" i="19"/>
  <c r="C2636" i="19"/>
  <c r="C2637" i="19"/>
  <c r="C2638" i="19"/>
  <c r="C2639" i="19"/>
  <c r="C2640" i="19"/>
  <c r="C2641" i="19"/>
  <c r="C2642" i="19"/>
  <c r="C2643" i="19"/>
  <c r="C2644" i="19"/>
  <c r="C2645" i="19"/>
  <c r="C2646" i="19"/>
  <c r="C2647" i="19"/>
  <c r="C2648" i="19"/>
  <c r="C2649" i="19"/>
  <c r="C2650" i="19"/>
  <c r="C2651" i="19"/>
  <c r="C2652" i="19"/>
  <c r="C2653" i="19"/>
  <c r="C2654" i="19"/>
  <c r="C2655" i="19"/>
  <c r="C2656" i="19"/>
  <c r="C2657" i="19"/>
  <c r="C2658" i="19"/>
  <c r="C2659" i="19"/>
  <c r="C2660" i="19"/>
  <c r="C2661" i="19"/>
  <c r="C2662" i="19"/>
  <c r="C2663" i="19"/>
  <c r="C2664" i="19"/>
  <c r="C2665" i="19"/>
  <c r="C2666" i="19"/>
  <c r="C2667" i="19"/>
  <c r="C2668" i="19"/>
  <c r="C2669" i="19"/>
  <c r="C2670" i="19"/>
  <c r="C2671" i="19"/>
  <c r="C2672" i="19"/>
  <c r="C2673" i="19"/>
  <c r="C2674" i="19"/>
  <c r="C2675" i="19"/>
  <c r="C2676" i="19"/>
  <c r="C2677" i="19"/>
  <c r="C2678" i="19"/>
  <c r="C2679" i="19"/>
  <c r="C2680" i="19"/>
  <c r="C2681" i="19"/>
  <c r="C2682" i="19"/>
  <c r="C2683" i="19"/>
  <c r="C2684" i="19"/>
  <c r="C2685" i="19"/>
  <c r="C2686" i="19"/>
  <c r="C2687" i="19"/>
  <c r="C2688" i="19"/>
  <c r="C2689" i="19"/>
  <c r="C2690" i="19"/>
  <c r="C2691" i="19"/>
  <c r="C2692" i="19"/>
  <c r="C2693" i="19"/>
  <c r="C2694" i="19"/>
  <c r="C2695" i="19"/>
  <c r="C2696" i="19"/>
  <c r="C2697" i="19"/>
  <c r="C2698" i="19"/>
  <c r="C2699" i="19"/>
  <c r="C2700" i="19"/>
  <c r="C2701" i="19"/>
  <c r="C2702" i="19"/>
  <c r="C2703" i="19"/>
  <c r="C2704" i="19"/>
  <c r="C2705" i="19"/>
  <c r="C2706" i="19"/>
  <c r="C2707" i="19"/>
  <c r="C2708" i="19"/>
  <c r="C2709" i="19"/>
  <c r="C2710" i="19"/>
  <c r="C2711" i="19"/>
  <c r="C2712" i="19"/>
  <c r="C2713" i="19"/>
  <c r="C2714" i="19"/>
  <c r="C2715" i="19"/>
  <c r="C2716" i="19"/>
  <c r="C3" i="19"/>
  <c r="C4" i="19"/>
  <c r="C5" i="19"/>
  <c r="C6" i="19"/>
  <c r="C2" i="19"/>
  <c r="E7" i="18"/>
  <c r="F7" i="18"/>
  <c r="G7" i="18"/>
  <c r="H7" i="18"/>
  <c r="I7" i="18"/>
  <c r="J7" i="18"/>
  <c r="K7" i="18"/>
  <c r="L7" i="18"/>
  <c r="M7" i="18"/>
  <c r="N7" i="18"/>
  <c r="O7" i="18"/>
  <c r="P7" i="18"/>
  <c r="Q7" i="18"/>
  <c r="R7" i="18"/>
  <c r="S7" i="18"/>
  <c r="T7" i="18"/>
  <c r="U7" i="18"/>
  <c r="V7" i="18"/>
  <c r="W7" i="18"/>
  <c r="X7" i="18"/>
  <c r="Y7" i="18"/>
  <c r="Z7" i="18"/>
  <c r="AA7" i="18"/>
  <c r="AB7" i="18"/>
  <c r="AC7" i="18"/>
  <c r="AD7" i="18"/>
  <c r="AE7" i="18"/>
  <c r="AF7" i="18"/>
  <c r="AG7" i="18"/>
  <c r="AH7" i="18"/>
  <c r="AI7" i="18"/>
  <c r="AJ7" i="18"/>
  <c r="AK7" i="18"/>
  <c r="AL7" i="18"/>
  <c r="AM7" i="18"/>
  <c r="AN7" i="18"/>
  <c r="AO7" i="18"/>
  <c r="AP7" i="18"/>
  <c r="AQ7" i="18"/>
  <c r="AR7" i="18"/>
  <c r="AS7" i="18"/>
  <c r="AT7" i="18"/>
  <c r="AU7" i="18"/>
  <c r="AV7" i="18"/>
  <c r="AW7" i="18"/>
  <c r="AX7" i="18"/>
  <c r="AY7" i="18"/>
  <c r="AZ7" i="18"/>
  <c r="BA7" i="18"/>
  <c r="BB7" i="18"/>
  <c r="BC7" i="18"/>
  <c r="BD7" i="18"/>
  <c r="BE7" i="18"/>
  <c r="BF7" i="18"/>
  <c r="BG7" i="18"/>
  <c r="BH7" i="18"/>
  <c r="BI7" i="18"/>
  <c r="BJ7" i="18"/>
  <c r="BK7" i="18"/>
  <c r="BL7" i="18"/>
  <c r="BM7" i="18"/>
  <c r="BN7" i="18"/>
  <c r="BO7" i="18"/>
  <c r="BP7" i="18"/>
  <c r="BQ7" i="18"/>
  <c r="BR7" i="18"/>
  <c r="BS7" i="18"/>
  <c r="BT7" i="18"/>
  <c r="BU7" i="18"/>
  <c r="BV7" i="18"/>
  <c r="BW7" i="18"/>
  <c r="BX7" i="18"/>
  <c r="BY7" i="18"/>
  <c r="BZ7" i="18"/>
  <c r="CA7" i="18"/>
  <c r="CB7" i="18"/>
  <c r="CC7" i="18"/>
  <c r="CD7" i="18"/>
  <c r="CE7" i="18"/>
  <c r="CF7" i="18"/>
  <c r="CG7" i="18"/>
  <c r="CH7" i="18"/>
  <c r="CI7" i="18"/>
  <c r="CJ7" i="18"/>
  <c r="CK7" i="18"/>
  <c r="CL7" i="18"/>
  <c r="CM7" i="18"/>
  <c r="CN7" i="18"/>
  <c r="CO7" i="18"/>
  <c r="CP7" i="18"/>
  <c r="CQ7" i="18"/>
  <c r="CR7" i="18"/>
  <c r="CS7" i="18"/>
  <c r="CT7" i="18"/>
  <c r="CU7" i="18"/>
  <c r="CV7" i="18"/>
  <c r="CW7" i="18"/>
  <c r="CX7" i="18"/>
  <c r="CY7" i="18"/>
  <c r="CZ7" i="18"/>
  <c r="DA7" i="18"/>
  <c r="DB7" i="18"/>
  <c r="DC7" i="18"/>
  <c r="DD7" i="18"/>
  <c r="DE7" i="18"/>
  <c r="DF7" i="18"/>
  <c r="DG7" i="18"/>
  <c r="DH7" i="18"/>
  <c r="DI7" i="18"/>
  <c r="DJ7" i="18"/>
  <c r="DK7" i="18"/>
  <c r="DL7" i="18"/>
  <c r="DM7" i="18"/>
  <c r="DN7" i="18"/>
  <c r="DO7" i="18"/>
  <c r="DP7" i="18"/>
  <c r="DQ7" i="18"/>
  <c r="DR7" i="18"/>
  <c r="DS7" i="18"/>
  <c r="DT7" i="18"/>
  <c r="DU7" i="18"/>
  <c r="DV7" i="18"/>
  <c r="DW7" i="18"/>
  <c r="DX7" i="18"/>
  <c r="DY7" i="18"/>
  <c r="DZ7" i="18"/>
  <c r="EA7" i="18"/>
  <c r="EB7" i="18"/>
  <c r="EC7" i="18"/>
  <c r="ED7" i="18"/>
  <c r="EE7" i="18"/>
  <c r="D7" i="18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Y7" i="17"/>
  <c r="Z7" i="17"/>
  <c r="AA7" i="17"/>
  <c r="AB7" i="17"/>
  <c r="AC7" i="17"/>
  <c r="AD7" i="17"/>
  <c r="AE7" i="17"/>
  <c r="AF7" i="17"/>
  <c r="AG7" i="17"/>
  <c r="AH7" i="17"/>
  <c r="AI7" i="17"/>
  <c r="AJ7" i="17"/>
  <c r="AK7" i="17"/>
  <c r="AL7" i="17"/>
  <c r="AM7" i="17"/>
  <c r="AN7" i="17"/>
  <c r="AO7" i="17"/>
  <c r="AP7" i="17"/>
  <c r="AQ7" i="17"/>
  <c r="AR7" i="17"/>
  <c r="AS7" i="17"/>
  <c r="AT7" i="17"/>
  <c r="AU7" i="17"/>
  <c r="AV7" i="17"/>
  <c r="AW7" i="17"/>
  <c r="AX7" i="17"/>
  <c r="AY7" i="17"/>
  <c r="AZ7" i="17"/>
  <c r="BA7" i="17"/>
  <c r="BB7" i="17"/>
  <c r="BC7" i="17"/>
  <c r="BD7" i="17"/>
  <c r="BE7" i="17"/>
  <c r="BF7" i="17"/>
  <c r="BG7" i="17"/>
  <c r="BH7" i="17"/>
  <c r="BI7" i="17"/>
  <c r="BJ7" i="17"/>
  <c r="BK7" i="17"/>
  <c r="BL7" i="17"/>
  <c r="BM7" i="17"/>
  <c r="BN7" i="17"/>
  <c r="BO7" i="17"/>
  <c r="BP7" i="17"/>
  <c r="BQ7" i="17"/>
  <c r="BR7" i="17"/>
  <c r="BS7" i="17"/>
  <c r="BT7" i="17"/>
  <c r="BU7" i="17"/>
  <c r="BV7" i="17"/>
  <c r="BW7" i="17"/>
  <c r="BX7" i="17"/>
  <c r="BY7" i="17"/>
  <c r="BZ7" i="17"/>
  <c r="CA7" i="17"/>
  <c r="CB7" i="17"/>
  <c r="CC7" i="17"/>
  <c r="CD7" i="17"/>
  <c r="CE7" i="17"/>
  <c r="CF7" i="17"/>
  <c r="CG7" i="17"/>
  <c r="CH7" i="17"/>
  <c r="CI7" i="17"/>
  <c r="CJ7" i="17"/>
  <c r="CK7" i="17"/>
  <c r="CL7" i="17"/>
  <c r="CM7" i="17"/>
  <c r="CN7" i="17"/>
  <c r="CO7" i="17"/>
  <c r="CP7" i="17"/>
  <c r="CQ7" i="17"/>
  <c r="CR7" i="17"/>
  <c r="CS7" i="17"/>
  <c r="CT7" i="17"/>
  <c r="CU7" i="17"/>
  <c r="CV7" i="17"/>
  <c r="CW7" i="17"/>
  <c r="CX7" i="17"/>
  <c r="CY7" i="17"/>
  <c r="CZ7" i="17"/>
  <c r="DA7" i="17"/>
  <c r="DB7" i="17"/>
  <c r="DC7" i="17"/>
  <c r="DD7" i="17"/>
  <c r="DE7" i="17"/>
  <c r="DF7" i="17"/>
  <c r="DG7" i="17"/>
  <c r="DH7" i="17"/>
  <c r="DI7" i="17"/>
  <c r="DJ7" i="17"/>
  <c r="DK7" i="17"/>
  <c r="DL7" i="17"/>
  <c r="DM7" i="17"/>
  <c r="DN7" i="17"/>
  <c r="DO7" i="17"/>
  <c r="DP7" i="17"/>
  <c r="DQ7" i="17"/>
  <c r="DR7" i="17"/>
  <c r="DS7" i="17"/>
  <c r="DT7" i="17"/>
  <c r="DU7" i="17"/>
  <c r="DV7" i="17"/>
  <c r="DW7" i="17"/>
  <c r="DX7" i="17"/>
  <c r="DY7" i="17"/>
  <c r="DZ7" i="17"/>
  <c r="EA7" i="17"/>
  <c r="EB7" i="17"/>
  <c r="EC7" i="17"/>
  <c r="ED7" i="17"/>
  <c r="EE7" i="17"/>
  <c r="D7" i="17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AG8" i="16"/>
  <c r="AH8" i="16"/>
  <c r="AI8" i="16"/>
  <c r="AJ8" i="16"/>
  <c r="AK8" i="16"/>
  <c r="AL8" i="16"/>
  <c r="AM8" i="16"/>
  <c r="AN8" i="16"/>
  <c r="AO8" i="16"/>
  <c r="AP8" i="16"/>
  <c r="AQ8" i="16"/>
  <c r="AR8" i="16"/>
  <c r="AS8" i="16"/>
  <c r="AT8" i="16"/>
  <c r="AU8" i="16"/>
  <c r="AV8" i="16"/>
  <c r="AW8" i="16"/>
  <c r="AX8" i="16"/>
  <c r="AY8" i="16"/>
  <c r="AZ8" i="16"/>
  <c r="BA8" i="16"/>
  <c r="BB8" i="16"/>
  <c r="BC8" i="16"/>
  <c r="BD8" i="16"/>
  <c r="BE8" i="16"/>
  <c r="BF8" i="16"/>
  <c r="BG8" i="16"/>
  <c r="BH8" i="16"/>
  <c r="BI8" i="16"/>
  <c r="BJ8" i="16"/>
  <c r="BK8" i="16"/>
  <c r="BL8" i="16"/>
  <c r="BM8" i="16"/>
  <c r="BN8" i="16"/>
  <c r="BO8" i="16"/>
  <c r="BP8" i="16"/>
  <c r="BQ8" i="16"/>
  <c r="BR8" i="16"/>
  <c r="BS8" i="16"/>
  <c r="BT8" i="16"/>
  <c r="BU8" i="16"/>
  <c r="BV8" i="16"/>
  <c r="BW8" i="16"/>
  <c r="BX8" i="16"/>
  <c r="BY8" i="16"/>
  <c r="BZ8" i="16"/>
  <c r="CA8" i="16"/>
  <c r="CB8" i="16"/>
  <c r="CC8" i="16"/>
  <c r="CD8" i="16"/>
  <c r="CE8" i="16"/>
  <c r="CF8" i="16"/>
  <c r="CG8" i="16"/>
  <c r="CH8" i="16"/>
  <c r="CI8" i="16"/>
  <c r="CJ8" i="16"/>
  <c r="CK8" i="16"/>
  <c r="CL8" i="16"/>
  <c r="CM8" i="16"/>
  <c r="CN8" i="16"/>
  <c r="CO8" i="16"/>
  <c r="CP8" i="16"/>
  <c r="CQ8" i="16"/>
  <c r="CR8" i="16"/>
  <c r="CS8" i="16"/>
  <c r="CT8" i="16"/>
  <c r="CU8" i="16"/>
  <c r="CV8" i="16"/>
  <c r="CW8" i="16"/>
  <c r="CX8" i="16"/>
  <c r="CY8" i="16"/>
  <c r="CZ8" i="16"/>
  <c r="DA8" i="16"/>
  <c r="DB8" i="16"/>
  <c r="DC8" i="16"/>
  <c r="DD8" i="16"/>
  <c r="DE8" i="16"/>
  <c r="DF8" i="16"/>
  <c r="DG8" i="16"/>
  <c r="DH8" i="16"/>
  <c r="DI8" i="16"/>
  <c r="DJ8" i="16"/>
  <c r="DK8" i="16"/>
  <c r="DL8" i="16"/>
  <c r="DM8" i="16"/>
  <c r="DN8" i="16"/>
  <c r="DO8" i="16"/>
  <c r="DP8" i="16"/>
  <c r="DQ8" i="16"/>
  <c r="DR8" i="16"/>
  <c r="DS8" i="16"/>
  <c r="DT8" i="16"/>
  <c r="DU8" i="16"/>
  <c r="DV8" i="16"/>
  <c r="DW8" i="16"/>
  <c r="DX8" i="16"/>
  <c r="DY8" i="16"/>
  <c r="DZ8" i="16"/>
  <c r="EA8" i="16"/>
  <c r="EB8" i="16"/>
  <c r="EC8" i="16"/>
  <c r="ED8" i="16"/>
  <c r="EE8" i="16"/>
  <c r="EF8" i="16"/>
  <c r="EG8" i="16"/>
  <c r="EH8" i="16"/>
  <c r="EI8" i="16"/>
  <c r="EJ8" i="16"/>
  <c r="EK8" i="16"/>
  <c r="EL8" i="16"/>
  <c r="EM8" i="16"/>
  <c r="EN8" i="16"/>
  <c r="EO8" i="16"/>
  <c r="N8" i="16"/>
  <c r="M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AE7" i="16"/>
  <c r="AF7" i="16"/>
  <c r="AG7" i="16"/>
  <c r="AH7" i="16"/>
  <c r="AI7" i="16"/>
  <c r="AJ7" i="16"/>
  <c r="AK7" i="16"/>
  <c r="AL7" i="16"/>
  <c r="AM7" i="16"/>
  <c r="AN7" i="16"/>
  <c r="AO7" i="16"/>
  <c r="AP7" i="16"/>
  <c r="AQ7" i="16"/>
  <c r="AR7" i="16"/>
  <c r="AS7" i="16"/>
  <c r="AT7" i="16"/>
  <c r="AU7" i="16"/>
  <c r="AV7" i="16"/>
  <c r="AW7" i="16"/>
  <c r="AX7" i="16"/>
  <c r="AY7" i="16"/>
  <c r="AZ7" i="16"/>
  <c r="BA7" i="16"/>
  <c r="BB7" i="16"/>
  <c r="BC7" i="16"/>
  <c r="BD7" i="16"/>
  <c r="BE7" i="16"/>
  <c r="BF7" i="16"/>
  <c r="BG7" i="16"/>
  <c r="BH7" i="16"/>
  <c r="BI7" i="16"/>
  <c r="BJ7" i="16"/>
  <c r="BK7" i="16"/>
  <c r="BL7" i="16"/>
  <c r="BM7" i="16"/>
  <c r="BN7" i="16"/>
  <c r="BO7" i="16"/>
  <c r="BP7" i="16"/>
  <c r="BQ7" i="16"/>
  <c r="BR7" i="16"/>
  <c r="BS7" i="16"/>
  <c r="BT7" i="16"/>
  <c r="BU7" i="16"/>
  <c r="BV7" i="16"/>
  <c r="BW7" i="16"/>
  <c r="BX7" i="16"/>
  <c r="BY7" i="16"/>
  <c r="BZ7" i="16"/>
  <c r="CA7" i="16"/>
  <c r="CB7" i="16"/>
  <c r="CC7" i="16"/>
  <c r="CD7" i="16"/>
  <c r="CE7" i="16"/>
  <c r="CF7" i="16"/>
  <c r="CG7" i="16"/>
  <c r="CH7" i="16"/>
  <c r="CI7" i="16"/>
  <c r="CJ7" i="16"/>
  <c r="CK7" i="16"/>
  <c r="CL7" i="16"/>
  <c r="CM7" i="16"/>
  <c r="CN7" i="16"/>
  <c r="CO7" i="16"/>
  <c r="CP7" i="16"/>
  <c r="CQ7" i="16"/>
  <c r="CR7" i="16"/>
  <c r="CS7" i="16"/>
  <c r="CT7" i="16"/>
  <c r="CU7" i="16"/>
  <c r="CV7" i="16"/>
  <c r="CW7" i="16"/>
  <c r="CX7" i="16"/>
  <c r="CY7" i="16"/>
  <c r="CZ7" i="16"/>
  <c r="DA7" i="16"/>
  <c r="DB7" i="16"/>
  <c r="DC7" i="16"/>
  <c r="DD7" i="16"/>
  <c r="DE7" i="16"/>
  <c r="DF7" i="16"/>
  <c r="DG7" i="16"/>
  <c r="DH7" i="16"/>
  <c r="DI7" i="16"/>
  <c r="DJ7" i="16"/>
  <c r="DK7" i="16"/>
  <c r="DL7" i="16"/>
  <c r="DM7" i="16"/>
  <c r="DN7" i="16"/>
  <c r="DO7" i="16"/>
  <c r="DP7" i="16"/>
  <c r="DQ7" i="16"/>
  <c r="DR7" i="16"/>
  <c r="DS7" i="16"/>
  <c r="DT7" i="16"/>
  <c r="DU7" i="16"/>
  <c r="DV7" i="16"/>
  <c r="DW7" i="16"/>
  <c r="DX7" i="16"/>
  <c r="DY7" i="16"/>
  <c r="DZ7" i="16"/>
  <c r="EA7" i="16"/>
  <c r="EB7" i="16"/>
  <c r="EC7" i="16"/>
  <c r="ED7" i="16"/>
  <c r="EE7" i="16"/>
  <c r="EF7" i="16"/>
  <c r="EG7" i="16"/>
  <c r="EH7" i="16"/>
  <c r="EI7" i="16"/>
  <c r="EJ7" i="16"/>
  <c r="EK7" i="16"/>
  <c r="EL7" i="16"/>
  <c r="EM7" i="16"/>
  <c r="EN7" i="16"/>
  <c r="EO7" i="16"/>
  <c r="N7" i="16"/>
  <c r="EO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AG6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V6" i="14"/>
  <c r="AW6" i="14"/>
  <c r="AX6" i="14"/>
  <c r="AY6" i="14"/>
  <c r="AZ6" i="14"/>
  <c r="BA6" i="14"/>
  <c r="BB6" i="14"/>
  <c r="BC6" i="14"/>
  <c r="BD6" i="14"/>
  <c r="BE6" i="14"/>
  <c r="BF6" i="14"/>
  <c r="BG6" i="14"/>
  <c r="BH6" i="14"/>
  <c r="BI6" i="14"/>
  <c r="BJ6" i="14"/>
  <c r="BK6" i="14"/>
  <c r="BL6" i="14"/>
  <c r="BM6" i="14"/>
  <c r="BN6" i="14"/>
  <c r="BO6" i="14"/>
  <c r="BP6" i="14"/>
  <c r="BQ6" i="14"/>
  <c r="BR6" i="14"/>
  <c r="BS6" i="14"/>
  <c r="BT6" i="14"/>
  <c r="BU6" i="14"/>
  <c r="BV6" i="14"/>
  <c r="BW6" i="14"/>
  <c r="BX6" i="14"/>
  <c r="BY6" i="14"/>
  <c r="BZ6" i="14"/>
  <c r="CA6" i="14"/>
  <c r="CB6" i="14"/>
  <c r="CC6" i="14"/>
  <c r="CD6" i="14"/>
  <c r="CE6" i="14"/>
  <c r="CF6" i="14"/>
  <c r="CG6" i="14"/>
  <c r="CH6" i="14"/>
  <c r="CI6" i="14"/>
  <c r="CJ6" i="14"/>
  <c r="CK6" i="14"/>
  <c r="CL6" i="14"/>
  <c r="CM6" i="14"/>
  <c r="CN6" i="14"/>
  <c r="CO6" i="14"/>
  <c r="CP6" i="14"/>
  <c r="CQ6" i="14"/>
  <c r="CR6" i="14"/>
  <c r="CS6" i="14"/>
  <c r="CT6" i="14"/>
  <c r="CU6" i="14"/>
  <c r="CV6" i="14"/>
  <c r="CW6" i="14"/>
  <c r="CX6" i="14"/>
  <c r="CY6" i="14"/>
  <c r="CZ6" i="14"/>
  <c r="DA6" i="14"/>
  <c r="DB6" i="14"/>
  <c r="DC6" i="14"/>
  <c r="DD6" i="14"/>
  <c r="DE6" i="14"/>
  <c r="DF6" i="14"/>
  <c r="DG6" i="14"/>
  <c r="DH6" i="14"/>
  <c r="DI6" i="14"/>
  <c r="DJ6" i="14"/>
  <c r="DK6" i="14"/>
  <c r="DL6" i="14"/>
  <c r="DM6" i="14"/>
  <c r="DN6" i="14"/>
  <c r="DO6" i="14"/>
  <c r="DP6" i="14"/>
  <c r="DQ6" i="14"/>
  <c r="DR6" i="14"/>
  <c r="DS6" i="14"/>
  <c r="DT6" i="14"/>
  <c r="DU6" i="14"/>
  <c r="DV6" i="14"/>
  <c r="DW6" i="14"/>
  <c r="DX6" i="14"/>
  <c r="DY6" i="14"/>
  <c r="DZ6" i="14"/>
  <c r="EA6" i="14"/>
  <c r="EB6" i="14"/>
  <c r="EC6" i="14"/>
  <c r="ED6" i="14"/>
  <c r="EE6" i="14"/>
  <c r="EF6" i="14"/>
  <c r="EG6" i="14"/>
  <c r="EH6" i="14"/>
  <c r="EI6" i="14"/>
  <c r="EJ6" i="14"/>
  <c r="EK6" i="14"/>
  <c r="EL6" i="14"/>
  <c r="EM6" i="14"/>
  <c r="EN6" i="14"/>
  <c r="N6" i="14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AU6" i="13"/>
  <c r="AV6" i="13"/>
  <c r="AW6" i="13"/>
  <c r="AX6" i="13"/>
  <c r="AY6" i="13"/>
  <c r="AZ6" i="13"/>
  <c r="BA6" i="13"/>
  <c r="BB6" i="13"/>
  <c r="BC6" i="13"/>
  <c r="BD6" i="13"/>
  <c r="BE6" i="13"/>
  <c r="BF6" i="13"/>
  <c r="BG6" i="13"/>
  <c r="BH6" i="13"/>
  <c r="BI6" i="13"/>
  <c r="BJ6" i="13"/>
  <c r="BK6" i="13"/>
  <c r="BL6" i="13"/>
  <c r="BM6" i="13"/>
  <c r="BN6" i="13"/>
  <c r="BO6" i="13"/>
  <c r="BP6" i="13"/>
  <c r="BQ6" i="13"/>
  <c r="BR6" i="13"/>
  <c r="BS6" i="13"/>
  <c r="BT6" i="13"/>
  <c r="BU6" i="13"/>
  <c r="BV6" i="13"/>
  <c r="BW6" i="13"/>
  <c r="BX6" i="13"/>
  <c r="BY6" i="13"/>
  <c r="BZ6" i="13"/>
  <c r="CA6" i="13"/>
  <c r="CB6" i="13"/>
  <c r="CC6" i="13"/>
  <c r="CD6" i="13"/>
  <c r="CE6" i="13"/>
  <c r="CF6" i="13"/>
  <c r="CG6" i="13"/>
  <c r="CH6" i="13"/>
  <c r="CI6" i="13"/>
  <c r="CJ6" i="13"/>
  <c r="CK6" i="13"/>
  <c r="CL6" i="13"/>
  <c r="CM6" i="13"/>
  <c r="CN6" i="13"/>
  <c r="CO6" i="13"/>
  <c r="CP6" i="13"/>
  <c r="CQ6" i="13"/>
  <c r="CR6" i="13"/>
  <c r="CS6" i="13"/>
  <c r="CT6" i="13"/>
  <c r="CU6" i="13"/>
  <c r="CV6" i="13"/>
  <c r="CW6" i="13"/>
  <c r="CX6" i="13"/>
  <c r="CY6" i="13"/>
  <c r="CZ6" i="13"/>
  <c r="DA6" i="13"/>
  <c r="DB6" i="13"/>
  <c r="DC6" i="13"/>
  <c r="DD6" i="13"/>
  <c r="DE6" i="13"/>
  <c r="DF6" i="13"/>
  <c r="DG6" i="13"/>
  <c r="DH6" i="13"/>
  <c r="DI6" i="13"/>
  <c r="DJ6" i="13"/>
  <c r="DK6" i="13"/>
  <c r="DL6" i="13"/>
  <c r="DM6" i="13"/>
  <c r="DN6" i="13"/>
  <c r="DO6" i="13"/>
  <c r="DP6" i="13"/>
  <c r="DQ6" i="13"/>
  <c r="DR6" i="13"/>
  <c r="DS6" i="13"/>
  <c r="DT6" i="13"/>
  <c r="DU6" i="13"/>
  <c r="DV6" i="13"/>
  <c r="DW6" i="13"/>
  <c r="DX6" i="13"/>
  <c r="DY6" i="13"/>
  <c r="DZ6" i="13"/>
  <c r="EA6" i="13"/>
  <c r="EB6" i="13"/>
  <c r="EC6" i="13"/>
  <c r="ED6" i="13"/>
  <c r="EE6" i="13"/>
  <c r="EF6" i="13"/>
  <c r="EG6" i="13"/>
  <c r="EH6" i="13"/>
  <c r="EI6" i="13"/>
  <c r="EJ6" i="13"/>
  <c r="EK6" i="13"/>
  <c r="EL6" i="13"/>
  <c r="EM6" i="13"/>
  <c r="EN6" i="13"/>
  <c r="EO6" i="13"/>
  <c r="N6" i="13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W5" i="12"/>
  <c r="AX5" i="12"/>
  <c r="AY5" i="12"/>
  <c r="AZ5" i="12"/>
  <c r="BA5" i="12"/>
  <c r="BB5" i="12"/>
  <c r="BC5" i="12"/>
  <c r="BD5" i="12"/>
  <c r="BE5" i="12"/>
  <c r="BF5" i="12"/>
  <c r="BG5" i="12"/>
  <c r="BH5" i="12"/>
  <c r="BI5" i="12"/>
  <c r="BJ5" i="12"/>
  <c r="BK5" i="12"/>
  <c r="BL5" i="12"/>
  <c r="BM5" i="12"/>
  <c r="BN5" i="12"/>
  <c r="BO5" i="12"/>
  <c r="BP5" i="12"/>
  <c r="BQ5" i="12"/>
  <c r="BR5" i="12"/>
  <c r="BS5" i="12"/>
  <c r="BT5" i="12"/>
  <c r="BU5" i="12"/>
  <c r="BV5" i="12"/>
  <c r="BW5" i="12"/>
  <c r="BX5" i="12"/>
  <c r="BY5" i="12"/>
  <c r="BZ5" i="12"/>
  <c r="CA5" i="12"/>
  <c r="CB5" i="12"/>
  <c r="CC5" i="12"/>
  <c r="CD5" i="12"/>
  <c r="CE5" i="12"/>
  <c r="CF5" i="12"/>
  <c r="CG5" i="12"/>
  <c r="CH5" i="12"/>
  <c r="CI5" i="12"/>
  <c r="CJ5" i="12"/>
  <c r="CK5" i="12"/>
  <c r="CL5" i="12"/>
  <c r="CM5" i="12"/>
  <c r="CN5" i="12"/>
  <c r="CO5" i="12"/>
  <c r="CP5" i="12"/>
  <c r="CQ5" i="12"/>
  <c r="CR5" i="12"/>
  <c r="CS5" i="12"/>
  <c r="CT5" i="12"/>
  <c r="CU5" i="12"/>
  <c r="CV5" i="12"/>
  <c r="CW5" i="12"/>
  <c r="CX5" i="12"/>
  <c r="CY5" i="12"/>
  <c r="CZ5" i="12"/>
  <c r="DA5" i="12"/>
  <c r="DB5" i="12"/>
  <c r="DC5" i="12"/>
  <c r="DD5" i="12"/>
  <c r="DE5" i="12"/>
  <c r="DF5" i="12"/>
  <c r="DG5" i="12"/>
  <c r="DH5" i="12"/>
  <c r="DI5" i="12"/>
  <c r="DJ5" i="12"/>
  <c r="DK5" i="12"/>
  <c r="DL5" i="12"/>
  <c r="DM5" i="12"/>
  <c r="DN5" i="12"/>
  <c r="DO5" i="12"/>
  <c r="DP5" i="12"/>
  <c r="DQ5" i="12"/>
  <c r="DR5" i="12"/>
  <c r="DS5" i="12"/>
  <c r="DT5" i="12"/>
  <c r="DU5" i="12"/>
  <c r="DV5" i="12"/>
  <c r="DW5" i="12"/>
  <c r="DX5" i="12"/>
  <c r="DY5" i="12"/>
  <c r="DZ5" i="12"/>
  <c r="EA5" i="12"/>
  <c r="EB5" i="12"/>
  <c r="EC5" i="12"/>
  <c r="ED5" i="12"/>
  <c r="EE5" i="12"/>
  <c r="EF5" i="12"/>
  <c r="EG5" i="12"/>
  <c r="EH5" i="12"/>
  <c r="EI5" i="12"/>
  <c r="EJ5" i="12"/>
  <c r="EK5" i="12"/>
  <c r="EL5" i="12"/>
  <c r="EM5" i="12"/>
  <c r="EN5" i="12"/>
  <c r="EO5" i="12"/>
  <c r="N5" i="12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AP5" i="11"/>
  <c r="AQ5" i="11"/>
  <c r="AR5" i="11"/>
  <c r="AS5" i="11"/>
  <c r="AT5" i="11"/>
  <c r="AU5" i="11"/>
  <c r="AV5" i="11"/>
  <c r="AW5" i="11"/>
  <c r="AX5" i="11"/>
  <c r="AY5" i="11"/>
  <c r="AZ5" i="11"/>
  <c r="BA5" i="11"/>
  <c r="BB5" i="11"/>
  <c r="BC5" i="11"/>
  <c r="BD5" i="11"/>
  <c r="BE5" i="11"/>
  <c r="BF5" i="11"/>
  <c r="BG5" i="11"/>
  <c r="BH5" i="11"/>
  <c r="BI5" i="11"/>
  <c r="BJ5" i="11"/>
  <c r="BK5" i="11"/>
  <c r="BL5" i="11"/>
  <c r="BM5" i="11"/>
  <c r="BN5" i="11"/>
  <c r="BO5" i="11"/>
  <c r="BP5" i="11"/>
  <c r="BQ5" i="11"/>
  <c r="BR5" i="11"/>
  <c r="BS5" i="11"/>
  <c r="BT5" i="11"/>
  <c r="BU5" i="11"/>
  <c r="BV5" i="11"/>
  <c r="BW5" i="11"/>
  <c r="BX5" i="11"/>
  <c r="BY5" i="11"/>
  <c r="BZ5" i="11"/>
  <c r="CA5" i="11"/>
  <c r="CB5" i="11"/>
  <c r="CC5" i="11"/>
  <c r="CD5" i="11"/>
  <c r="CE5" i="11"/>
  <c r="CF5" i="11"/>
  <c r="CG5" i="11"/>
  <c r="CH5" i="11"/>
  <c r="CI5" i="11"/>
  <c r="CJ5" i="11"/>
  <c r="CK5" i="11"/>
  <c r="CL5" i="11"/>
  <c r="CM5" i="11"/>
  <c r="CN5" i="11"/>
  <c r="CO5" i="11"/>
  <c r="CP5" i="11"/>
  <c r="CQ5" i="11"/>
  <c r="CR5" i="11"/>
  <c r="CS5" i="11"/>
  <c r="CT5" i="11"/>
  <c r="CU5" i="11"/>
  <c r="CV5" i="11"/>
  <c r="CW5" i="11"/>
  <c r="CX5" i="11"/>
  <c r="CY5" i="11"/>
  <c r="CZ5" i="11"/>
  <c r="DA5" i="11"/>
  <c r="DB5" i="11"/>
  <c r="DC5" i="11"/>
  <c r="DD5" i="11"/>
  <c r="DE5" i="11"/>
  <c r="DF5" i="11"/>
  <c r="DG5" i="11"/>
  <c r="DH5" i="11"/>
  <c r="DI5" i="11"/>
  <c r="DJ5" i="11"/>
  <c r="DK5" i="11"/>
  <c r="DL5" i="11"/>
  <c r="DM5" i="11"/>
  <c r="DN5" i="11"/>
  <c r="DO5" i="11"/>
  <c r="DP5" i="11"/>
  <c r="DQ5" i="11"/>
  <c r="DR5" i="11"/>
  <c r="DS5" i="11"/>
  <c r="DT5" i="11"/>
  <c r="DU5" i="11"/>
  <c r="DV5" i="11"/>
  <c r="DW5" i="11"/>
  <c r="DX5" i="11"/>
  <c r="DY5" i="11"/>
  <c r="DZ5" i="11"/>
  <c r="EA5" i="11"/>
  <c r="EB5" i="11"/>
  <c r="EC5" i="11"/>
  <c r="ED5" i="11"/>
  <c r="C5" i="11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J9" i="10"/>
  <c r="AK9" i="10"/>
  <c r="AL9" i="10"/>
  <c r="AM9" i="10"/>
  <c r="AN9" i="10"/>
  <c r="AO9" i="10"/>
  <c r="AP9" i="10"/>
  <c r="AQ9" i="10"/>
  <c r="AR9" i="10"/>
  <c r="AS9" i="10"/>
  <c r="AT9" i="10"/>
  <c r="AU9" i="10"/>
  <c r="AV9" i="10"/>
  <c r="AW9" i="10"/>
  <c r="AX9" i="10"/>
  <c r="AY9" i="10"/>
  <c r="AZ9" i="10"/>
  <c r="BA9" i="10"/>
  <c r="BB9" i="10"/>
  <c r="BC9" i="10"/>
  <c r="BD9" i="10"/>
  <c r="BE9" i="10"/>
  <c r="BF9" i="10"/>
  <c r="BG9" i="10"/>
  <c r="BH9" i="10"/>
  <c r="BI9" i="10"/>
  <c r="BJ9" i="10"/>
  <c r="BK9" i="10"/>
  <c r="BL9" i="10"/>
  <c r="BM9" i="10"/>
  <c r="BN9" i="10"/>
  <c r="BO9" i="10"/>
  <c r="BP9" i="10"/>
  <c r="BQ9" i="10"/>
  <c r="BR9" i="10"/>
  <c r="BS9" i="10"/>
  <c r="BT9" i="10"/>
  <c r="BU9" i="10"/>
  <c r="BV9" i="10"/>
  <c r="BW9" i="10"/>
  <c r="BX9" i="10"/>
  <c r="BY9" i="10"/>
  <c r="BZ9" i="10"/>
  <c r="CA9" i="10"/>
  <c r="CB9" i="10"/>
  <c r="CC9" i="10"/>
  <c r="CD9" i="10"/>
  <c r="CE9" i="10"/>
  <c r="CF9" i="10"/>
  <c r="CG9" i="10"/>
  <c r="CH9" i="10"/>
  <c r="CI9" i="10"/>
  <c r="CJ9" i="10"/>
  <c r="CK9" i="10"/>
  <c r="CL9" i="10"/>
  <c r="CM9" i="10"/>
  <c r="CN9" i="10"/>
  <c r="CO9" i="10"/>
  <c r="CP9" i="10"/>
  <c r="CQ9" i="10"/>
  <c r="CR9" i="10"/>
  <c r="CS9" i="10"/>
  <c r="CT9" i="10"/>
  <c r="CU9" i="10"/>
  <c r="CV9" i="10"/>
  <c r="CW9" i="10"/>
  <c r="CX9" i="10"/>
  <c r="CY9" i="10"/>
  <c r="CZ9" i="10"/>
  <c r="DA9" i="10"/>
  <c r="DB9" i="10"/>
  <c r="DC9" i="10"/>
  <c r="DD9" i="10"/>
  <c r="DE9" i="10"/>
  <c r="DF9" i="10"/>
  <c r="DG9" i="10"/>
  <c r="DH9" i="10"/>
  <c r="DI9" i="10"/>
  <c r="DJ9" i="10"/>
  <c r="DK9" i="10"/>
  <c r="DL9" i="10"/>
  <c r="DM9" i="10"/>
  <c r="DN9" i="10"/>
  <c r="DO9" i="10"/>
  <c r="DP9" i="10"/>
  <c r="DQ9" i="10"/>
  <c r="DR9" i="10"/>
  <c r="DS9" i="10"/>
  <c r="DT9" i="10"/>
  <c r="DU9" i="10"/>
  <c r="DV9" i="10"/>
  <c r="DW9" i="10"/>
  <c r="DX9" i="10"/>
  <c r="DY9" i="10"/>
  <c r="DZ9" i="10"/>
  <c r="EA9" i="10"/>
  <c r="EB9" i="10"/>
  <c r="EC9" i="10"/>
  <c r="ED9" i="10"/>
  <c r="C9" i="10"/>
  <c r="C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BC7" i="9"/>
  <c r="BD7" i="9"/>
  <c r="BE7" i="9"/>
  <c r="BF7" i="9"/>
  <c r="BG7" i="9"/>
  <c r="BH7" i="9"/>
  <c r="BI7" i="9"/>
  <c r="BJ7" i="9"/>
  <c r="BK7" i="9"/>
  <c r="BL7" i="9"/>
  <c r="BM7" i="9"/>
  <c r="BN7" i="9"/>
  <c r="BO7" i="9"/>
  <c r="BP7" i="9"/>
  <c r="BQ7" i="9"/>
  <c r="BR7" i="9"/>
  <c r="BS7" i="9"/>
  <c r="BT7" i="9"/>
  <c r="BU7" i="9"/>
  <c r="BV7" i="9"/>
  <c r="BW7" i="9"/>
  <c r="BX7" i="9"/>
  <c r="BY7" i="9"/>
  <c r="BZ7" i="9"/>
  <c r="CA7" i="9"/>
  <c r="CB7" i="9"/>
  <c r="CC7" i="9"/>
  <c r="CD7" i="9"/>
  <c r="CE7" i="9"/>
  <c r="CF7" i="9"/>
  <c r="CG7" i="9"/>
  <c r="CH7" i="9"/>
  <c r="CI7" i="9"/>
  <c r="CJ7" i="9"/>
  <c r="CK7" i="9"/>
  <c r="CL7" i="9"/>
  <c r="CM7" i="9"/>
  <c r="CN7" i="9"/>
  <c r="CO7" i="9"/>
  <c r="CP7" i="9"/>
  <c r="CQ7" i="9"/>
  <c r="CR7" i="9"/>
  <c r="CS7" i="9"/>
  <c r="CT7" i="9"/>
  <c r="CU7" i="9"/>
  <c r="CV7" i="9"/>
  <c r="CW7" i="9"/>
  <c r="CX7" i="9"/>
  <c r="CY7" i="9"/>
  <c r="CZ7" i="9"/>
  <c r="DA7" i="9"/>
  <c r="DB7" i="9"/>
  <c r="DC7" i="9"/>
  <c r="DD7" i="9"/>
  <c r="DE7" i="9"/>
  <c r="DF7" i="9"/>
  <c r="DG7" i="9"/>
  <c r="DH7" i="9"/>
  <c r="DI7" i="9"/>
  <c r="DJ7" i="9"/>
  <c r="DK7" i="9"/>
  <c r="DL7" i="9"/>
  <c r="DM7" i="9"/>
  <c r="DN7" i="9"/>
  <c r="DO7" i="9"/>
  <c r="DP7" i="9"/>
  <c r="DQ7" i="9"/>
  <c r="DR7" i="9"/>
  <c r="DS7" i="9"/>
  <c r="DT7" i="9"/>
  <c r="DU7" i="9"/>
  <c r="DV7" i="9"/>
  <c r="DW7" i="9"/>
  <c r="DX7" i="9"/>
  <c r="DY7" i="9"/>
  <c r="DZ7" i="9"/>
  <c r="EA7" i="9"/>
  <c r="EB7" i="9"/>
  <c r="EC7" i="9"/>
  <c r="B7" i="9"/>
  <c r="DL5" i="7"/>
  <c r="DR5" i="7"/>
  <c r="DO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BJ5" i="7"/>
  <c r="BK5" i="7"/>
  <c r="BL5" i="7"/>
  <c r="BM5" i="7"/>
  <c r="BN5" i="7"/>
  <c r="BO5" i="7"/>
  <c r="BP5" i="7"/>
  <c r="BQ5" i="7"/>
  <c r="BR5" i="7"/>
  <c r="BS5" i="7"/>
  <c r="BT5" i="7"/>
  <c r="BU5" i="7"/>
  <c r="BV5" i="7"/>
  <c r="BW5" i="7"/>
  <c r="BX5" i="7"/>
  <c r="BY5" i="7"/>
  <c r="BZ5" i="7"/>
  <c r="CA5" i="7"/>
  <c r="CB5" i="7"/>
  <c r="CC5" i="7"/>
  <c r="CD5" i="7"/>
  <c r="CE5" i="7"/>
  <c r="CF5" i="7"/>
  <c r="CG5" i="7"/>
  <c r="CH5" i="7"/>
  <c r="CI5" i="7"/>
  <c r="CJ5" i="7"/>
  <c r="CK5" i="7"/>
  <c r="CL5" i="7"/>
  <c r="CM5" i="7"/>
  <c r="CN5" i="7"/>
  <c r="CO5" i="7"/>
  <c r="CP5" i="7"/>
  <c r="CQ5" i="7"/>
  <c r="CR5" i="7"/>
  <c r="CS5" i="7"/>
  <c r="CT5" i="7"/>
  <c r="CU5" i="7"/>
  <c r="CV5" i="7"/>
  <c r="CW5" i="7"/>
  <c r="CX5" i="7"/>
  <c r="CY5" i="7"/>
  <c r="CZ5" i="7"/>
  <c r="DA5" i="7"/>
  <c r="DB5" i="7"/>
  <c r="DC5" i="7"/>
  <c r="DD5" i="7"/>
  <c r="DE5" i="7"/>
  <c r="DF5" i="7"/>
  <c r="DG5" i="7"/>
  <c r="DH5" i="7"/>
  <c r="DI5" i="7"/>
  <c r="DJ5" i="7"/>
  <c r="DK5" i="7"/>
  <c r="DM5" i="7"/>
  <c r="DN5" i="7"/>
  <c r="DP5" i="7"/>
  <c r="DQ5" i="7"/>
  <c r="DS5" i="7"/>
  <c r="DT5" i="7"/>
  <c r="DU5" i="7"/>
  <c r="DV5" i="7"/>
  <c r="DW5" i="7"/>
  <c r="DX5" i="7"/>
  <c r="DY5" i="7"/>
  <c r="DZ5" i="7"/>
  <c r="EA5" i="7"/>
  <c r="EB5" i="7"/>
  <c r="E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C5" i="7"/>
  <c r="EO6" i="6"/>
  <c r="E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P6" i="6"/>
  <c r="O6" i="6"/>
  <c r="D133" i="20"/>
  <c r="D132" i="20"/>
  <c r="D131" i="20"/>
  <c r="D130" i="20"/>
  <c r="D129" i="20"/>
  <c r="D128" i="20"/>
  <c r="D127" i="20"/>
  <c r="D126" i="20"/>
  <c r="D125" i="20"/>
  <c r="D124" i="20"/>
  <c r="D123" i="20"/>
  <c r="D122" i="20"/>
  <c r="D121" i="20"/>
  <c r="D120" i="20"/>
  <c r="D119" i="20"/>
  <c r="D118" i="20"/>
  <c r="D117" i="20"/>
  <c r="D116" i="20"/>
  <c r="D115" i="20"/>
  <c r="D114" i="20"/>
  <c r="D113" i="20"/>
  <c r="D112" i="20"/>
  <c r="D111" i="20"/>
  <c r="D110" i="20"/>
  <c r="D109" i="20"/>
  <c r="D108" i="20"/>
  <c r="D107" i="20"/>
  <c r="D106" i="20"/>
  <c r="D105" i="20"/>
  <c r="D104" i="20"/>
  <c r="D103" i="20"/>
  <c r="D102" i="20"/>
  <c r="D101" i="20"/>
  <c r="D100" i="20"/>
  <c r="D99" i="20"/>
  <c r="D98" i="20"/>
  <c r="D97" i="20"/>
  <c r="D96" i="20"/>
  <c r="D95" i="20"/>
  <c r="D94" i="20"/>
  <c r="D93" i="20"/>
  <c r="D92" i="20"/>
  <c r="D91" i="20"/>
  <c r="D90" i="20"/>
  <c r="D89" i="20"/>
  <c r="D88" i="20"/>
  <c r="D87" i="20"/>
  <c r="D86" i="20"/>
  <c r="D85" i="20"/>
  <c r="D84" i="20"/>
  <c r="D83" i="20"/>
  <c r="D82" i="20"/>
  <c r="D81" i="20"/>
  <c r="D80" i="20"/>
  <c r="D79" i="20"/>
  <c r="D78" i="20"/>
  <c r="D77" i="20"/>
  <c r="D76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Z9" i="5"/>
  <c r="EA9" i="5"/>
  <c r="EB9" i="5"/>
  <c r="EC9" i="5"/>
  <c r="C9" i="5"/>
  <c r="E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C8" i="5"/>
  <c r="B8" i="5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C6" i="2"/>
</calcChain>
</file>

<file path=xl/sharedStrings.xml><?xml version="1.0" encoding="utf-8"?>
<sst xmlns="http://schemas.openxmlformats.org/spreadsheetml/2006/main" count="5713" uniqueCount="211">
  <si>
    <t xml:space="preserve">    2. Оборот розничной торговли в сопоставимых ценах - есть</t>
  </si>
  <si>
    <t xml:space="preserve">    3. Реальная среднемесячная заработная плата</t>
  </si>
  <si>
    <t xml:space="preserve">    4. Грузооборот транспорта - есть</t>
  </si>
  <si>
    <t xml:space="preserve">    6. Уровень безработицы по методологии МОТ</t>
  </si>
  <si>
    <t xml:space="preserve">    7. Численность занятых или уровень занятости</t>
  </si>
  <si>
    <t xml:space="preserve">    9. БИПЦ - есть</t>
  </si>
  <si>
    <t xml:space="preserve">    10.    Индекс цен производителей промышленной продукции - есть</t>
  </si>
  <si>
    <t xml:space="preserve">    11.    Ключевая ставка - есть</t>
  </si>
  <si>
    <t xml:space="preserve">    12.    Денежная масса М2 - есть в обзоре БС</t>
  </si>
  <si>
    <t xml:space="preserve">    13.    Кредит нефинансовым организациям - есть в обзоре БС</t>
  </si>
  <si>
    <t xml:space="preserve">    14.    Требования банков к домашним хозяйствам / Кредит населению - есть в обзоре БС</t>
  </si>
  <si>
    <t xml:space="preserve">    15.    Курс USD/RUB - есть</t>
  </si>
  <si>
    <t xml:space="preserve">    16.    Международные резервы - есть</t>
  </si>
  <si>
    <t xml:space="preserve">    17.    Экспорт товаров - есть в Внешняя торговля РФ</t>
  </si>
  <si>
    <t xml:space="preserve">    18.    Импорт товаров - есть в Внешняя торговля РФ</t>
  </si>
  <si>
    <t>Промежуток</t>
  </si>
  <si>
    <t>2015-2025 все месяца</t>
  </si>
  <si>
    <t>2006-2025 все месяца + 2 месяца 2026</t>
  </si>
  <si>
    <t>2015-2025 все месяца + 2 месяца 2026</t>
  </si>
  <si>
    <t>2010-2025 все месяца + 2 месяца 2026</t>
  </si>
  <si>
    <t>ВАЖНО! Перевести номинальную в реальную через ипц</t>
  </si>
  <si>
    <t>2013-2025 все месяца + 1 месяц 2026</t>
  </si>
  <si>
    <t>сентябрь 2013-март 2026</t>
  </si>
  <si>
    <t>2010-2025 все месяца + 4 месяца 2026</t>
  </si>
  <si>
    <t>1997-2025 все месяца</t>
  </si>
  <si>
    <t>2001-2025 все месяца + 4 месяца 2026</t>
  </si>
  <si>
    <t xml:space="preserve">    8. CPI (индекс потребительских цен, инфляция) - есть инфляция</t>
  </si>
  <si>
    <t>Выразать ипц через инфляцию для зп</t>
  </si>
  <si>
    <t>Параметр</t>
  </si>
  <si>
    <t>Итоговый временной ряд</t>
  </si>
  <si>
    <t>2003-2025 все месяца + 2 месяца 2026</t>
  </si>
  <si>
    <t>2012-2025 все месяца + 3 месяца 2026</t>
  </si>
  <si>
    <t>2015 год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</si>
  <si>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</si>
  <si>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</si>
  <si>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</si>
  <si>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</si>
  <si>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</si>
  <si>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</si>
  <si>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</si>
  <si>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2024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</si>
  <si>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</si>
  <si>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</si>
  <si>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</si>
  <si>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</si>
  <si>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</si>
  <si>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</si>
  <si>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</si>
  <si>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</si>
  <si>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</si>
  <si>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</si>
  <si>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</si>
  <si>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</si>
  <si>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Наименование ОКВЭД2</t>
  </si>
  <si>
    <t>Код ОКВЭД2</t>
  </si>
  <si>
    <t xml:space="preserve">BCDE </t>
  </si>
  <si>
    <t>Оборот розничной торговли (миллион рублей)</t>
  </si>
  <si>
    <t/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</si>
  <si>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</si>
  <si>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</si>
  <si>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</si>
  <si>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</si>
  <si>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</si>
  <si>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</si>
  <si>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</si>
  <si>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</si>
  <si>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</si>
  <si>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</si>
  <si>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</si>
  <si>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</si>
  <si>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Российская Федерация</t>
  </si>
  <si>
    <t>Всего</t>
  </si>
  <si>
    <t>Среднемесячная номинальная начисленная заработная плата работающих в экономике.  (рубль)</t>
  </si>
  <si>
    <t>Перевозки грузов и грузооборот транспорта</t>
  </si>
  <si>
    <t>Показатель</t>
  </si>
  <si>
    <t>Год</t>
  </si>
  <si>
    <t>Месяц</t>
  </si>
  <si>
    <t>Грузооборот по видам транспорта, млн. т-км</t>
  </si>
  <si>
    <t>Февраль</t>
  </si>
  <si>
    <t>Январь</t>
  </si>
  <si>
    <t>Декабрь</t>
  </si>
  <si>
    <t>Ноябрь</t>
  </si>
  <si>
    <t>Октябрь</t>
  </si>
  <si>
    <t>Сентябрь</t>
  </si>
  <si>
    <t>Август</t>
  </si>
  <si>
    <t>Июль</t>
  </si>
  <si>
    <t>Июнь</t>
  </si>
  <si>
    <t>Май</t>
  </si>
  <si>
    <t>Апрель</t>
  </si>
  <si>
    <t>Март</t>
  </si>
  <si>
    <t>транспорт - всего</t>
  </si>
  <si>
    <t xml:space="preserve"> </t>
  </si>
  <si>
    <t>месяц</t>
  </si>
  <si>
    <t>год</t>
  </si>
  <si>
    <t>Объем платных услуг населению (оперативные данные) (тысяча рублей)</t>
  </si>
  <si>
    <t>Уровень безработицы (по методологии Международной организации труда) (оперативные данные) (процент)</t>
  </si>
  <si>
    <t>процент</t>
  </si>
  <si>
    <t>Инфляция, % г/г</t>
  </si>
  <si>
    <t>Базовый индекс потребительских цен на товары и услуги (процент)</t>
  </si>
  <si>
    <t>К предыдущему месяцу</t>
  </si>
  <si>
    <t xml:space="preserve">    5. Объем платных услуг населению - есть</t>
  </si>
  <si>
    <t xml:space="preserve">    1. Индекс промышленного производства (ИПП) - есть</t>
  </si>
  <si>
    <t>Индексы цен производителей по видам экономической деятельности с 2012 г. по 2016 г. (процент)</t>
  </si>
  <si>
    <t xml:space="preserve">    Внутренний рынок</t>
  </si>
  <si>
    <t>Индексы цен производителей по видам экономической деятельности</t>
  </si>
  <si>
    <t>Индексы цен производителей по видам экономической деятельности с 2017 г. (процент)</t>
  </si>
  <si>
    <t>ОБРАБАТЫВАЮЩИЕ ПРОИЗВОДСТВА</t>
  </si>
  <si>
    <t>Ключевая ставка, % годовых</t>
  </si>
  <si>
    <t>Обзор банковской системы*, млн рублей</t>
  </si>
  <si>
    <t xml:space="preserve"> Денежный агрегат М2</t>
  </si>
  <si>
    <t>Кредит нефинансовым организациям</t>
  </si>
  <si>
    <t>Кредиты и займы</t>
  </si>
  <si>
    <t>Требования банков к домашним хозяйствам / Кредит населению</t>
  </si>
  <si>
    <t>Пересчитать на среднемесячный</t>
  </si>
  <si>
    <t>Курс USD/RUB</t>
  </si>
  <si>
    <t>nominal</t>
  </si>
  <si>
    <t>data</t>
  </si>
  <si>
    <t>curs</t>
  </si>
  <si>
    <t>cdx</t>
  </si>
  <si>
    <t>Доллар США</t>
  </si>
  <si>
    <t>Написать код для вычисления и после составить таблицу</t>
  </si>
  <si>
    <t>Международные резервы</t>
  </si>
  <si>
    <t>млн долл. США</t>
  </si>
  <si>
    <t>Дата</t>
  </si>
  <si>
    <t>Экспорт товаров</t>
  </si>
  <si>
    <t>Период</t>
  </si>
  <si>
    <t>Янв</t>
  </si>
  <si>
    <t>Фев</t>
  </si>
  <si>
    <t>Мар</t>
  </si>
  <si>
    <t>Апр</t>
  </si>
  <si>
    <t>Июн</t>
  </si>
  <si>
    <t>Июл</t>
  </si>
  <si>
    <t>Авг</t>
  </si>
  <si>
    <t>Сен</t>
  </si>
  <si>
    <t>Окт</t>
  </si>
  <si>
    <t>Ноя</t>
  </si>
  <si>
    <t>Дек</t>
  </si>
  <si>
    <t xml:space="preserve">Экспорт товаров (ФОБ) </t>
  </si>
  <si>
    <t>в % к соответст-вующему периоду предыду-щего года</t>
  </si>
  <si>
    <t>Импорт товаров (ФОБ)</t>
  </si>
  <si>
    <t>11 лет</t>
  </si>
  <si>
    <r>
      <t>Индексы производства по отдельным видам экономической деятельности по Российской Федерации</t>
    </r>
    <r>
      <rPr>
        <b/>
        <vertAlign val="superscript"/>
        <sz val="12"/>
        <color theme="1"/>
        <rFont val="Times New Roman"/>
        <family val="1"/>
        <charset val="204"/>
      </rPr>
      <t>1</t>
    </r>
  </si>
  <si>
    <t>(в % к соответствующему месяцу предыдущего года)</t>
  </si>
  <si>
    <r>
      <t>2023</t>
    </r>
    <r>
      <rPr>
        <sz val="12"/>
        <color theme="1"/>
        <rFont val="Times New Roman"/>
        <family val="1"/>
        <charset val="204"/>
      </rPr>
      <t xml:space="preserve"> год</t>
    </r>
  </si>
  <si>
    <t>2025 год</t>
  </si>
  <si>
    <r>
      <t>октябрь</t>
    </r>
    <r>
      <rPr>
        <vertAlign val="superscript"/>
        <sz val="10"/>
        <rFont val="Times New Roman"/>
        <family val="1"/>
        <charset val="204"/>
      </rPr>
      <t>2</t>
    </r>
  </si>
  <si>
    <r>
      <t>ноябрь</t>
    </r>
    <r>
      <rPr>
        <vertAlign val="superscript"/>
        <sz val="10"/>
        <rFont val="Times New Roman"/>
        <family val="1"/>
        <charset val="204"/>
      </rPr>
      <t>2</t>
    </r>
  </si>
  <si>
    <r>
      <t>декабрь</t>
    </r>
    <r>
      <rPr>
        <vertAlign val="superscript"/>
        <sz val="10"/>
        <rFont val="Times New Roman"/>
        <family val="1"/>
        <charset val="204"/>
      </rPr>
      <t>2</t>
    </r>
  </si>
  <si>
    <r>
      <t>январь</t>
    </r>
    <r>
      <rPr>
        <vertAlign val="superscript"/>
        <sz val="10"/>
        <rFont val="Times New Roman"/>
        <family val="1"/>
        <charset val="204"/>
      </rPr>
      <t>2</t>
    </r>
  </si>
  <si>
    <r>
      <t>февраль</t>
    </r>
    <r>
      <rPr>
        <vertAlign val="superscript"/>
        <sz val="10"/>
        <rFont val="Times New Roman"/>
        <family val="1"/>
        <charset val="204"/>
      </rPr>
      <t>2</t>
    </r>
  </si>
  <si>
    <r>
      <t>март</t>
    </r>
    <r>
      <rPr>
        <vertAlign val="superscript"/>
        <sz val="10"/>
        <rFont val="Times New Roman"/>
        <family val="1"/>
        <charset val="204"/>
      </rPr>
      <t>2</t>
    </r>
  </si>
  <si>
    <r>
      <t>апрель</t>
    </r>
    <r>
      <rPr>
        <vertAlign val="superscript"/>
        <sz val="10"/>
        <rFont val="Times New Roman"/>
        <family val="1"/>
        <charset val="204"/>
      </rPr>
      <t>2</t>
    </r>
  </si>
  <si>
    <r>
      <t>май</t>
    </r>
    <r>
      <rPr>
        <vertAlign val="superscript"/>
        <sz val="10"/>
        <rFont val="Times New Roman"/>
        <family val="1"/>
        <charset val="204"/>
      </rPr>
      <t>2</t>
    </r>
  </si>
  <si>
    <r>
      <t>июнь</t>
    </r>
    <r>
      <rPr>
        <vertAlign val="superscript"/>
        <sz val="10"/>
        <rFont val="Times New Roman"/>
        <family val="1"/>
        <charset val="204"/>
      </rPr>
      <t>2</t>
    </r>
  </si>
  <si>
    <r>
      <t>июль</t>
    </r>
    <r>
      <rPr>
        <vertAlign val="superscript"/>
        <sz val="10"/>
        <rFont val="Times New Roman"/>
        <family val="1"/>
        <charset val="204"/>
      </rPr>
      <t>2</t>
    </r>
  </si>
  <si>
    <r>
      <t>август</t>
    </r>
    <r>
      <rPr>
        <vertAlign val="superscript"/>
        <sz val="10"/>
        <rFont val="Times New Roman"/>
        <family val="1"/>
        <charset val="204"/>
      </rPr>
      <t>2</t>
    </r>
  </si>
  <si>
    <r>
      <t>сентябрь</t>
    </r>
    <r>
      <rPr>
        <vertAlign val="superscript"/>
        <sz val="10"/>
        <rFont val="Times New Roman"/>
        <family val="1"/>
        <charset val="204"/>
      </rPr>
      <t>2</t>
    </r>
  </si>
  <si>
    <r>
      <t>ПРОМЫШЛЕННОЕ ПРОИЗВОДСТВО</t>
    </r>
    <r>
      <rPr>
        <b/>
        <vertAlign val="superscript"/>
        <sz val="10"/>
        <rFont val="Times New Roman"/>
        <family val="1"/>
        <charset val="204"/>
      </rPr>
      <t xml:space="preserve">3 </t>
    </r>
    <r>
      <rPr>
        <b/>
        <sz val="12"/>
        <rFont val="Times New Roman"/>
        <family val="1"/>
        <charset val="204"/>
      </rPr>
      <t>(ПРОМЫШЛЕННОСТЬ)</t>
    </r>
  </si>
  <si>
    <t>К соответствующему периоду предыдущего года</t>
  </si>
  <si>
    <t>date</t>
  </si>
  <si>
    <t>ipp</t>
  </si>
  <si>
    <t>retail</t>
  </si>
  <si>
    <t>ln</t>
  </si>
  <si>
    <t>delta ln</t>
  </si>
  <si>
    <t>NaN</t>
  </si>
  <si>
    <t>freight</t>
  </si>
  <si>
    <t>2014</t>
  </si>
  <si>
    <t>services</t>
  </si>
  <si>
    <t>даты</t>
  </si>
  <si>
    <t>ИПП, г г, минус 100</t>
  </si>
  <si>
    <t>индекс физического объема, г г, минус 100</t>
  </si>
  <si>
    <t>unemployment</t>
  </si>
  <si>
    <t>безработицы, дельта с прошлым месяцем</t>
  </si>
  <si>
    <t>грузооборот транспорта, лог-разность (Δlog)</t>
  </si>
  <si>
    <t>объем плантых услуг населению, г г, в процентах, -100</t>
  </si>
  <si>
    <t>cpi</t>
  </si>
  <si>
    <t>инфляция, г/г, уровень (%)</t>
  </si>
  <si>
    <t>core_cpi</t>
  </si>
  <si>
    <t>базовая инфляция, г/г, минус 100</t>
  </si>
  <si>
    <t>индекс цен производителей, м/м, минус 100</t>
  </si>
  <si>
    <t>ppi</t>
  </si>
  <si>
    <t>12.2014</t>
  </si>
  <si>
    <t>key_rate</t>
  </si>
  <si>
    <t>ключевая ставка, изменение (Δ)</t>
  </si>
  <si>
    <t>денежный агрегат М2, г/г, минус 1</t>
  </si>
  <si>
    <t>m2</t>
  </si>
  <si>
    <t>credit_firms</t>
  </si>
  <si>
    <t>кредиты нефинансовым организациям, г/г, минус 1</t>
  </si>
  <si>
    <t>кредиты населению, г/г, минус 1</t>
  </si>
  <si>
    <t xml:space="preserve">credit_households </t>
  </si>
  <si>
    <t>reserves</t>
  </si>
  <si>
    <t>международные резервы, лог-разность (Δlog)</t>
  </si>
  <si>
    <t>exports</t>
  </si>
  <si>
    <t xml:space="preserve"> экспорт товаров, г/г, минус 100</t>
  </si>
  <si>
    <t>imports</t>
  </si>
  <si>
    <t>импорт товаров, г/г, минус 100</t>
  </si>
  <si>
    <t>mounth</t>
  </si>
  <si>
    <t>usd_rub</t>
  </si>
  <si>
    <t>обменный курс USD/RUB, среднемесячный, лог-разность (Δlog)</t>
  </si>
  <si>
    <t>к концу предыдущего месяца</t>
  </si>
  <si>
    <t>к декабрю предыдущего года</t>
  </si>
  <si>
    <r>
      <t>102,97</t>
    </r>
    <r>
      <rPr>
        <vertAlign val="superscript"/>
        <sz val="9"/>
        <color rgb="FF000000"/>
        <rFont val="Calibri"/>
        <family val="2"/>
        <charset val="204"/>
      </rPr>
      <t>2)</t>
    </r>
  </si>
  <si>
    <t>ИПЦ</t>
  </si>
  <si>
    <t>Считаем каждый раз к предыдущему году</t>
  </si>
  <si>
    <t>I ном к прош мес</t>
  </si>
  <si>
    <t>I реал к прош мес</t>
  </si>
  <si>
    <t>Прирост реальной зп в %</t>
  </si>
  <si>
    <t>ЗП</t>
  </si>
  <si>
    <t>credit_households</t>
  </si>
  <si>
    <t>real_wages</t>
  </si>
  <si>
    <t>реальная заработная плата, м м,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</si>
</sst>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"/>
    <numFmt numFmtId="165" formatCode="#,##0.####"/>
    <numFmt numFmtId="166" formatCode="#"/>
    <numFmt numFmtId="167" formatCode="_-* #,##0_р_._-;\-* #,##0_р_._-;_-* &quot;-&quot;??_р_._-;_-@_-"/>
    <numFmt numFmtId="168" formatCode="#,##0.0000"/>
    <numFmt numFmtId="169" formatCode="mmm"/>
    <numFmt numFmtId="170" formatCode="mmmm"/>
  </numFmts>
  <fonts count="38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scheme val="minor"/>
    </font>
    <font>
      <sz val="10"/>
      <color theme="1"/>
      <name val="Aptos Narrow"/>
      <scheme val="minor"/>
    </font>
    <font>
      <sz val="10"/>
      <name val="Arial Cyr"/>
      <charset val="204"/>
    </font>
    <font>
      <sz val="10"/>
      <color indexed="8"/>
      <name val="Arial"/>
      <family val="2"/>
      <charset val="204"/>
    </font>
    <font>
      <sz val="8"/>
      <color rgb="FF313034"/>
      <name val="Roboto"/>
    </font>
    <font>
      <b/>
      <sz val="10"/>
      <color rgb="FF404044"/>
      <name val="Aptos Narrow"/>
      <scheme val="minor"/>
    </font>
    <font>
      <b/>
      <sz val="10"/>
      <color rgb="FFFFFFFF"/>
      <name val="Aptos Narrow"/>
      <scheme val="minor"/>
    </font>
    <font>
      <sz val="10"/>
      <color rgb="FF313034"/>
      <name val="Aptos Narrow"/>
      <scheme val="minor"/>
    </font>
    <font>
      <b/>
      <sz val="10"/>
      <name val="Aptos Narrow"/>
      <scheme val="minor"/>
    </font>
    <font>
      <sz val="10"/>
      <color indexed="18"/>
      <name val="Aptos Narrow"/>
      <scheme val="minor"/>
    </font>
    <font>
      <sz val="10"/>
      <color rgb="FF000080"/>
      <name val="Aptos Narrow"/>
      <scheme val="minor"/>
    </font>
    <font>
      <sz val="10"/>
      <name val="Aptos Narrow"/>
      <scheme val="minor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10"/>
      <color rgb="FF8F96A3"/>
      <name val="Aptos Narrow"/>
      <scheme val="minor"/>
    </font>
    <font>
      <sz val="10"/>
      <color rgb="FF2B2E33"/>
      <name val="Aptos Narrow"/>
      <scheme val="minor"/>
    </font>
    <font>
      <sz val="10"/>
      <name val="Times New Roman Cyr"/>
      <family val="1"/>
      <charset val="204"/>
    </font>
    <font>
      <sz val="12"/>
      <color theme="0"/>
      <name val="Aptos Narrow"/>
      <scheme val="minor"/>
    </font>
    <font>
      <b/>
      <sz val="12"/>
      <color theme="1"/>
      <name val="Times New Roman"/>
      <family val="1"/>
      <charset val="204"/>
    </font>
    <font>
      <b/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0"/>
      <name val="Arial"/>
      <family val="2"/>
    </font>
    <font>
      <sz val="10"/>
      <name val="Arial"/>
      <family val="2"/>
    </font>
    <font>
      <sz val="10"/>
      <color rgb="FF05386B"/>
      <name val="Arial"/>
      <family val="2"/>
    </font>
    <font>
      <sz val="8"/>
      <name val="Aptos Narrow"/>
      <family val="2"/>
      <charset val="204"/>
      <scheme val="minor"/>
    </font>
    <font>
      <sz val="10"/>
      <color indexed="18"/>
      <name val="Arial"/>
      <family val="2"/>
    </font>
    <font>
      <sz val="12"/>
      <color rgb="FF2B2E33"/>
      <name val="Arial"/>
      <family val="2"/>
    </font>
    <font>
      <sz val="9"/>
      <color rgb="FF000000"/>
      <name val="Calibri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vertAlign val="superscript"/>
      <sz val="9"/>
      <color rgb="FF00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rgb="FFFF8080"/>
        <bgColor rgb="FF000000"/>
      </patternFill>
    </fill>
    <fill>
      <patternFill patternType="solid">
        <fgColor rgb="FFFFFFFF"/>
        <bgColor auto="1"/>
      </patternFill>
    </fill>
    <fill>
      <patternFill patternType="solid">
        <fgColor rgb="FF0066CC"/>
        <bgColor auto="1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EFEFEB"/>
        <bgColor rgb="FF000000"/>
      </patternFill>
    </fill>
    <fill>
      <patternFill patternType="solid">
        <fgColor theme="5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indexed="55"/>
      </left>
      <right/>
      <top style="thin">
        <color rgb="FF969696"/>
      </top>
      <bottom style="thin">
        <color rgb="FF969696"/>
      </bottom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CFCFCF"/>
      </left>
      <right style="thin">
        <color rgb="FFCFCFCF"/>
      </right>
      <top/>
      <bottom style="thin">
        <color rgb="FFCFCFCF"/>
      </bottom>
      <diagonal/>
    </border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/>
      <top style="thin">
        <color rgb="FFDBDBDB"/>
      </top>
      <bottom style="thin">
        <color rgb="FFDBDBDB"/>
      </bottom>
      <diagonal/>
    </border>
    <border>
      <left style="thin">
        <color indexed="55"/>
      </left>
      <right/>
      <top/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/>
      <diagonal/>
    </border>
    <border>
      <left style="thin">
        <color rgb="FFCFCFCF"/>
      </left>
      <right style="thin">
        <color rgb="FFCFCFCF"/>
      </right>
      <top/>
      <bottom/>
      <diagonal/>
    </border>
    <border>
      <left/>
      <right style="thin">
        <color rgb="FFCFCFCF"/>
      </right>
      <top style="thin">
        <color rgb="FFCFCFCF"/>
      </top>
      <bottom style="thin">
        <color rgb="FFCFCFCF"/>
      </bottom>
      <diagonal/>
    </border>
    <border>
      <left/>
      <right/>
      <top style="thin">
        <color rgb="FFCFCFCF"/>
      </top>
      <bottom style="thin">
        <color rgb="FFCFCFCF"/>
      </bottom>
      <diagonal/>
    </border>
    <border>
      <left/>
      <right style="thin">
        <color rgb="FFCFCFCF"/>
      </right>
      <top/>
      <bottom style="thin">
        <color rgb="FFCFCFCF"/>
      </bottom>
      <diagonal/>
    </border>
    <border>
      <left style="thin">
        <color rgb="FFCFCFCF"/>
      </left>
      <right/>
      <top style="thin">
        <color rgb="FFCFCFCF"/>
      </top>
      <bottom style="thin">
        <color rgb="FFCFCFCF"/>
      </bottom>
      <diagonal/>
    </border>
    <border>
      <left/>
      <right/>
      <top/>
      <bottom style="thin">
        <color rgb="FFDBDB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5" fillId="0" borderId="0"/>
    <xf numFmtId="0" fontId="14" fillId="0" borderId="0"/>
  </cellStyleXfs>
  <cellXfs count="131">
    <xf numFmtId="0" fontId="0" fillId="0" borderId="0" xfId="0"/>
    <xf numFmtId="0" fontId="2" fillId="0" borderId="0" xfId="0" applyFont="1"/>
    <xf numFmtId="0" fontId="3" fillId="0" borderId="0" xfId="0" applyFont="1"/>
    <xf numFmtId="3" fontId="0" fillId="0" borderId="0" xfId="0" applyNumberFormat="1"/>
    <xf numFmtId="166" fontId="6" fillId="4" borderId="13" xfId="0" applyNumberFormat="1" applyFont="1" applyFill="1" applyBorder="1" applyAlignment="1">
      <alignment vertical="center" wrapText="1"/>
    </xf>
    <xf numFmtId="4" fontId="6" fillId="4" borderId="13" xfId="0" applyNumberFormat="1" applyFont="1" applyFill="1" applyBorder="1" applyAlignment="1">
      <alignment horizontal="right" vertical="center" wrapText="1"/>
    </xf>
    <xf numFmtId="0" fontId="7" fillId="4" borderId="0" xfId="0" applyFont="1" applyFill="1" applyAlignment="1">
      <alignment vertical="center"/>
    </xf>
    <xf numFmtId="0" fontId="8" fillId="5" borderId="0" xfId="0" applyFont="1" applyFill="1" applyAlignment="1">
      <alignment vertical="center" wrapText="1"/>
    </xf>
    <xf numFmtId="166" fontId="9" fillId="4" borderId="13" xfId="0" applyNumberFormat="1" applyFont="1" applyFill="1" applyBorder="1" applyAlignment="1">
      <alignment vertical="center" wrapText="1"/>
    </xf>
    <xf numFmtId="0" fontId="9" fillId="4" borderId="13" xfId="0" applyFont="1" applyFill="1" applyBorder="1" applyAlignment="1">
      <alignment vertical="center" wrapText="1" indent="1"/>
    </xf>
    <xf numFmtId="4" fontId="9" fillId="4" borderId="13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1" fillId="2" borderId="4" xfId="0" applyFont="1" applyFill="1" applyBorder="1" applyAlignment="1">
      <alignment horizontal="left" vertical="top" wrapText="1"/>
    </xf>
    <xf numFmtId="0" fontId="12" fillId="3" borderId="8" xfId="0" applyFont="1" applyFill="1" applyBorder="1" applyAlignment="1">
      <alignment horizontal="left" vertical="top" wrapText="1"/>
    </xf>
    <xf numFmtId="0" fontId="12" fillId="3" borderId="9" xfId="0" applyFont="1" applyFill="1" applyBorder="1" applyAlignment="1">
      <alignment horizontal="left" vertical="top" wrapText="1"/>
    </xf>
    <xf numFmtId="165" fontId="13" fillId="0" borderId="0" xfId="0" applyNumberFormat="1" applyFont="1" applyAlignment="1">
      <alignment horizontal="right" vertical="top"/>
    </xf>
    <xf numFmtId="3" fontId="13" fillId="0" borderId="11" xfId="0" applyNumberFormat="1" applyFont="1" applyBorder="1" applyAlignment="1">
      <alignment horizontal="right" vertical="top"/>
    </xf>
    <xf numFmtId="3" fontId="13" fillId="0" borderId="12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3" fontId="3" fillId="0" borderId="4" xfId="0" applyNumberFormat="1" applyFont="1" applyBorder="1" applyAlignment="1">
      <alignment horizontal="right" vertical="top"/>
    </xf>
    <xf numFmtId="4" fontId="2" fillId="0" borderId="0" xfId="0" applyNumberFormat="1" applyFont="1"/>
    <xf numFmtId="4" fontId="3" fillId="0" borderId="0" xfId="0" applyNumberFormat="1" applyFont="1"/>
    <xf numFmtId="167" fontId="15" fillId="0" borderId="1" xfId="1" applyNumberFormat="1" applyFont="1" applyFill="1" applyBorder="1" applyAlignment="1">
      <alignment horizontal="right" indent="1"/>
    </xf>
    <xf numFmtId="167" fontId="13" fillId="0" borderId="1" xfId="1" applyNumberFormat="1" applyFont="1" applyFill="1" applyBorder="1" applyAlignment="1">
      <alignment horizontal="right" indent="1"/>
    </xf>
    <xf numFmtId="164" fontId="3" fillId="0" borderId="0" xfId="0" applyNumberFormat="1" applyFont="1"/>
    <xf numFmtId="0" fontId="13" fillId="0" borderId="1" xfId="4" applyFont="1" applyBorder="1" applyAlignment="1">
      <alignment horizontal="left" vertical="center"/>
    </xf>
    <xf numFmtId="0" fontId="15" fillId="0" borderId="1" xfId="0" applyFont="1" applyBorder="1" applyAlignment="1">
      <alignment horizontal="left" wrapText="1" indent="3"/>
    </xf>
    <xf numFmtId="0" fontId="13" fillId="0" borderId="1" xfId="0" applyFont="1" applyBorder="1" applyAlignment="1">
      <alignment horizontal="left" wrapText="1" indent="3"/>
    </xf>
    <xf numFmtId="14" fontId="0" fillId="0" borderId="0" xfId="0" applyNumberFormat="1"/>
    <xf numFmtId="168" fontId="0" fillId="0" borderId="0" xfId="0" applyNumberFormat="1"/>
    <xf numFmtId="0" fontId="16" fillId="0" borderId="0" xfId="0" applyFont="1"/>
    <xf numFmtId="0" fontId="17" fillId="0" borderId="0" xfId="0" applyFont="1"/>
    <xf numFmtId="14" fontId="17" fillId="0" borderId="0" xfId="0" applyNumberFormat="1" applyFont="1"/>
    <xf numFmtId="3" fontId="17" fillId="0" borderId="0" xfId="0" applyNumberFormat="1" applyFont="1"/>
    <xf numFmtId="169" fontId="18" fillId="0" borderId="24" xfId="0" applyNumberFormat="1" applyFont="1" applyBorder="1" applyAlignment="1">
      <alignment horizontal="center"/>
    </xf>
    <xf numFmtId="170" fontId="18" fillId="0" borderId="25" xfId="0" applyNumberFormat="1" applyFont="1" applyBorder="1" applyAlignment="1">
      <alignment horizontal="center"/>
    </xf>
    <xf numFmtId="170" fontId="18" fillId="0" borderId="26" xfId="0" applyNumberFormat="1" applyFont="1" applyBorder="1" applyAlignment="1">
      <alignment horizontal="center"/>
    </xf>
    <xf numFmtId="0" fontId="18" fillId="0" borderId="27" xfId="0" applyFont="1" applyBorder="1" applyAlignment="1">
      <alignment horizontal="centerContinuous"/>
    </xf>
    <xf numFmtId="164" fontId="18" fillId="0" borderId="29" xfId="0" applyNumberFormat="1" applyFont="1" applyBorder="1" applyAlignment="1">
      <alignment horizontal="right"/>
    </xf>
    <xf numFmtId="164" fontId="18" fillId="0" borderId="31" xfId="0" applyNumberFormat="1" applyFont="1" applyBorder="1" applyAlignment="1">
      <alignment horizontal="right"/>
    </xf>
    <xf numFmtId="164" fontId="18" fillId="0" borderId="30" xfId="0" applyNumberFormat="1" applyFont="1" applyBorder="1" applyAlignment="1">
      <alignment horizontal="right"/>
    </xf>
    <xf numFmtId="0" fontId="18" fillId="0" borderId="33" xfId="0" applyFont="1" applyBorder="1" applyAlignment="1">
      <alignment horizontal="centerContinuous"/>
    </xf>
    <xf numFmtId="0" fontId="19" fillId="6" borderId="0" xfId="0" applyFont="1" applyFill="1"/>
    <xf numFmtId="0" fontId="22" fillId="0" borderId="0" xfId="0" applyFont="1"/>
    <xf numFmtId="0" fontId="24" fillId="0" borderId="1" xfId="2" applyFont="1" applyBorder="1" applyAlignment="1">
      <alignment horizontal="center" vertical="center"/>
    </xf>
    <xf numFmtId="49" fontId="24" fillId="0" borderId="1" xfId="2" applyNumberFormat="1" applyFont="1" applyBorder="1" applyAlignment="1">
      <alignment horizontal="center" vertical="center"/>
    </xf>
    <xf numFmtId="49" fontId="24" fillId="0" borderId="2" xfId="2" applyNumberFormat="1" applyFont="1" applyBorder="1" applyAlignment="1">
      <alignment horizontal="center" vertical="center"/>
    </xf>
    <xf numFmtId="0" fontId="26" fillId="0" borderId="3" xfId="3" applyFont="1" applyBorder="1" applyAlignment="1">
      <alignment vertical="top" wrapText="1"/>
    </xf>
    <xf numFmtId="0" fontId="26" fillId="0" borderId="3" xfId="3" applyFont="1" applyBorder="1" applyAlignment="1">
      <alignment horizontal="center" wrapText="1"/>
    </xf>
    <xf numFmtId="164" fontId="23" fillId="0" borderId="3" xfId="3" applyNumberFormat="1" applyFont="1" applyBorder="1" applyAlignment="1">
      <alignment horizontal="right" wrapText="1"/>
    </xf>
    <xf numFmtId="164" fontId="26" fillId="0" borderId="3" xfId="3" applyNumberFormat="1" applyFont="1" applyBorder="1" applyAlignment="1">
      <alignment horizontal="right" wrapText="1"/>
    </xf>
    <xf numFmtId="0" fontId="29" fillId="0" borderId="0" xfId="0" applyFont="1"/>
    <xf numFmtId="0" fontId="30" fillId="7" borderId="38" xfId="0" applyFont="1" applyFill="1" applyBorder="1" applyAlignment="1">
      <alignment horizontal="left" vertical="top" wrapText="1"/>
    </xf>
    <xf numFmtId="0" fontId="30" fillId="7" borderId="12" xfId="0" applyFont="1" applyFill="1" applyBorder="1" applyAlignment="1">
      <alignment horizontal="left" vertical="top" wrapText="1"/>
    </xf>
    <xf numFmtId="165" fontId="29" fillId="0" borderId="0" xfId="0" applyNumberFormat="1" applyFont="1" applyAlignment="1">
      <alignment horizontal="right" vertical="top"/>
    </xf>
    <xf numFmtId="164" fontId="0" fillId="0" borderId="0" xfId="0" applyNumberFormat="1"/>
    <xf numFmtId="17" fontId="0" fillId="0" borderId="0" xfId="0" applyNumberFormat="1"/>
    <xf numFmtId="14" fontId="3" fillId="0" borderId="0" xfId="0" applyNumberFormat="1" applyFont="1"/>
    <xf numFmtId="0" fontId="32" fillId="2" borderId="4" xfId="0" applyFont="1" applyFill="1" applyBorder="1" applyAlignment="1">
      <alignment horizontal="left" vertical="top" wrapText="1"/>
    </xf>
    <xf numFmtId="165" fontId="0" fillId="0" borderId="0" xfId="0" applyNumberFormat="1" applyAlignment="1">
      <alignment horizontal="right" vertical="top"/>
    </xf>
    <xf numFmtId="3" fontId="0" fillId="0" borderId="4" xfId="0" applyNumberFormat="1" applyBorder="1" applyAlignment="1">
      <alignment horizontal="right" vertical="top"/>
    </xf>
    <xf numFmtId="4" fontId="0" fillId="0" borderId="0" xfId="0" applyNumberFormat="1"/>
    <xf numFmtId="167" fontId="3" fillId="0" borderId="0" xfId="0" applyNumberFormat="1" applyFont="1"/>
    <xf numFmtId="3" fontId="33" fillId="0" borderId="0" xfId="0" applyNumberFormat="1" applyFont="1"/>
    <xf numFmtId="0" fontId="34" fillId="0" borderId="41" xfId="0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 wrapText="1"/>
    </xf>
    <xf numFmtId="0" fontId="35" fillId="0" borderId="28" xfId="0" applyFont="1" applyBorder="1" applyAlignment="1">
      <alignment horizontal="center" vertical="center" wrapText="1"/>
    </xf>
    <xf numFmtId="0" fontId="36" fillId="0" borderId="0" xfId="0" applyFont="1"/>
    <xf numFmtId="0" fontId="35" fillId="0" borderId="43" xfId="0" applyFont="1" applyBorder="1" applyAlignment="1">
      <alignment horizontal="left" vertical="center"/>
    </xf>
    <xf numFmtId="0" fontId="34" fillId="0" borderId="31" xfId="0" applyFont="1" applyBorder="1" applyAlignment="1">
      <alignment horizontal="left" vertical="center" wrapText="1"/>
    </xf>
    <xf numFmtId="2" fontId="34" fillId="0" borderId="28" xfId="0" applyNumberFormat="1" applyFont="1" applyBorder="1" applyAlignment="1">
      <alignment horizontal="center"/>
    </xf>
    <xf numFmtId="2" fontId="34" fillId="0" borderId="0" xfId="0" applyNumberFormat="1" applyFont="1" applyAlignment="1">
      <alignment horizontal="center"/>
    </xf>
    <xf numFmtId="2" fontId="34" fillId="0" borderId="31" xfId="0" applyNumberFormat="1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4" fillId="0" borderId="31" xfId="0" applyFont="1" applyBorder="1" applyAlignment="1">
      <alignment horizontal="center"/>
    </xf>
    <xf numFmtId="0" fontId="34" fillId="0" borderId="28" xfId="0" applyFont="1" applyBorder="1" applyAlignment="1">
      <alignment horizontal="center"/>
    </xf>
    <xf numFmtId="2" fontId="36" fillId="0" borderId="0" xfId="0" applyNumberFormat="1" applyFont="1"/>
    <xf numFmtId="0" fontId="35" fillId="0" borderId="43" xfId="0" applyFont="1" applyBorder="1" applyAlignment="1">
      <alignment horizontal="left"/>
    </xf>
    <xf numFmtId="0" fontId="34" fillId="0" borderId="2" xfId="0" applyFont="1" applyBorder="1"/>
    <xf numFmtId="2" fontId="34" fillId="0" borderId="46" xfId="0" applyNumberFormat="1" applyFont="1" applyBorder="1" applyAlignment="1">
      <alignment horizontal="center"/>
    </xf>
    <xf numFmtId="2" fontId="34" fillId="0" borderId="47" xfId="0" applyNumberFormat="1" applyFont="1" applyBorder="1" applyAlignment="1">
      <alignment horizontal="center"/>
    </xf>
    <xf numFmtId="2" fontId="34" fillId="0" borderId="2" xfId="0" applyNumberFormat="1" applyFont="1" applyBorder="1" applyAlignment="1">
      <alignment horizontal="center"/>
    </xf>
    <xf numFmtId="0" fontId="34" fillId="0" borderId="46" xfId="0" applyFont="1" applyBorder="1" applyAlignment="1">
      <alignment horizontal="center"/>
    </xf>
    <xf numFmtId="0" fontId="35" fillId="0" borderId="44" xfId="0" applyFont="1" applyBorder="1" applyAlignment="1">
      <alignment horizontal="left"/>
    </xf>
    <xf numFmtId="0" fontId="35" fillId="0" borderId="45" xfId="0" applyFont="1" applyBorder="1" applyAlignment="1">
      <alignment horizontal="left"/>
    </xf>
    <xf numFmtId="0" fontId="35" fillId="0" borderId="44" xfId="0" applyFont="1" applyBorder="1" applyAlignment="1">
      <alignment horizontal="left" vertical="center"/>
    </xf>
    <xf numFmtId="0" fontId="35" fillId="0" borderId="45" xfId="0" applyFont="1" applyBorder="1" applyAlignment="1">
      <alignment horizontal="left" vertical="center"/>
    </xf>
    <xf numFmtId="0" fontId="0" fillId="8" borderId="0" xfId="0" applyFill="1"/>
    <xf numFmtId="0" fontId="22" fillId="0" borderId="1" xfId="0" applyFont="1" applyBorder="1" applyAlignment="1">
      <alignment horizontal="center"/>
    </xf>
    <xf numFmtId="0" fontId="20" fillId="0" borderId="0" xfId="0" applyFont="1" applyAlignment="1">
      <alignment horizontal="left" vertical="top"/>
    </xf>
    <xf numFmtId="0" fontId="22" fillId="0" borderId="0" xfId="0" applyFont="1" applyAlignment="1">
      <alignment horizontal="left"/>
    </xf>
    <xf numFmtId="0" fontId="23" fillId="0" borderId="1" xfId="3" applyFont="1" applyBorder="1" applyAlignment="1">
      <alignment horizontal="center" vertical="top" wrapText="1"/>
    </xf>
    <xf numFmtId="0" fontId="24" fillId="0" borderId="1" xfId="2" applyFont="1" applyBorder="1" applyAlignment="1">
      <alignment horizontal="center"/>
    </xf>
    <xf numFmtId="0" fontId="24" fillId="0" borderId="1" xfId="2" applyFont="1" applyBorder="1"/>
    <xf numFmtId="0" fontId="24" fillId="0" borderId="1" xfId="2" applyFont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top" wrapText="1"/>
    </xf>
    <xf numFmtId="0" fontId="10" fillId="0" borderId="0" xfId="0" applyFont="1"/>
    <xf numFmtId="0" fontId="3" fillId="0" borderId="0" xfId="0" applyFont="1"/>
    <xf numFmtId="0" fontId="12" fillId="3" borderId="5" xfId="0" applyFont="1" applyFill="1" applyBorder="1" applyAlignment="1">
      <alignment horizontal="left" vertical="top" wrapText="1"/>
    </xf>
    <xf numFmtId="0" fontId="12" fillId="3" borderId="6" xfId="0" applyFont="1" applyFill="1" applyBorder="1" applyAlignment="1">
      <alignment horizontal="left" vertical="top" wrapText="1"/>
    </xf>
    <xf numFmtId="0" fontId="12" fillId="3" borderId="7" xfId="0" applyFont="1" applyFill="1" applyBorder="1" applyAlignment="1">
      <alignment horizontal="left" vertical="top" wrapText="1"/>
    </xf>
    <xf numFmtId="0" fontId="12" fillId="3" borderId="10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center"/>
    </xf>
    <xf numFmtId="0" fontId="9" fillId="4" borderId="13" xfId="0" applyFont="1" applyFill="1" applyBorder="1" applyAlignment="1">
      <alignment vertical="center" wrapText="1"/>
    </xf>
    <xf numFmtId="0" fontId="32" fillId="2" borderId="4" xfId="0" applyFont="1" applyFill="1" applyBorder="1" applyAlignment="1">
      <alignment horizontal="left" vertical="top" wrapText="1"/>
    </xf>
    <xf numFmtId="0" fontId="28" fillId="0" borderId="0" xfId="0" applyFont="1"/>
    <xf numFmtId="0" fontId="30" fillId="7" borderId="34" xfId="0" applyFont="1" applyFill="1" applyBorder="1" applyAlignment="1">
      <alignment horizontal="left" vertical="top" wrapText="1"/>
    </xf>
    <xf numFmtId="0" fontId="30" fillId="7" borderId="35" xfId="0" applyFont="1" applyFill="1" applyBorder="1" applyAlignment="1">
      <alignment horizontal="left" vertical="top" wrapText="1"/>
    </xf>
    <xf numFmtId="0" fontId="30" fillId="7" borderId="12" xfId="0" applyFont="1" applyFill="1" applyBorder="1" applyAlignment="1">
      <alignment horizontal="left" vertical="top" wrapText="1"/>
    </xf>
    <xf numFmtId="0" fontId="30" fillId="7" borderId="39" xfId="0" applyFont="1" applyFill="1" applyBorder="1" applyAlignment="1">
      <alignment horizontal="left" vertical="top" wrapText="1"/>
    </xf>
    <xf numFmtId="0" fontId="30" fillId="7" borderId="37" xfId="0" applyFont="1" applyFill="1" applyBorder="1" applyAlignment="1">
      <alignment horizontal="left" vertical="top" wrapText="1"/>
    </xf>
    <xf numFmtId="0" fontId="30" fillId="7" borderId="36" xfId="0" applyFont="1" applyFill="1" applyBorder="1" applyAlignment="1">
      <alignment horizontal="left" vertical="top" wrapText="1"/>
    </xf>
    <xf numFmtId="0" fontId="11" fillId="2" borderId="16" xfId="0" applyFont="1" applyFill="1" applyBorder="1" applyAlignment="1">
      <alignment horizontal="center" vertical="top" wrapText="1"/>
    </xf>
    <xf numFmtId="0" fontId="11" fillId="2" borderId="17" xfId="0" applyFont="1" applyFill="1" applyBorder="1" applyAlignment="1">
      <alignment horizontal="center" vertical="top" wrapText="1"/>
    </xf>
    <xf numFmtId="0" fontId="11" fillId="2" borderId="15" xfId="0" applyFont="1" applyFill="1" applyBorder="1" applyAlignment="1">
      <alignment horizontal="center" vertical="top" wrapText="1"/>
    </xf>
    <xf numFmtId="0" fontId="11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40" xfId="0" applyFont="1" applyBorder="1" applyAlignment="1">
      <alignment horizontal="center"/>
    </xf>
    <xf numFmtId="1" fontId="18" fillId="0" borderId="32" xfId="0" applyNumberFormat="1" applyFont="1" applyBorder="1" applyAlignment="1">
      <alignment horizontal="center"/>
    </xf>
    <xf numFmtId="1" fontId="18" fillId="0" borderId="0" xfId="0" applyNumberFormat="1" applyFont="1" applyAlignment="1">
      <alignment horizontal="center"/>
    </xf>
    <xf numFmtId="1" fontId="18" fillId="0" borderId="25" xfId="0" applyNumberFormat="1" applyFont="1" applyBorder="1" applyAlignment="1">
      <alignment horizontal="center"/>
    </xf>
    <xf numFmtId="1" fontId="18" fillId="0" borderId="28" xfId="0" applyNumberFormat="1" applyFont="1" applyBorder="1" applyAlignment="1">
      <alignment horizontal="center"/>
    </xf>
    <xf numFmtId="0" fontId="18" fillId="0" borderId="18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</cellXfs>
  <cellStyles count="5">
    <cellStyle name="Обычный" xfId="0" builtinId="0"/>
    <cellStyle name="Обычный 2" xfId="4" xr:uid="{88FD0410-9BBE-1A49-8433-94A7815C2340}"/>
    <cellStyle name="Обычный 4" xfId="2" xr:uid="{B549A9FF-B0D5-A440-8636-380486300ADB}"/>
    <cellStyle name="Обычный_Лист1" xfId="3" xr:uid="{2A9FD197-751C-8F44-8330-3089E2109F08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342A-318A-894F-81AF-775BB2462788}">
  <dimension ref="A1:C22"/>
  <sheetViews>
    <sheetView zoomScale="125" zoomScaleNormal="100" workbookViewId="0">
      <selection activeCell="B5" sqref="B5"/>
    </sheetView>
  </sheetViews>
  <sheetFormatPr baseColWidth="10" defaultRowHeight="16"/>
  <cols>
    <col min="1" max="1" width="77.6640625" style="1" bestFit="1" customWidth="1"/>
    <col min="2" max="2" width="34.1640625" bestFit="1" customWidth="1"/>
    <col min="3" max="3" width="49.1640625" bestFit="1" customWidth="1"/>
  </cols>
  <sheetData>
    <row r="1" spans="1:3">
      <c r="A1" s="1" t="s">
        <v>28</v>
      </c>
      <c r="B1" t="s">
        <v>15</v>
      </c>
    </row>
    <row r="2" spans="1:3">
      <c r="A2" s="1" t="s">
        <v>101</v>
      </c>
      <c r="B2" t="s">
        <v>16</v>
      </c>
    </row>
    <row r="3" spans="1:3">
      <c r="A3" s="1" t="s">
        <v>0</v>
      </c>
      <c r="B3" t="s">
        <v>17</v>
      </c>
    </row>
    <row r="4" spans="1:3">
      <c r="A4" s="1" t="s">
        <v>1</v>
      </c>
      <c r="B4" t="s">
        <v>19</v>
      </c>
      <c r="C4" t="s">
        <v>20</v>
      </c>
    </row>
    <row r="5" spans="1:3">
      <c r="A5" s="1" t="s">
        <v>2</v>
      </c>
      <c r="B5" t="s">
        <v>21</v>
      </c>
    </row>
    <row r="6" spans="1:3">
      <c r="A6" s="1" t="s">
        <v>100</v>
      </c>
      <c r="B6" s="1" t="s">
        <v>19</v>
      </c>
    </row>
    <row r="7" spans="1:3">
      <c r="A7" s="1" t="s">
        <v>3</v>
      </c>
      <c r="B7" s="87" t="s">
        <v>18</v>
      </c>
    </row>
    <row r="8" spans="1:3">
      <c r="A8" s="42" t="s">
        <v>4</v>
      </c>
    </row>
    <row r="9" spans="1:3">
      <c r="A9" s="1" t="s">
        <v>26</v>
      </c>
      <c r="B9" t="s">
        <v>22</v>
      </c>
      <c r="C9" t="s">
        <v>27</v>
      </c>
    </row>
    <row r="10" spans="1:3">
      <c r="A10" s="1" t="s">
        <v>5</v>
      </c>
      <c r="B10" t="s">
        <v>30</v>
      </c>
    </row>
    <row r="11" spans="1:3">
      <c r="A11" s="1" t="s">
        <v>6</v>
      </c>
      <c r="B11" t="s">
        <v>31</v>
      </c>
    </row>
    <row r="12" spans="1:3">
      <c r="A12" s="1" t="s">
        <v>7</v>
      </c>
      <c r="B12" t="s">
        <v>22</v>
      </c>
    </row>
    <row r="13" spans="1:3">
      <c r="A13" s="1" t="s">
        <v>8</v>
      </c>
      <c r="B13" t="s">
        <v>25</v>
      </c>
    </row>
    <row r="14" spans="1:3">
      <c r="A14" s="1" t="s">
        <v>9</v>
      </c>
      <c r="B14" t="s">
        <v>25</v>
      </c>
    </row>
    <row r="15" spans="1:3">
      <c r="A15" s="1" t="s">
        <v>10</v>
      </c>
      <c r="B15" t="s">
        <v>25</v>
      </c>
    </row>
    <row r="16" spans="1:3">
      <c r="A16" s="1" t="s">
        <v>11</v>
      </c>
      <c r="B16" t="s">
        <v>23</v>
      </c>
      <c r="C16" t="s">
        <v>113</v>
      </c>
    </row>
    <row r="17" spans="1:2">
      <c r="A17" s="1" t="s">
        <v>12</v>
      </c>
      <c r="B17" t="s">
        <v>19</v>
      </c>
    </row>
    <row r="18" spans="1:2">
      <c r="A18" s="1" t="s">
        <v>13</v>
      </c>
      <c r="B18" t="s">
        <v>24</v>
      </c>
    </row>
    <row r="19" spans="1:2">
      <c r="A19" s="1" t="s">
        <v>14</v>
      </c>
      <c r="B19" t="s">
        <v>24</v>
      </c>
    </row>
    <row r="21" spans="1:2">
      <c r="A21" s="1" t="s">
        <v>29</v>
      </c>
      <c r="B21" t="s">
        <v>16</v>
      </c>
    </row>
    <row r="22" spans="1:2">
      <c r="B22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8812-B837-0649-9A33-0EDEC2BA33D8}">
  <dimension ref="A1:W133"/>
  <sheetViews>
    <sheetView tabSelected="1" topLeftCell="Q1" zoomScale="90" workbookViewId="0">
      <selection activeCell="T8" sqref="T8"/>
    </sheetView>
  </sheetViews>
  <sheetFormatPr baseColWidth="10" defaultRowHeight="16"/>
  <cols>
    <col min="2" max="2" width="5.1640625" bestFit="1" customWidth="1"/>
    <col min="3" max="3" width="5.83203125" bestFit="1" customWidth="1"/>
    <col min="4" max="4" width="6.33203125" bestFit="1" customWidth="1"/>
    <col min="5" max="5" width="13.33203125" bestFit="1" customWidth="1"/>
    <col min="6" max="6" width="13.1640625" bestFit="1" customWidth="1"/>
    <col min="7" max="7" width="5.1640625" bestFit="1" customWidth="1"/>
    <col min="8" max="8" width="8.1640625" bestFit="1" customWidth="1"/>
    <col min="9" max="9" width="5.83203125" bestFit="1" customWidth="1"/>
    <col min="10" max="10" width="8" bestFit="1" customWidth="1"/>
    <col min="11" max="11" width="12.6640625" bestFit="1" customWidth="1"/>
    <col min="12" max="12" width="11.83203125" bestFit="1" customWidth="1"/>
    <col min="13" max="13" width="16.5" bestFit="1" customWidth="1"/>
    <col min="15" max="15" width="13.6640625" customWidth="1"/>
    <col min="16" max="16" width="12.6640625" customWidth="1"/>
    <col min="17" max="17" width="13.83203125" customWidth="1"/>
    <col min="22" max="22" width="16.5" bestFit="1" customWidth="1"/>
    <col min="23" max="23" width="47.33203125" bestFit="1" customWidth="1"/>
  </cols>
  <sheetData>
    <row r="1" spans="1:23">
      <c r="A1" s="1" t="s">
        <v>159</v>
      </c>
      <c r="B1" s="1" t="s">
        <v>160</v>
      </c>
      <c r="C1" s="1" t="s">
        <v>161</v>
      </c>
      <c r="D1" s="1" t="s">
        <v>165</v>
      </c>
      <c r="E1" s="1" t="s">
        <v>167</v>
      </c>
      <c r="F1" s="1" t="s">
        <v>171</v>
      </c>
      <c r="G1" s="1" t="s">
        <v>175</v>
      </c>
      <c r="H1" t="s">
        <v>177</v>
      </c>
      <c r="I1" s="1" t="s">
        <v>180</v>
      </c>
      <c r="J1" t="s">
        <v>182</v>
      </c>
      <c r="K1" t="s">
        <v>185</v>
      </c>
      <c r="L1" t="s">
        <v>186</v>
      </c>
      <c r="M1" t="s">
        <v>189</v>
      </c>
      <c r="N1" t="s">
        <v>207</v>
      </c>
      <c r="O1" t="s">
        <v>190</v>
      </c>
      <c r="P1" t="s">
        <v>192</v>
      </c>
      <c r="Q1" t="s">
        <v>194</v>
      </c>
      <c r="R1" t="s">
        <v>197</v>
      </c>
      <c r="V1" t="s">
        <v>159</v>
      </c>
      <c r="W1" t="s">
        <v>168</v>
      </c>
    </row>
    <row r="2" spans="1:23">
      <c r="A2" s="56">
        <v>42005</v>
      </c>
      <c r="B2">
        <v>1.2999999999999972</v>
      </c>
      <c r="C2">
        <v>-4.4000000000000057</v>
      </c>
      <c r="D2" t="s">
        <v>164</v>
      </c>
      <c r="E2">
        <v>9.1719059986217433E-2</v>
      </c>
      <c r="F2" t="s">
        <v>164</v>
      </c>
      <c r="G2" s="21">
        <v>14.96</v>
      </c>
      <c r="H2">
        <v>14.659999999999997</v>
      </c>
      <c r="I2">
        <v>2.6800000000000068</v>
      </c>
      <c r="J2">
        <v>0</v>
      </c>
      <c r="K2" s="2">
        <v>1.4768909009411857E-2</v>
      </c>
      <c r="L2" s="2">
        <v>0.34755712182066678</v>
      </c>
      <c r="M2">
        <v>0.14409439420647741</v>
      </c>
      <c r="N2">
        <v>-29.328457899469669</v>
      </c>
      <c r="O2">
        <v>-0.27917886632195987</v>
      </c>
      <c r="P2">
        <v>-29.400000000000006</v>
      </c>
      <c r="Q2">
        <v>-42.1</v>
      </c>
      <c r="R2">
        <v>0.15549643039433825</v>
      </c>
      <c r="V2" t="s">
        <v>160</v>
      </c>
      <c r="W2" t="s">
        <v>169</v>
      </c>
    </row>
    <row r="3" spans="1:23">
      <c r="A3" s="56">
        <v>42036</v>
      </c>
      <c r="B3">
        <v>-0.20000000000000284</v>
      </c>
      <c r="C3">
        <v>-7.5</v>
      </c>
      <c r="D3">
        <f t="shared" ref="D3:D34" si="0">C3-C2</f>
        <v>-3.0999999999999943</v>
      </c>
      <c r="E3">
        <v>8.0204801145199456E-2</v>
      </c>
      <c r="F3">
        <v>0.29999999999999982</v>
      </c>
      <c r="G3" s="21">
        <v>16.7</v>
      </c>
      <c r="H3">
        <v>16.78</v>
      </c>
      <c r="I3">
        <v>3.2000000000000028</v>
      </c>
      <c r="J3">
        <v>-2</v>
      </c>
      <c r="K3">
        <v>3.9260851491724758E-2</v>
      </c>
      <c r="L3" s="2">
        <v>0.39051122439883246</v>
      </c>
      <c r="M3">
        <v>0.13389293613573017</v>
      </c>
      <c r="N3">
        <v>-0.91905475879816834</v>
      </c>
      <c r="O3">
        <v>-2.429524434565522E-2</v>
      </c>
      <c r="P3">
        <v>-19.099999999999994</v>
      </c>
      <c r="Q3">
        <v>-36</v>
      </c>
      <c r="R3">
        <v>-9.7927464249298879E-3</v>
      </c>
      <c r="V3" t="s">
        <v>161</v>
      </c>
      <c r="W3" t="s">
        <v>170</v>
      </c>
    </row>
    <row r="4" spans="1:23">
      <c r="A4" s="56">
        <v>42064</v>
      </c>
      <c r="B4">
        <v>1.9000000000000057</v>
      </c>
      <c r="C4">
        <v>-9</v>
      </c>
      <c r="D4">
        <f t="shared" si="0"/>
        <v>-1.5</v>
      </c>
      <c r="E4">
        <v>8.9450278072657152E-2</v>
      </c>
      <c r="F4">
        <v>0.10000000000000053</v>
      </c>
      <c r="G4" s="21">
        <v>16.899999999999999</v>
      </c>
      <c r="H4">
        <v>17.53</v>
      </c>
      <c r="I4">
        <v>2.9500000000000028</v>
      </c>
      <c r="J4">
        <v>-1</v>
      </c>
      <c r="K4">
        <v>3.4991967465076268E-2</v>
      </c>
      <c r="L4" s="2">
        <v>0.33604511293235984</v>
      </c>
      <c r="M4">
        <v>0.10435254568975028</v>
      </c>
      <c r="N4">
        <v>2.974264020263945</v>
      </c>
      <c r="O4">
        <v>-4.3424449938907372E-2</v>
      </c>
      <c r="P4">
        <v>-29.900000000000006</v>
      </c>
      <c r="Q4">
        <v>-37.6</v>
      </c>
      <c r="R4">
        <v>-6.6569121227733064E-2</v>
      </c>
      <c r="V4" t="s">
        <v>165</v>
      </c>
      <c r="W4" t="s">
        <v>173</v>
      </c>
    </row>
    <row r="5" spans="1:23">
      <c r="A5" s="56">
        <v>42095</v>
      </c>
      <c r="B5">
        <v>-0.59999999999999432</v>
      </c>
      <c r="C5">
        <v>-9.9000000000000057</v>
      </c>
      <c r="D5">
        <f t="shared" si="0"/>
        <v>-0.90000000000000568</v>
      </c>
      <c r="E5">
        <v>6.5243821603764518E-2</v>
      </c>
      <c r="F5">
        <v>-0.10000000000000053</v>
      </c>
      <c r="G5" s="21">
        <v>16.399999999999999</v>
      </c>
      <c r="H5">
        <v>17.450000000000003</v>
      </c>
      <c r="I5">
        <v>0.71999999999999886</v>
      </c>
      <c r="J5">
        <v>0</v>
      </c>
      <c r="K5">
        <v>5.1117208868618036E-2</v>
      </c>
      <c r="L5" s="2">
        <v>0.30342274526630653</v>
      </c>
      <c r="M5">
        <v>7.4008162633839136E-2</v>
      </c>
      <c r="N5">
        <v>4.8332787399162385</v>
      </c>
      <c r="O5">
        <v>-1.0762245476913179E-2</v>
      </c>
      <c r="P5">
        <v>-35.400000000000006</v>
      </c>
      <c r="Q5">
        <v>-41.7</v>
      </c>
      <c r="R5">
        <v>-0.12596807249911413</v>
      </c>
      <c r="V5" t="s">
        <v>167</v>
      </c>
      <c r="W5" t="s">
        <v>174</v>
      </c>
    </row>
    <row r="6" spans="1:23">
      <c r="A6" s="56">
        <v>42125</v>
      </c>
      <c r="B6">
        <v>-1</v>
      </c>
      <c r="C6">
        <v>-9.5</v>
      </c>
      <c r="D6">
        <f t="shared" si="0"/>
        <v>0.40000000000000568</v>
      </c>
      <c r="E6">
        <v>6.2444639437057914E-2</v>
      </c>
      <c r="F6">
        <v>-0.20000000000000018</v>
      </c>
      <c r="G6" s="21">
        <v>15.8</v>
      </c>
      <c r="H6">
        <v>17.11</v>
      </c>
      <c r="I6">
        <v>-0.25</v>
      </c>
      <c r="J6">
        <v>-1.5</v>
      </c>
      <c r="K6">
        <v>6.0833604173981648E-2</v>
      </c>
      <c r="L6" s="2">
        <v>0.25236295909872686</v>
      </c>
      <c r="M6">
        <v>4.3037934346273232E-2</v>
      </c>
      <c r="N6">
        <v>-0.33979314553045015</v>
      </c>
      <c r="O6">
        <v>-1.0107108122081598E-3</v>
      </c>
      <c r="P6">
        <v>-30.200000000000003</v>
      </c>
      <c r="Q6">
        <v>-41.5</v>
      </c>
      <c r="R6">
        <v>-5.3071115164271099E-2</v>
      </c>
      <c r="V6" t="s">
        <v>171</v>
      </c>
      <c r="W6" t="s">
        <v>172</v>
      </c>
    </row>
    <row r="7" spans="1:23">
      <c r="A7" s="56">
        <v>42156</v>
      </c>
      <c r="B7">
        <v>9.9999999999994316E-2</v>
      </c>
      <c r="C7">
        <v>-9.7000000000000028</v>
      </c>
      <c r="D7">
        <f t="shared" si="0"/>
        <v>-0.20000000000000284</v>
      </c>
      <c r="E7">
        <v>8.3256368291167338E-2</v>
      </c>
      <c r="F7">
        <v>-0.29999999999999982</v>
      </c>
      <c r="G7" s="21">
        <v>15.3</v>
      </c>
      <c r="H7">
        <v>16.72</v>
      </c>
      <c r="I7">
        <v>0.23999999999999488</v>
      </c>
      <c r="J7">
        <v>-1</v>
      </c>
      <c r="K7">
        <v>6.4551394940530304E-2</v>
      </c>
      <c r="L7" s="2">
        <v>0.25299961964078488</v>
      </c>
      <c r="M7">
        <v>2.6053673062196525E-2</v>
      </c>
      <c r="N7">
        <v>2.7544123449247735</v>
      </c>
      <c r="O7">
        <v>2.1465407561631622E-3</v>
      </c>
      <c r="P7">
        <v>-25.900000000000006</v>
      </c>
      <c r="Q7">
        <v>-39.299999999999997</v>
      </c>
      <c r="R7">
        <v>7.5926580600653271E-2</v>
      </c>
      <c r="V7" t="s">
        <v>175</v>
      </c>
      <c r="W7" t="s">
        <v>176</v>
      </c>
    </row>
    <row r="8" spans="1:23">
      <c r="A8" s="56">
        <v>42186</v>
      </c>
      <c r="B8">
        <v>0.20000000000000284</v>
      </c>
      <c r="C8">
        <v>-9.5999999999999943</v>
      </c>
      <c r="D8">
        <f t="shared" si="0"/>
        <v>0.10000000000000853</v>
      </c>
      <c r="E8">
        <v>9.1361886611998733E-2</v>
      </c>
      <c r="F8">
        <v>0</v>
      </c>
      <c r="G8" s="21">
        <v>15.6</v>
      </c>
      <c r="H8">
        <v>16.450000000000003</v>
      </c>
      <c r="I8">
        <v>1.5900000000000034</v>
      </c>
      <c r="J8">
        <v>0</v>
      </c>
      <c r="K8">
        <v>6.1991910167537911E-2</v>
      </c>
      <c r="L8" s="2">
        <v>0.2731386681413368</v>
      </c>
      <c r="M8">
        <v>1.0142545189437691E-2</v>
      </c>
      <c r="N8">
        <v>-4.9808653348751477</v>
      </c>
      <c r="O8">
        <v>1.336710973347266E-2</v>
      </c>
      <c r="P8">
        <v>-40.799999999999997</v>
      </c>
      <c r="Q8">
        <v>-42.5</v>
      </c>
      <c r="R8">
        <v>4.8933189655476994E-2</v>
      </c>
      <c r="V8" t="s">
        <v>177</v>
      </c>
      <c r="W8" t="s">
        <v>178</v>
      </c>
    </row>
    <row r="9" spans="1:23">
      <c r="A9" s="56">
        <v>42217</v>
      </c>
      <c r="B9">
        <v>0.70000000000000284</v>
      </c>
      <c r="C9">
        <v>-9.5</v>
      </c>
      <c r="D9">
        <f t="shared" si="0"/>
        <v>9.9999999999994316E-2</v>
      </c>
      <c r="E9">
        <v>8.3752697092157158E-2</v>
      </c>
      <c r="F9">
        <v>-9.9999999999999645E-2</v>
      </c>
      <c r="G9" s="21">
        <v>15.8</v>
      </c>
      <c r="H9">
        <v>16.61</v>
      </c>
      <c r="I9">
        <v>0.5</v>
      </c>
      <c r="J9">
        <v>-0.5</v>
      </c>
      <c r="K9">
        <v>6.1889084268669903E-2</v>
      </c>
      <c r="L9" s="2">
        <v>0.2757597299349408</v>
      </c>
      <c r="M9">
        <v>-5.3651852872597106E-3</v>
      </c>
      <c r="N9">
        <v>-5.4188495813521911</v>
      </c>
      <c r="O9">
        <v>-1.0970678595395356E-2</v>
      </c>
      <c r="P9">
        <v>-39.6</v>
      </c>
      <c r="Q9">
        <v>-35.799999999999997</v>
      </c>
      <c r="R9">
        <v>0.13467532499689394</v>
      </c>
      <c r="V9" t="s">
        <v>180</v>
      </c>
      <c r="W9" t="s">
        <v>179</v>
      </c>
    </row>
    <row r="10" spans="1:23">
      <c r="A10" s="56">
        <v>42248</v>
      </c>
      <c r="B10">
        <v>0.5</v>
      </c>
      <c r="C10">
        <v>-10.799999999999997</v>
      </c>
      <c r="D10">
        <f t="shared" si="0"/>
        <v>-1.2999999999999972</v>
      </c>
      <c r="E10">
        <v>8.5665327225174392E-2</v>
      </c>
      <c r="F10">
        <v>0</v>
      </c>
      <c r="G10" s="21">
        <v>15.7</v>
      </c>
      <c r="H10">
        <v>16.549999999999997</v>
      </c>
      <c r="I10">
        <v>0.71999999999999886</v>
      </c>
      <c r="J10">
        <v>0</v>
      </c>
      <c r="K10">
        <v>6.3174641470032267E-2</v>
      </c>
      <c r="L10" s="2">
        <v>0.29864035259949251</v>
      </c>
      <c r="M10">
        <v>-1.5943580960393611E-2</v>
      </c>
      <c r="N10">
        <v>1.7052272765467649</v>
      </c>
      <c r="O10">
        <v>2.4082305421016414E-2</v>
      </c>
      <c r="P10">
        <v>-30.799999999999997</v>
      </c>
      <c r="Q10">
        <v>-35.400000000000006</v>
      </c>
      <c r="R10">
        <v>2.0573258663048044E-2</v>
      </c>
      <c r="V10" t="s">
        <v>182</v>
      </c>
      <c r="W10" t="s">
        <v>183</v>
      </c>
    </row>
    <row r="11" spans="1:23">
      <c r="A11" s="56">
        <v>42278</v>
      </c>
      <c r="B11">
        <v>0.20000000000000284</v>
      </c>
      <c r="C11">
        <v>-11.299999999999997</v>
      </c>
      <c r="D11">
        <f t="shared" si="0"/>
        <v>-0.5</v>
      </c>
      <c r="E11">
        <v>8.1397196952526452E-2</v>
      </c>
      <c r="F11">
        <v>0.29999999999999982</v>
      </c>
      <c r="G11" s="21">
        <v>15.6</v>
      </c>
      <c r="H11">
        <v>16.420000000000002</v>
      </c>
      <c r="I11">
        <v>0.35999999999999943</v>
      </c>
      <c r="J11">
        <v>0</v>
      </c>
      <c r="K11">
        <v>5.7922345090113181E-2</v>
      </c>
      <c r="L11" s="2">
        <v>0.28957838293715654</v>
      </c>
      <c r="M11">
        <v>-2.4553137642927103E-2</v>
      </c>
      <c r="N11">
        <v>0.6106511851797336</v>
      </c>
      <c r="O11">
        <v>1.3351427301834917E-2</v>
      </c>
      <c r="P11">
        <v>-35</v>
      </c>
      <c r="Q11">
        <v>-36.799999999999997</v>
      </c>
      <c r="R11">
        <v>-5.4421637949870316E-2</v>
      </c>
      <c r="V11" t="s">
        <v>185</v>
      </c>
      <c r="W11" t="s">
        <v>184</v>
      </c>
    </row>
    <row r="12" spans="1:23">
      <c r="A12" s="56">
        <v>42309</v>
      </c>
      <c r="B12">
        <v>0.79999999999999716</v>
      </c>
      <c r="C12">
        <v>-12.299999999999997</v>
      </c>
      <c r="D12">
        <f t="shared" si="0"/>
        <v>-1</v>
      </c>
      <c r="E12">
        <v>7.5611005369383255E-2</v>
      </c>
      <c r="F12">
        <v>0.29999999999999982</v>
      </c>
      <c r="G12" s="21">
        <v>15</v>
      </c>
      <c r="H12">
        <v>15.909999999999997</v>
      </c>
      <c r="I12">
        <v>-0.71999999999999886</v>
      </c>
      <c r="J12">
        <v>0</v>
      </c>
      <c r="K12">
        <v>7.8098071942943825E-2</v>
      </c>
      <c r="L12" s="2">
        <v>0.25121967492361508</v>
      </c>
      <c r="M12">
        <v>-3.7460206606326318E-2</v>
      </c>
      <c r="N12">
        <v>-0.77476753291762179</v>
      </c>
      <c r="O12">
        <v>-4.391921294473633E-3</v>
      </c>
      <c r="P12">
        <v>-30.799999999999997</v>
      </c>
      <c r="Q12">
        <v>-28.799999999999997</v>
      </c>
      <c r="R12">
        <v>2.7816630576032786E-2</v>
      </c>
      <c r="V12" t="s">
        <v>186</v>
      </c>
      <c r="W12" t="s">
        <v>187</v>
      </c>
    </row>
    <row r="13" spans="1:23">
      <c r="A13" s="56">
        <v>42339</v>
      </c>
      <c r="B13">
        <v>-1</v>
      </c>
      <c r="C13">
        <v>-14.200000000000003</v>
      </c>
      <c r="D13">
        <f t="shared" si="0"/>
        <v>-1.9000000000000057</v>
      </c>
      <c r="E13">
        <v>6.4893009896875187E-2</v>
      </c>
      <c r="F13">
        <v>0</v>
      </c>
      <c r="G13" s="21">
        <v>12.9</v>
      </c>
      <c r="H13">
        <v>13.659999999999997</v>
      </c>
      <c r="I13">
        <v>-1.2600000000000051</v>
      </c>
      <c r="J13">
        <v>0</v>
      </c>
      <c r="K13">
        <v>8.6304757481255434E-2</v>
      </c>
      <c r="L13" s="2">
        <v>0.21677535785719759</v>
      </c>
      <c r="M13">
        <v>-4.9770617448498755E-2</v>
      </c>
      <c r="N13">
        <v>29.175857014498462</v>
      </c>
      <c r="O13">
        <v>-1.3432525608116919E-2</v>
      </c>
      <c r="P13">
        <v>-24.599999999999994</v>
      </c>
      <c r="Q13">
        <v>-28.400000000000006</v>
      </c>
      <c r="R13">
        <v>6.9427883778230282E-2</v>
      </c>
      <c r="V13" t="s">
        <v>208</v>
      </c>
      <c r="W13" t="s">
        <v>188</v>
      </c>
    </row>
    <row r="14" spans="1:23">
      <c r="A14" s="56">
        <v>42370</v>
      </c>
      <c r="B14">
        <v>-0.90000000000000568</v>
      </c>
      <c r="C14">
        <v>-6.2000000000000028</v>
      </c>
      <c r="D14">
        <f t="shared" si="0"/>
        <v>8</v>
      </c>
      <c r="E14">
        <v>4.5010764891339372E-2</v>
      </c>
      <c r="F14">
        <v>0</v>
      </c>
      <c r="G14" s="21">
        <v>9.8000000000000007</v>
      </c>
      <c r="H14">
        <v>10.700000000000003</v>
      </c>
      <c r="I14">
        <v>-0.57999999999999829</v>
      </c>
      <c r="J14">
        <v>0</v>
      </c>
      <c r="K14">
        <v>0.11272772256104635</v>
      </c>
      <c r="L14" s="2">
        <v>0.13478422027153814</v>
      </c>
      <c r="M14">
        <v>-5.6610951820023625E-2</v>
      </c>
      <c r="N14">
        <v>-25.476242398542965</v>
      </c>
      <c r="O14">
        <v>1.0069556524920031E-2</v>
      </c>
      <c r="P14">
        <v>-38.5</v>
      </c>
      <c r="Q14">
        <v>-19</v>
      </c>
      <c r="R14">
        <v>0.11159789988127766</v>
      </c>
      <c r="V14" t="s">
        <v>190</v>
      </c>
      <c r="W14" t="s">
        <v>191</v>
      </c>
    </row>
    <row r="15" spans="1:23">
      <c r="A15" s="56">
        <v>42401</v>
      </c>
      <c r="B15">
        <v>2</v>
      </c>
      <c r="C15">
        <v>-3.7000000000000028</v>
      </c>
      <c r="D15">
        <f t="shared" si="0"/>
        <v>2.5</v>
      </c>
      <c r="E15">
        <v>7.8058771300676844E-2</v>
      </c>
      <c r="F15">
        <v>0</v>
      </c>
      <c r="G15" s="21">
        <v>8.1</v>
      </c>
      <c r="H15">
        <v>8.8799999999999955</v>
      </c>
      <c r="I15">
        <v>1.1700000000000017</v>
      </c>
      <c r="J15">
        <v>0</v>
      </c>
      <c r="K15">
        <v>9.3495342104959578E-2</v>
      </c>
      <c r="L15" s="2">
        <v>8.6579780891461233E-2</v>
      </c>
      <c r="M15">
        <v>-5.4825533141877769E-2</v>
      </c>
      <c r="N15">
        <v>3.0671949391006592</v>
      </c>
      <c r="O15">
        <v>8.5410772236897969E-3</v>
      </c>
      <c r="P15">
        <v>-31.5</v>
      </c>
      <c r="Q15">
        <v>-16.599999999999994</v>
      </c>
      <c r="R15">
        <v>-7.8052549879776834E-3</v>
      </c>
      <c r="V15" t="s">
        <v>192</v>
      </c>
      <c r="W15" t="s">
        <v>193</v>
      </c>
    </row>
    <row r="16" spans="1:23">
      <c r="A16" s="56">
        <v>42430</v>
      </c>
      <c r="B16">
        <v>0.90000000000000568</v>
      </c>
      <c r="C16">
        <v>-5.0999999999999943</v>
      </c>
      <c r="D16">
        <f t="shared" si="0"/>
        <v>-1.3999999999999915</v>
      </c>
      <c r="E16">
        <v>6.2162428310043705E-2</v>
      </c>
      <c r="F16">
        <v>0.20000000000000018</v>
      </c>
      <c r="G16" s="21">
        <v>7.3</v>
      </c>
      <c r="H16">
        <v>7.9599999999999937</v>
      </c>
      <c r="I16">
        <v>1.2600000000000051</v>
      </c>
      <c r="J16">
        <v>0</v>
      </c>
      <c r="K16">
        <v>9.8792756796987957E-2</v>
      </c>
      <c r="L16" s="2">
        <v>0.11446426048245062</v>
      </c>
      <c r="M16">
        <v>-4.1582629141115768E-2</v>
      </c>
      <c r="N16">
        <v>4.3238794837012335</v>
      </c>
      <c r="O16">
        <v>2.3894140775245987E-2</v>
      </c>
      <c r="P16">
        <v>-29.5</v>
      </c>
      <c r="Q16">
        <v>-10.099999999999994</v>
      </c>
      <c r="R16">
        <v>-9.3609069923799915E-2</v>
      </c>
      <c r="V16" t="s">
        <v>194</v>
      </c>
      <c r="W16" t="s">
        <v>195</v>
      </c>
    </row>
    <row r="17" spans="1:23">
      <c r="A17" s="56">
        <v>42461</v>
      </c>
      <c r="B17">
        <v>-0.20000000000000284</v>
      </c>
      <c r="C17">
        <v>-4.2999999999999972</v>
      </c>
      <c r="D17">
        <f t="shared" si="0"/>
        <v>0.79999999999999716</v>
      </c>
      <c r="E17">
        <v>6.9047866191366492E-2</v>
      </c>
      <c r="F17">
        <v>-9.9999999999999645E-2</v>
      </c>
      <c r="G17" s="21">
        <v>7.3</v>
      </c>
      <c r="H17">
        <v>7.6400000000000006</v>
      </c>
      <c r="I17">
        <v>0.12999999999999545</v>
      </c>
      <c r="J17">
        <v>0</v>
      </c>
      <c r="K17">
        <v>0.11796954934425652</v>
      </c>
      <c r="L17" s="2">
        <v>0.10446034711948071</v>
      </c>
      <c r="M17">
        <v>-3.3146545804608962E-2</v>
      </c>
      <c r="N17">
        <v>2.3574670126395887</v>
      </c>
      <c r="O17">
        <v>1.6843556715169683E-2</v>
      </c>
      <c r="P17">
        <v>-29.200000000000003</v>
      </c>
      <c r="Q17">
        <v>-6.5</v>
      </c>
      <c r="R17">
        <v>-5.4508848410820043E-2</v>
      </c>
      <c r="V17" t="s">
        <v>197</v>
      </c>
      <c r="W17" t="s">
        <v>198</v>
      </c>
    </row>
    <row r="18" spans="1:23">
      <c r="A18" s="56">
        <v>42491</v>
      </c>
      <c r="B18">
        <v>0.40000000000000568</v>
      </c>
      <c r="C18">
        <v>-5.2999999999999972</v>
      </c>
      <c r="D18">
        <f t="shared" si="0"/>
        <v>-1</v>
      </c>
      <c r="E18">
        <v>8.1294239688456837E-2</v>
      </c>
      <c r="F18">
        <v>-0.30000000000000071</v>
      </c>
      <c r="G18" s="21">
        <v>7.3</v>
      </c>
      <c r="H18">
        <v>7.5300000000000011</v>
      </c>
      <c r="I18">
        <v>1.3299999999999983</v>
      </c>
      <c r="J18">
        <v>0</v>
      </c>
      <c r="K18">
        <v>0.10747878054262294</v>
      </c>
      <c r="L18" s="2">
        <v>0.10815522109690345</v>
      </c>
      <c r="M18">
        <v>-2.4014380962435466E-2</v>
      </c>
      <c r="N18">
        <v>1.6993478087608196</v>
      </c>
      <c r="O18">
        <v>1.1593789188287573E-2</v>
      </c>
      <c r="P18">
        <v>-28.099999999999994</v>
      </c>
      <c r="Q18">
        <v>-5.5999999999999943</v>
      </c>
      <c r="R18">
        <v>-1.2737458360808418E-2</v>
      </c>
      <c r="V18" t="s">
        <v>209</v>
      </c>
      <c r="W18" t="s">
        <v>210</v>
      </c>
    </row>
    <row r="19" spans="1:23">
      <c r="A19" s="56">
        <v>42522</v>
      </c>
      <c r="B19">
        <v>1.0999999999999943</v>
      </c>
      <c r="C19">
        <v>-5</v>
      </c>
      <c r="D19">
        <f t="shared" si="0"/>
        <v>0.29999999999999716</v>
      </c>
      <c r="E19">
        <v>5.6099830504241721E-2</v>
      </c>
      <c r="F19">
        <v>-0.19999999999999929</v>
      </c>
      <c r="G19" s="21">
        <v>7.5</v>
      </c>
      <c r="H19">
        <v>7.4899999999999949</v>
      </c>
      <c r="I19">
        <v>2.0900000000000034</v>
      </c>
      <c r="J19">
        <v>-0.5</v>
      </c>
      <c r="K19">
        <v>0.12012933975831452</v>
      </c>
      <c r="L19" s="2">
        <v>7.340274198792307E-2</v>
      </c>
      <c r="M19">
        <v>-1.6455609777745961E-2</v>
      </c>
      <c r="N19">
        <v>2.7896201507296041</v>
      </c>
      <c r="O19">
        <v>-9.7660409912538881E-3</v>
      </c>
      <c r="P19">
        <v>-20.099999999999994</v>
      </c>
      <c r="Q19">
        <v>-1.5</v>
      </c>
      <c r="R19">
        <v>-9.4522099839586815E-3</v>
      </c>
    </row>
    <row r="20" spans="1:23">
      <c r="A20" s="56">
        <v>42552</v>
      </c>
      <c r="B20">
        <v>0.40000000000000568</v>
      </c>
      <c r="C20">
        <v>-6</v>
      </c>
      <c r="D20">
        <f t="shared" si="0"/>
        <v>-1</v>
      </c>
      <c r="E20">
        <v>5.1204434952171196E-2</v>
      </c>
      <c r="F20">
        <v>-0.10000000000000053</v>
      </c>
      <c r="G20" s="21">
        <v>7.2</v>
      </c>
      <c r="H20">
        <v>7.4399999999999977</v>
      </c>
      <c r="I20">
        <v>0.39000000000000057</v>
      </c>
      <c r="J20">
        <v>0</v>
      </c>
      <c r="K20">
        <v>0.1227630857857207</v>
      </c>
      <c r="L20" s="2">
        <v>5.7753923447109612E-2</v>
      </c>
      <c r="M20">
        <v>-1.215709001647558E-2</v>
      </c>
      <c r="N20">
        <v>-7.1587500128405139</v>
      </c>
      <c r="O20">
        <v>1.2915441064956568E-2</v>
      </c>
      <c r="P20">
        <v>-17.900000000000006</v>
      </c>
      <c r="Q20">
        <v>-3.7000000000000028</v>
      </c>
      <c r="R20">
        <v>-1.3604984384596008E-2</v>
      </c>
    </row>
    <row r="21" spans="1:23">
      <c r="A21" s="56">
        <v>42583</v>
      </c>
      <c r="B21">
        <v>2.2000000000000028</v>
      </c>
      <c r="C21">
        <v>-3.5</v>
      </c>
      <c r="D21">
        <f t="shared" si="0"/>
        <v>2.5</v>
      </c>
      <c r="E21">
        <v>8.100556812468418E-2</v>
      </c>
      <c r="F21">
        <v>-9.9999999999999645E-2</v>
      </c>
      <c r="G21" s="21">
        <v>6.9</v>
      </c>
      <c r="H21">
        <v>7.0400000000000063</v>
      </c>
      <c r="I21">
        <v>-0.29000000000000625</v>
      </c>
      <c r="J21">
        <v>0</v>
      </c>
      <c r="K21">
        <v>0.12436032902361793</v>
      </c>
      <c r="L21" s="2">
        <v>5.0456394034343877E-2</v>
      </c>
      <c r="M21">
        <v>-6.3941969295715495E-3</v>
      </c>
      <c r="N21">
        <v>-1.3548898399578917</v>
      </c>
      <c r="O21">
        <v>2.9389801850054909E-3</v>
      </c>
      <c r="P21">
        <v>-7.7000000000000028</v>
      </c>
      <c r="Q21">
        <v>13.700000000000003</v>
      </c>
      <c r="R21">
        <v>9.2603473903043465E-3</v>
      </c>
    </row>
    <row r="22" spans="1:23">
      <c r="A22" s="56">
        <v>42614</v>
      </c>
      <c r="B22">
        <v>2.5</v>
      </c>
      <c r="C22">
        <v>-3.5999999999999943</v>
      </c>
      <c r="D22">
        <f t="shared" si="0"/>
        <v>-9.9999999999994316E-2</v>
      </c>
      <c r="E22">
        <v>5.5064082919828783E-2</v>
      </c>
      <c r="F22">
        <v>0</v>
      </c>
      <c r="G22" s="21">
        <v>6.4</v>
      </c>
      <c r="H22">
        <v>6.730000000000004</v>
      </c>
      <c r="I22">
        <v>-0.43999999999999773</v>
      </c>
      <c r="J22">
        <v>-0.5</v>
      </c>
      <c r="K22">
        <v>0.12054013548679232</v>
      </c>
      <c r="L22" s="2">
        <v>6.1019990521304912E-3</v>
      </c>
      <c r="M22">
        <v>-7.033878740768551E-3</v>
      </c>
      <c r="N22">
        <v>1.0661447972925941</v>
      </c>
      <c r="O22">
        <v>3.2593710344190896E-3</v>
      </c>
      <c r="P22">
        <v>-3.7000000000000028</v>
      </c>
      <c r="Q22">
        <v>6.7000000000000028</v>
      </c>
      <c r="R22">
        <v>-5.8585663861512316E-3</v>
      </c>
    </row>
    <row r="23" spans="1:23">
      <c r="A23" s="56">
        <v>42644</v>
      </c>
      <c r="B23">
        <v>3</v>
      </c>
      <c r="C23">
        <v>-4.7000000000000028</v>
      </c>
      <c r="D23">
        <f t="shared" si="0"/>
        <v>-1.1000000000000085</v>
      </c>
      <c r="E23">
        <v>4.8970431061057917E-2</v>
      </c>
      <c r="F23">
        <v>9.9999999999999645E-2</v>
      </c>
      <c r="G23" s="21">
        <v>6.1</v>
      </c>
      <c r="H23">
        <v>6.4099999999999966</v>
      </c>
      <c r="I23">
        <v>0.48999999999999488</v>
      </c>
      <c r="J23">
        <v>0</v>
      </c>
      <c r="K23">
        <v>0.12779887390336531</v>
      </c>
      <c r="L23" s="2">
        <v>-1.7047321844404606E-2</v>
      </c>
      <c r="M23">
        <v>-3.3978003663978074E-3</v>
      </c>
      <c r="N23">
        <v>-0.69039915609624813</v>
      </c>
      <c r="O23">
        <v>6.4191629365257796E-3</v>
      </c>
      <c r="P23">
        <v>-8.2000000000000028</v>
      </c>
      <c r="Q23">
        <v>7.5</v>
      </c>
      <c r="R23">
        <v>-3.0466930980104223E-2</v>
      </c>
    </row>
    <row r="24" spans="1:23">
      <c r="A24" s="56">
        <v>42675</v>
      </c>
      <c r="B24">
        <v>5.2000000000000028</v>
      </c>
      <c r="C24">
        <v>-4.7000000000000028</v>
      </c>
      <c r="D24">
        <f t="shared" si="0"/>
        <v>0</v>
      </c>
      <c r="E24">
        <v>7.3572364202804774E-2</v>
      </c>
      <c r="F24">
        <v>0</v>
      </c>
      <c r="G24" s="21">
        <v>5.8</v>
      </c>
      <c r="H24">
        <v>6.2099999999999937</v>
      </c>
      <c r="I24">
        <v>0.20999999999999375</v>
      </c>
      <c r="J24">
        <v>0</v>
      </c>
      <c r="K24">
        <v>0.12095637372289358</v>
      </c>
      <c r="L24" s="2">
        <v>-1.7823335133548723E-2</v>
      </c>
      <c r="M24">
        <v>2.1087866453113335E-3</v>
      </c>
      <c r="N24">
        <v>0.80460653256582759</v>
      </c>
      <c r="O24">
        <v>-1.7761131661915286E-2</v>
      </c>
      <c r="P24">
        <v>4.5</v>
      </c>
      <c r="Q24">
        <v>7.2000000000000028</v>
      </c>
      <c r="R24">
        <v>2.6688472704148758E-2</v>
      </c>
    </row>
    <row r="25" spans="1:23">
      <c r="A25" s="56">
        <v>42705</v>
      </c>
      <c r="B25">
        <v>3.9000000000000057</v>
      </c>
      <c r="C25">
        <v>-5.5999999999999943</v>
      </c>
      <c r="D25">
        <f t="shared" si="0"/>
        <v>-0.89999999999999147</v>
      </c>
      <c r="E25">
        <v>5.4616335866707555E-2</v>
      </c>
      <c r="F25">
        <v>0</v>
      </c>
      <c r="G25" s="21">
        <v>5.4</v>
      </c>
      <c r="H25">
        <v>5.9699999999999989</v>
      </c>
      <c r="I25">
        <v>1.7099999999999937</v>
      </c>
      <c r="J25">
        <v>0</v>
      </c>
      <c r="K25">
        <v>0.11268158546037288</v>
      </c>
      <c r="L25" s="2">
        <v>-1.8837202244556872E-2</v>
      </c>
      <c r="M25">
        <v>9.2148124481818972E-3</v>
      </c>
      <c r="N25">
        <v>30.857801664000874</v>
      </c>
      <c r="O25">
        <v>-1.4053829822341157E-2</v>
      </c>
      <c r="P25">
        <v>8.7000000000000028</v>
      </c>
      <c r="Q25">
        <v>11.700000000000003</v>
      </c>
      <c r="R25">
        <v>-3.5167522186482891E-2</v>
      </c>
    </row>
    <row r="26" spans="1:23">
      <c r="A26" s="56">
        <v>42736</v>
      </c>
      <c r="B26">
        <v>6.5999999999999943</v>
      </c>
      <c r="C26">
        <v>-2</v>
      </c>
      <c r="D26">
        <f t="shared" si="0"/>
        <v>3.5999999999999943</v>
      </c>
      <c r="E26">
        <v>8.3556167545379312E-2</v>
      </c>
      <c r="F26">
        <v>0.29999999999999982</v>
      </c>
      <c r="G26" s="21">
        <v>5</v>
      </c>
      <c r="H26">
        <v>5.4899999999999949</v>
      </c>
      <c r="I26">
        <v>1.4699999999999989</v>
      </c>
      <c r="J26">
        <v>0</v>
      </c>
      <c r="K26">
        <v>9.2041069040779133E-2</v>
      </c>
      <c r="L26" s="2">
        <v>-6.7139580379896202E-2</v>
      </c>
      <c r="M26">
        <v>9.2756128756847911E-3</v>
      </c>
      <c r="N26">
        <v>-28.061326262263464</v>
      </c>
      <c r="O26">
        <v>-1.9782330996680031E-2</v>
      </c>
      <c r="P26">
        <v>48.300000000000011</v>
      </c>
      <c r="Q26">
        <v>38.300000000000011</v>
      </c>
      <c r="R26">
        <v>-4.0449350027596864E-2</v>
      </c>
    </row>
    <row r="27" spans="1:23">
      <c r="A27" s="56">
        <v>42767</v>
      </c>
      <c r="B27">
        <v>1.5999999999999943</v>
      </c>
      <c r="C27">
        <v>-2.7999999999999972</v>
      </c>
      <c r="D27">
        <f t="shared" si="0"/>
        <v>-0.79999999999999716</v>
      </c>
      <c r="E27">
        <v>3.4677913543354144E-2</v>
      </c>
      <c r="F27">
        <v>0</v>
      </c>
      <c r="G27" s="21">
        <v>4.5999999999999996</v>
      </c>
      <c r="H27">
        <v>4.9699999999999989</v>
      </c>
      <c r="I27">
        <v>-0.46999999999999886</v>
      </c>
      <c r="J27">
        <v>0</v>
      </c>
      <c r="K27">
        <v>0.12029148162439074</v>
      </c>
      <c r="L27" s="2">
        <v>-7.6110596523023655E-2</v>
      </c>
      <c r="M27">
        <v>1.0806229400339484E-2</v>
      </c>
      <c r="N27">
        <v>2.8981447314154138</v>
      </c>
      <c r="O27">
        <v>3.343683965967692E-2</v>
      </c>
      <c r="P27">
        <v>28.199999999999989</v>
      </c>
      <c r="Q27">
        <v>20.299999999999997</v>
      </c>
      <c r="R27">
        <v>-1.8457024943829836E-2</v>
      </c>
    </row>
    <row r="28" spans="1:23">
      <c r="A28" s="56">
        <v>42795</v>
      </c>
      <c r="B28">
        <v>3.5999999999999943</v>
      </c>
      <c r="C28">
        <v>0</v>
      </c>
      <c r="D28">
        <f t="shared" si="0"/>
        <v>2.7999999999999972</v>
      </c>
      <c r="E28">
        <v>5.5329673050785289E-2</v>
      </c>
      <c r="F28">
        <v>-0.19999999999999929</v>
      </c>
      <c r="G28" s="21">
        <v>4.3</v>
      </c>
      <c r="H28">
        <v>4.480000000000004</v>
      </c>
      <c r="I28">
        <v>-0.20999999999999375</v>
      </c>
      <c r="J28">
        <v>-0.25</v>
      </c>
      <c r="K28">
        <v>0.12104317589949187</v>
      </c>
      <c r="L28" s="2">
        <v>-8.2661590333503621E-2</v>
      </c>
      <c r="M28">
        <v>1.352471559428281E-2</v>
      </c>
      <c r="N28">
        <v>6.6291724677421655</v>
      </c>
      <c r="O28">
        <v>1.7131621560697141E-2</v>
      </c>
      <c r="P28">
        <v>35.099999999999994</v>
      </c>
      <c r="Q28">
        <v>23.799999999999997</v>
      </c>
      <c r="R28">
        <v>-9.1420217862703268E-3</v>
      </c>
    </row>
    <row r="29" spans="1:23">
      <c r="A29" s="56">
        <v>42826</v>
      </c>
      <c r="B29">
        <v>4.2999999999999972</v>
      </c>
      <c r="C29">
        <v>0.29999999999999716</v>
      </c>
      <c r="D29">
        <f t="shared" si="0"/>
        <v>0.29999999999999716</v>
      </c>
      <c r="E29">
        <v>4.4171730720253155E-2</v>
      </c>
      <c r="F29">
        <v>-0.10000000000000053</v>
      </c>
      <c r="G29" s="21">
        <v>4.0999999999999996</v>
      </c>
      <c r="H29">
        <v>4.1099999999999994</v>
      </c>
      <c r="I29">
        <v>1.9999999999996021E-2</v>
      </c>
      <c r="J29">
        <v>0</v>
      </c>
      <c r="K29">
        <v>0.11146966460178098</v>
      </c>
      <c r="L29" s="2">
        <v>-6.6323599462136285E-2</v>
      </c>
      <c r="M29">
        <v>2.7643345536783492E-2</v>
      </c>
      <c r="N29">
        <v>3.1573332759489432</v>
      </c>
      <c r="O29">
        <v>1.4410728299019127E-3</v>
      </c>
      <c r="P29">
        <v>19.799999999999997</v>
      </c>
      <c r="Q29">
        <v>20.799999999999997</v>
      </c>
      <c r="R29">
        <v>-2.7456927518440644E-2</v>
      </c>
    </row>
    <row r="30" spans="1:23">
      <c r="A30" s="56">
        <v>42856</v>
      </c>
      <c r="B30">
        <v>6.2999999999999972</v>
      </c>
      <c r="C30">
        <v>1.0999999999999943</v>
      </c>
      <c r="D30">
        <f t="shared" si="0"/>
        <v>0.79999999999999716</v>
      </c>
      <c r="E30">
        <v>6.1635326916537725E-2</v>
      </c>
      <c r="F30">
        <v>-9.9999999999999645E-2</v>
      </c>
      <c r="G30" s="21">
        <v>4.0999999999999996</v>
      </c>
      <c r="H30">
        <v>3.769999999999996</v>
      </c>
      <c r="I30">
        <v>-9.9999999999994316E-2</v>
      </c>
      <c r="J30">
        <v>-0.5</v>
      </c>
      <c r="K30">
        <v>0.10142808466518427</v>
      </c>
      <c r="L30" s="2">
        <v>-3.5380132833849109E-2</v>
      </c>
      <c r="M30">
        <v>4.0043177681166497E-2</v>
      </c>
      <c r="N30">
        <v>0.78535734140727698</v>
      </c>
      <c r="O30">
        <v>7.7381301249310752E-3</v>
      </c>
      <c r="P30">
        <v>28.099999999999994</v>
      </c>
      <c r="Q30">
        <v>36</v>
      </c>
      <c r="R30">
        <v>9.0744731314389426E-3</v>
      </c>
    </row>
    <row r="31" spans="1:23">
      <c r="A31" s="56">
        <v>42887</v>
      </c>
      <c r="B31">
        <v>5.5</v>
      </c>
      <c r="C31">
        <v>1.4000000000000057</v>
      </c>
      <c r="D31">
        <f t="shared" si="0"/>
        <v>0.30000000000001137</v>
      </c>
      <c r="E31">
        <v>5.8537138796127097E-2</v>
      </c>
      <c r="F31">
        <v>-0.10000000000000053</v>
      </c>
      <c r="G31" s="21">
        <v>4.4000000000000004</v>
      </c>
      <c r="H31">
        <v>3.4599999999999937</v>
      </c>
      <c r="I31">
        <v>-0.12999999999999545</v>
      </c>
      <c r="J31">
        <v>-0.25</v>
      </c>
      <c r="K31">
        <v>0.10044687953482168</v>
      </c>
      <c r="L31" s="2">
        <v>-1.5257056184774576E-2</v>
      </c>
      <c r="M31">
        <v>4.4443505374593739E-2</v>
      </c>
      <c r="N31">
        <v>3.8383728259798744</v>
      </c>
      <c r="O31">
        <v>1.1709291495815677E-2</v>
      </c>
      <c r="P31">
        <v>22.799999999999997</v>
      </c>
      <c r="Q31">
        <v>30.300000000000011</v>
      </c>
      <c r="R31">
        <v>1.6424631231031661E-2</v>
      </c>
    </row>
    <row r="32" spans="1:23">
      <c r="A32" s="56">
        <v>42917</v>
      </c>
      <c r="B32">
        <v>4.5999999999999943</v>
      </c>
      <c r="C32">
        <v>2.5999999999999943</v>
      </c>
      <c r="D32">
        <f t="shared" si="0"/>
        <v>1.1999999999999886</v>
      </c>
      <c r="E32">
        <v>6.1112770249915904E-2</v>
      </c>
      <c r="F32">
        <v>0</v>
      </c>
      <c r="G32" s="21">
        <v>3.9</v>
      </c>
      <c r="H32">
        <v>3.25</v>
      </c>
      <c r="I32">
        <v>-0.43000000000000682</v>
      </c>
      <c r="J32">
        <v>0</v>
      </c>
      <c r="K32">
        <v>0.10503473084058701</v>
      </c>
      <c r="L32" s="2">
        <v>-4.9895972912121778E-3</v>
      </c>
      <c r="M32">
        <v>5.7135545107463992E-2</v>
      </c>
      <c r="N32">
        <v>-8.2194899509901518</v>
      </c>
      <c r="O32">
        <v>1.5937546986856788E-2</v>
      </c>
      <c r="P32">
        <v>9.7999999999999972</v>
      </c>
      <c r="Q32">
        <v>29.099999999999994</v>
      </c>
      <c r="R32">
        <v>3.0609813449960832E-2</v>
      </c>
    </row>
    <row r="33" spans="1:18">
      <c r="A33" s="56">
        <v>42948</v>
      </c>
      <c r="B33">
        <v>5.0999999999999943</v>
      </c>
      <c r="C33">
        <v>0.40000000000000568</v>
      </c>
      <c r="D33">
        <f t="shared" si="0"/>
        <v>-2.1999999999999886</v>
      </c>
      <c r="E33">
        <v>4.4516933328778485E-2</v>
      </c>
      <c r="F33">
        <v>-0.19999999999999929</v>
      </c>
      <c r="G33" s="21">
        <v>3.3</v>
      </c>
      <c r="H33">
        <v>2.9699999999999989</v>
      </c>
      <c r="I33">
        <v>0.57999999999999829</v>
      </c>
      <c r="J33">
        <v>0</v>
      </c>
      <c r="K33">
        <v>9.0062605162290588E-2</v>
      </c>
      <c r="L33" s="2">
        <v>-7.5478700475112293E-3</v>
      </c>
      <c r="M33">
        <v>6.2318010124088108E-2</v>
      </c>
      <c r="N33">
        <v>-2.0304314188131087</v>
      </c>
      <c r="O33">
        <v>1.4946960892221028E-2</v>
      </c>
      <c r="P33">
        <v>25.799999999999997</v>
      </c>
      <c r="Q33">
        <v>21.700000000000003</v>
      </c>
      <c r="R33">
        <v>-1.3402597696554608E-3</v>
      </c>
    </row>
    <row r="34" spans="1:18">
      <c r="A34" s="56">
        <v>42979</v>
      </c>
      <c r="B34">
        <v>4</v>
      </c>
      <c r="C34">
        <v>3.0999999999999943</v>
      </c>
      <c r="D34">
        <f t="shared" si="0"/>
        <v>2.6999999999999886</v>
      </c>
      <c r="E34">
        <v>5.1330536665355142E-2</v>
      </c>
      <c r="F34">
        <v>9.9999999999999645E-2</v>
      </c>
      <c r="G34" s="21">
        <v>3</v>
      </c>
      <c r="H34">
        <v>2.7600000000000051</v>
      </c>
      <c r="I34">
        <v>1.2399999999999949</v>
      </c>
      <c r="J34">
        <v>-0.5</v>
      </c>
      <c r="K34">
        <v>9.057995001606689E-2</v>
      </c>
      <c r="L34" s="2">
        <v>5.3335093635187292E-4</v>
      </c>
      <c r="M34">
        <v>7.889952023596658E-2</v>
      </c>
      <c r="N34">
        <v>2.7096803657442337</v>
      </c>
      <c r="O34">
        <v>1.3131327955486327E-2</v>
      </c>
      <c r="P34">
        <v>21.200000000000003</v>
      </c>
      <c r="Q34">
        <v>14.5</v>
      </c>
      <c r="R34">
        <v>-3.1837663361276469E-2</v>
      </c>
    </row>
    <row r="35" spans="1:18">
      <c r="A35" s="56">
        <v>43009</v>
      </c>
      <c r="B35">
        <v>2.2999999999999972</v>
      </c>
      <c r="C35">
        <v>3.4000000000000057</v>
      </c>
      <c r="D35">
        <f t="shared" ref="D35:D66" si="1">C35-C34</f>
        <v>0.30000000000001137</v>
      </c>
      <c r="E35">
        <v>6.1678046582195556E-2</v>
      </c>
      <c r="F35">
        <v>0</v>
      </c>
      <c r="G35" s="21">
        <v>2.7</v>
      </c>
      <c r="H35">
        <v>2.5100000000000051</v>
      </c>
      <c r="I35">
        <v>1.3299999999999983</v>
      </c>
      <c r="J35">
        <v>-0.25</v>
      </c>
      <c r="K35">
        <v>9.4708916856099057E-2</v>
      </c>
      <c r="L35" s="2">
        <v>6.6702427679501408E-3</v>
      </c>
      <c r="M35">
        <v>8.4996839020725412E-2</v>
      </c>
      <c r="N35">
        <v>0.55115563217844965</v>
      </c>
      <c r="O35">
        <v>1.8568619664218744E-3</v>
      </c>
      <c r="P35">
        <v>27.400000000000006</v>
      </c>
      <c r="Q35">
        <v>18.400000000000006</v>
      </c>
      <c r="R35">
        <v>-8.0799415098198324E-4</v>
      </c>
    </row>
    <row r="36" spans="1:18">
      <c r="A36" s="56">
        <v>43040</v>
      </c>
      <c r="B36">
        <v>1.0999999999999943</v>
      </c>
      <c r="C36">
        <v>3.0999999999999943</v>
      </c>
      <c r="D36">
        <f t="shared" si="1"/>
        <v>-0.30000000000001137</v>
      </c>
      <c r="E36">
        <v>4.60002279598688E-2</v>
      </c>
      <c r="F36">
        <v>9.9999999999999645E-2</v>
      </c>
      <c r="G36" s="21">
        <v>2.5</v>
      </c>
      <c r="H36">
        <v>2.269999999999996</v>
      </c>
      <c r="I36">
        <v>0.51999999999999602</v>
      </c>
      <c r="J36">
        <v>0</v>
      </c>
      <c r="K36">
        <v>0.10032037892921863</v>
      </c>
      <c r="L36" s="2">
        <v>1.3076162141691272E-2</v>
      </c>
      <c r="M36">
        <v>9.5309560006282323E-2</v>
      </c>
      <c r="N36">
        <v>1.1210236912700253</v>
      </c>
      <c r="O36">
        <v>2.1421265749133056E-4</v>
      </c>
      <c r="P36">
        <v>26</v>
      </c>
      <c r="Q36">
        <v>25</v>
      </c>
      <c r="R36">
        <v>2.1068374791409994E-2</v>
      </c>
    </row>
    <row r="37" spans="1:18">
      <c r="A37" s="56">
        <v>43070</v>
      </c>
      <c r="B37">
        <v>0.29999999999999716</v>
      </c>
      <c r="C37">
        <v>3.2999999999999972</v>
      </c>
      <c r="D37">
        <f t="shared" si="1"/>
        <v>0.20000000000000284</v>
      </c>
      <c r="E37">
        <v>5.9946955079769548E-2</v>
      </c>
      <c r="F37">
        <v>0</v>
      </c>
      <c r="G37" s="21">
        <v>2.5</v>
      </c>
      <c r="H37">
        <v>2.0999999999999943</v>
      </c>
      <c r="I37">
        <v>0.29000000000000625</v>
      </c>
      <c r="J37">
        <v>-0.5</v>
      </c>
      <c r="K37">
        <v>0.10104812738877</v>
      </c>
      <c r="L37" s="2">
        <v>8.2872943136256261E-3</v>
      </c>
      <c r="M37">
        <v>0.10867186658050776</v>
      </c>
      <c r="N37">
        <v>31.236799675301114</v>
      </c>
      <c r="O37">
        <v>1.5829998753597252E-2</v>
      </c>
      <c r="P37">
        <v>19.200000000000003</v>
      </c>
      <c r="Q37">
        <v>23.599999999999994</v>
      </c>
      <c r="R37">
        <v>-6.0033646521526762E-3</v>
      </c>
    </row>
    <row r="38" spans="1:18">
      <c r="A38" s="56">
        <v>43101</v>
      </c>
      <c r="B38">
        <v>2.7000000000000028</v>
      </c>
      <c r="C38">
        <v>3</v>
      </c>
      <c r="D38">
        <f t="shared" si="1"/>
        <v>-0.29999999999999716</v>
      </c>
      <c r="E38">
        <v>0.12752985239622183</v>
      </c>
      <c r="F38">
        <v>0.10000000000000053</v>
      </c>
      <c r="G38" s="21">
        <v>2.2000000000000002</v>
      </c>
      <c r="H38">
        <v>1.9399999999999977</v>
      </c>
      <c r="I38">
        <v>6.0000000000002274E-2</v>
      </c>
      <c r="J38">
        <v>0</v>
      </c>
      <c r="K38">
        <v>0.10475788181077017</v>
      </c>
      <c r="L38" s="2">
        <v>1.038679631097672E-2</v>
      </c>
      <c r="M38">
        <v>0.12048368649105257</v>
      </c>
      <c r="N38">
        <v>-24.026599051622114</v>
      </c>
      <c r="O38">
        <v>2.5590669905604102E-3</v>
      </c>
      <c r="P38">
        <v>32.199999999999989</v>
      </c>
      <c r="Q38">
        <v>22.799999999999997</v>
      </c>
      <c r="R38">
        <v>-3.6081419585663355E-2</v>
      </c>
    </row>
    <row r="39" spans="1:18">
      <c r="A39" s="56">
        <v>43132</v>
      </c>
      <c r="B39">
        <v>3.2000000000000028</v>
      </c>
      <c r="C39">
        <v>2.0999999999999943</v>
      </c>
      <c r="D39">
        <f t="shared" si="1"/>
        <v>-0.90000000000000568</v>
      </c>
      <c r="E39">
        <v>0.10992031510540934</v>
      </c>
      <c r="F39">
        <v>-0.20000000000000018</v>
      </c>
      <c r="G39" s="21">
        <v>2.2000000000000002</v>
      </c>
      <c r="H39">
        <v>1.8799999999999955</v>
      </c>
      <c r="I39">
        <v>0.78000000000000114</v>
      </c>
      <c r="J39">
        <v>-0.25</v>
      </c>
      <c r="K39">
        <v>9.4194501879073744E-2</v>
      </c>
      <c r="L39" s="2">
        <v>-2.5884647267815364E-4</v>
      </c>
      <c r="M39">
        <v>0.13772207466251096</v>
      </c>
      <c r="N39">
        <v>3.4393672794726484</v>
      </c>
      <c r="O39">
        <v>3.4059832080725272E-2</v>
      </c>
      <c r="P39">
        <v>21.200000000000003</v>
      </c>
      <c r="Q39">
        <v>23.599999999999994</v>
      </c>
      <c r="R39">
        <v>5.4473598990467664E-3</v>
      </c>
    </row>
    <row r="40" spans="1:18">
      <c r="A40" s="56">
        <v>43160</v>
      </c>
      <c r="B40">
        <v>2.7000000000000028</v>
      </c>
      <c r="C40">
        <v>3</v>
      </c>
      <c r="D40">
        <f t="shared" si="1"/>
        <v>0.90000000000000568</v>
      </c>
      <c r="E40">
        <v>0.11257749531820482</v>
      </c>
      <c r="F40">
        <v>0</v>
      </c>
      <c r="G40" s="21">
        <v>2.4</v>
      </c>
      <c r="H40">
        <v>1.8400000000000034</v>
      </c>
      <c r="I40">
        <v>7.9999999999998295E-2</v>
      </c>
      <c r="J40">
        <v>-0.25</v>
      </c>
      <c r="K40">
        <v>9.3172148871166982E-2</v>
      </c>
      <c r="L40" s="2">
        <v>1.0092915306397776E-2</v>
      </c>
      <c r="M40">
        <v>0.14630421190187959</v>
      </c>
      <c r="N40">
        <v>4.4450087589315501</v>
      </c>
      <c r="O40">
        <v>1.3111209930709578E-2</v>
      </c>
      <c r="P40">
        <v>16.900000000000006</v>
      </c>
      <c r="Q40">
        <v>14</v>
      </c>
      <c r="R40">
        <v>4.5121495594795391E-3</v>
      </c>
    </row>
    <row r="41" spans="1:18">
      <c r="A41" s="56">
        <v>43191</v>
      </c>
      <c r="B41">
        <v>3.2000000000000028</v>
      </c>
      <c r="C41">
        <v>3.2000000000000028</v>
      </c>
      <c r="D41">
        <f t="shared" si="1"/>
        <v>0.20000000000000284</v>
      </c>
      <c r="E41">
        <v>0.13256737672774044</v>
      </c>
      <c r="F41">
        <v>-9.9999999999999645E-2</v>
      </c>
      <c r="G41" s="21">
        <v>2.4</v>
      </c>
      <c r="H41">
        <v>1.9399999999999977</v>
      </c>
      <c r="I41">
        <v>1.8199999999999932</v>
      </c>
      <c r="J41">
        <v>0</v>
      </c>
      <c r="K41">
        <v>9.909481161058431E-2</v>
      </c>
      <c r="L41" s="2">
        <v>2.564461439287169E-2</v>
      </c>
      <c r="M41">
        <v>0.15821814335058182</v>
      </c>
      <c r="N41">
        <v>2.0141269042442076</v>
      </c>
      <c r="O41">
        <v>9.5455175511816037E-3</v>
      </c>
      <c r="P41">
        <v>38.300000000000011</v>
      </c>
      <c r="Q41">
        <v>14.900000000000006</v>
      </c>
      <c r="R41">
        <v>6.2927925151023523E-2</v>
      </c>
    </row>
    <row r="42" spans="1:18">
      <c r="A42" s="56">
        <v>43221</v>
      </c>
      <c r="B42">
        <v>3.5</v>
      </c>
      <c r="C42">
        <v>2.9000000000000057</v>
      </c>
      <c r="D42">
        <f t="shared" si="1"/>
        <v>-0.29999999999999716</v>
      </c>
      <c r="E42">
        <v>0.12666447232541</v>
      </c>
      <c r="F42">
        <v>-0.20000000000000018</v>
      </c>
      <c r="G42" s="21">
        <v>2.4</v>
      </c>
      <c r="H42">
        <v>2.0400000000000063</v>
      </c>
      <c r="I42">
        <v>3.2999999999999972</v>
      </c>
      <c r="J42">
        <v>0</v>
      </c>
      <c r="K42">
        <v>0.11531322831648327</v>
      </c>
      <c r="L42" s="2">
        <v>4.226050513009727E-2</v>
      </c>
      <c r="M42">
        <v>0.16409027148296063</v>
      </c>
      <c r="N42">
        <v>1.2162845054237437</v>
      </c>
      <c r="O42">
        <v>4.1160167448826002E-3</v>
      </c>
      <c r="P42">
        <v>29.400000000000006</v>
      </c>
      <c r="Q42">
        <v>8.7000000000000028</v>
      </c>
      <c r="R42">
        <v>2.3757217076534332E-2</v>
      </c>
    </row>
    <row r="43" spans="1:18">
      <c r="A43" s="56">
        <v>43252</v>
      </c>
      <c r="B43">
        <v>2.0999999999999943</v>
      </c>
      <c r="C43">
        <v>3.4000000000000057</v>
      </c>
      <c r="D43">
        <f t="shared" si="1"/>
        <v>0.5</v>
      </c>
      <c r="E43">
        <v>0.13633237411450572</v>
      </c>
      <c r="F43">
        <v>0</v>
      </c>
      <c r="G43" s="21">
        <v>2.2999999999999998</v>
      </c>
      <c r="H43">
        <v>2.269999999999996</v>
      </c>
      <c r="I43">
        <v>1.4699999999999989</v>
      </c>
      <c r="J43">
        <v>0</v>
      </c>
      <c r="K43">
        <v>0.10286784382319425</v>
      </c>
      <c r="L43" s="2">
        <v>4.7412635165416939E-2</v>
      </c>
      <c r="M43">
        <v>0.17820469267419647</v>
      </c>
      <c r="N43">
        <v>3.5143752129223316</v>
      </c>
      <c r="O43">
        <v>-7.0789494804373021E-3</v>
      </c>
      <c r="P43">
        <v>23.099999999999994</v>
      </c>
      <c r="Q43">
        <v>1.2000000000000028</v>
      </c>
      <c r="R43">
        <v>8.6017701880454212E-3</v>
      </c>
    </row>
    <row r="44" spans="1:18">
      <c r="A44" s="56">
        <v>43282</v>
      </c>
      <c r="B44">
        <v>3.5</v>
      </c>
      <c r="C44">
        <v>2.7999999999999972</v>
      </c>
      <c r="D44">
        <f t="shared" si="1"/>
        <v>-0.60000000000000853</v>
      </c>
      <c r="E44">
        <v>0.12906701713935709</v>
      </c>
      <c r="F44">
        <v>0</v>
      </c>
      <c r="G44" s="21">
        <v>2.5</v>
      </c>
      <c r="H44">
        <v>2.4200000000000017</v>
      </c>
      <c r="I44">
        <v>0.40000000000000568</v>
      </c>
      <c r="J44">
        <v>0</v>
      </c>
      <c r="K44">
        <v>0.11366131750735065</v>
      </c>
      <c r="L44" s="2">
        <v>4.1000185037434855E-2</v>
      </c>
      <c r="M44">
        <v>0.18538976095156556</v>
      </c>
      <c r="N44">
        <v>-7.7403852187050717</v>
      </c>
      <c r="O44">
        <v>2.3867158574830682E-4</v>
      </c>
      <c r="P44">
        <v>39.5</v>
      </c>
      <c r="Q44">
        <v>1.9000000000000057</v>
      </c>
      <c r="R44">
        <v>1.4875831870950762E-3</v>
      </c>
    </row>
    <row r="45" spans="1:18">
      <c r="A45" s="56">
        <v>43313</v>
      </c>
      <c r="B45">
        <v>2.7999999999999972</v>
      </c>
      <c r="C45">
        <v>3</v>
      </c>
      <c r="D45">
        <f t="shared" si="1"/>
        <v>0.20000000000000284</v>
      </c>
      <c r="E45">
        <v>0.11521317374620144</v>
      </c>
      <c r="F45">
        <v>-0.10000000000000053</v>
      </c>
      <c r="G45" s="21">
        <v>3.1</v>
      </c>
      <c r="H45">
        <v>2.6299999999999955</v>
      </c>
      <c r="I45">
        <v>0.68000000000000682</v>
      </c>
      <c r="J45">
        <v>0</v>
      </c>
      <c r="K45">
        <v>0.11801497285422591</v>
      </c>
      <c r="L45" s="2">
        <v>3.1980284778052814E-2</v>
      </c>
      <c r="M45">
        <v>0.1936435591565735</v>
      </c>
      <c r="N45">
        <v>-2.4850736013944754</v>
      </c>
      <c r="O45">
        <v>2.8050447948739787E-3</v>
      </c>
      <c r="P45">
        <v>29.099999999999994</v>
      </c>
      <c r="Q45">
        <v>-3.5</v>
      </c>
      <c r="R45">
        <v>4.9870765580148024E-2</v>
      </c>
    </row>
    <row r="46" spans="1:18">
      <c r="A46" s="56">
        <v>43344</v>
      </c>
      <c r="B46">
        <v>2.2999999999999972</v>
      </c>
      <c r="C46">
        <v>2.2999999999999972</v>
      </c>
      <c r="D46">
        <f t="shared" si="1"/>
        <v>-0.70000000000000284</v>
      </c>
      <c r="E46">
        <v>0.10583197453884119</v>
      </c>
      <c r="F46">
        <v>-9.9999999999999645E-2</v>
      </c>
      <c r="G46" s="21">
        <v>3.4</v>
      </c>
      <c r="H46">
        <v>2.7900000000000063</v>
      </c>
      <c r="I46">
        <v>1.4599999999999937</v>
      </c>
      <c r="J46">
        <v>0.25</v>
      </c>
      <c r="K46">
        <v>0.12558632193972752</v>
      </c>
      <c r="L46" s="2">
        <v>6.5575177381381744E-2</v>
      </c>
      <c r="M46">
        <v>0.20131991077015199</v>
      </c>
      <c r="N46">
        <v>0.83157145745005323</v>
      </c>
      <c r="O46">
        <v>5.6235024052000426E-3</v>
      </c>
      <c r="P46">
        <v>25.799999999999997</v>
      </c>
      <c r="Q46">
        <v>-3.5999999999999943</v>
      </c>
      <c r="R46">
        <v>2.3773465671068195E-2</v>
      </c>
    </row>
    <row r="47" spans="1:18">
      <c r="A47" s="56">
        <v>43374</v>
      </c>
      <c r="B47">
        <v>5.2999999999999972</v>
      </c>
      <c r="C47">
        <v>2.2000000000000028</v>
      </c>
      <c r="D47">
        <f t="shared" si="1"/>
        <v>-9.9999999999994316E-2</v>
      </c>
      <c r="E47">
        <v>0.10119054281637041</v>
      </c>
      <c r="F47">
        <v>0.20000000000000018</v>
      </c>
      <c r="G47" s="21">
        <v>3.5</v>
      </c>
      <c r="H47">
        <v>3.0900000000000034</v>
      </c>
      <c r="I47">
        <v>1.6400000000000006</v>
      </c>
      <c r="J47">
        <v>0</v>
      </c>
      <c r="K47">
        <v>0.11830425829172575</v>
      </c>
      <c r="L47" s="2">
        <v>5.863129375232079E-2</v>
      </c>
      <c r="M47">
        <v>0.20979066817117542</v>
      </c>
      <c r="N47">
        <v>0.98080855769549657</v>
      </c>
      <c r="O47">
        <v>-3.157286228161027E-3</v>
      </c>
      <c r="P47">
        <v>31.199999999999989</v>
      </c>
      <c r="Q47">
        <v>-9.9999999999994316E-2</v>
      </c>
      <c r="R47">
        <v>-2.7137068460516112E-2</v>
      </c>
    </row>
    <row r="48" spans="1:18">
      <c r="A48" s="56">
        <v>43405</v>
      </c>
      <c r="B48">
        <v>4.4000000000000057</v>
      </c>
      <c r="C48">
        <v>3.2999999999999972</v>
      </c>
      <c r="D48">
        <f t="shared" si="1"/>
        <v>1.0999999999999943</v>
      </c>
      <c r="E48">
        <v>0.10665177095614964</v>
      </c>
      <c r="F48">
        <v>9.9999999999999645E-2</v>
      </c>
      <c r="G48" s="21">
        <v>3.8</v>
      </c>
      <c r="H48">
        <v>3.3700000000000045</v>
      </c>
      <c r="I48">
        <v>0.25</v>
      </c>
      <c r="J48">
        <v>0</v>
      </c>
      <c r="K48">
        <v>0.11475056945552398</v>
      </c>
      <c r="L48" s="2">
        <v>5.1856295229518068E-2</v>
      </c>
      <c r="M48">
        <v>0.21541711300277444</v>
      </c>
      <c r="N48">
        <v>0.12148003460102075</v>
      </c>
      <c r="O48">
        <v>8.7077110101319022E-4</v>
      </c>
      <c r="P48">
        <v>20.5</v>
      </c>
      <c r="Q48">
        <v>-3.2999999999999972</v>
      </c>
      <c r="R48">
        <v>7.5812009780520384E-3</v>
      </c>
    </row>
    <row r="49" spans="1:18">
      <c r="A49" s="56">
        <v>43435</v>
      </c>
      <c r="B49">
        <v>6.4000000000000057</v>
      </c>
      <c r="C49">
        <v>2.7000000000000028</v>
      </c>
      <c r="D49">
        <f t="shared" si="1"/>
        <v>-0.59999999999999432</v>
      </c>
      <c r="E49">
        <v>0.10057191920352326</v>
      </c>
      <c r="F49">
        <v>0.10000000000000053</v>
      </c>
      <c r="G49" s="21">
        <v>4.3</v>
      </c>
      <c r="H49">
        <v>3.6899999999999977</v>
      </c>
      <c r="I49">
        <v>-2.0400000000000063</v>
      </c>
      <c r="J49">
        <v>0.25</v>
      </c>
      <c r="K49">
        <v>0.11911659785523732</v>
      </c>
      <c r="L49" s="2">
        <v>4.5971839678893511E-2</v>
      </c>
      <c r="M49">
        <v>0.22229486413720645</v>
      </c>
      <c r="N49">
        <v>29.372985094075091</v>
      </c>
      <c r="O49">
        <v>5.5139360266469595E-3</v>
      </c>
      <c r="P49">
        <v>11</v>
      </c>
      <c r="Q49">
        <v>-7.2000000000000028</v>
      </c>
      <c r="R49">
        <v>1.4655440643316808E-2</v>
      </c>
    </row>
    <row r="50" spans="1:18">
      <c r="A50" s="56">
        <v>43466</v>
      </c>
      <c r="B50">
        <v>2.7000000000000028</v>
      </c>
      <c r="C50">
        <v>2.2000000000000028</v>
      </c>
      <c r="D50">
        <f t="shared" si="1"/>
        <v>-0.5</v>
      </c>
      <c r="E50">
        <v>6.1946317771874426E-2</v>
      </c>
      <c r="F50">
        <v>0</v>
      </c>
      <c r="G50" s="21">
        <v>5</v>
      </c>
      <c r="H50">
        <v>4.1299999999999955</v>
      </c>
      <c r="I50">
        <v>-1.4300000000000068</v>
      </c>
      <c r="J50">
        <v>0</v>
      </c>
      <c r="K50">
        <v>0.10996251939342661</v>
      </c>
      <c r="L50" s="2">
        <v>6.9251901428339036E-2</v>
      </c>
      <c r="M50">
        <v>0.22001547743044281</v>
      </c>
      <c r="N50">
        <v>-24.705570787681211</v>
      </c>
      <c r="O50">
        <v>1.3735455289141996E-2</v>
      </c>
      <c r="P50">
        <v>-8.2999999999999972</v>
      </c>
      <c r="Q50">
        <v>-2.0999999999999943</v>
      </c>
      <c r="R50">
        <v>-1.2294261048293009E-2</v>
      </c>
    </row>
    <row r="51" spans="1:18">
      <c r="A51" s="56">
        <v>43497</v>
      </c>
      <c r="B51">
        <v>4.2000000000000028</v>
      </c>
      <c r="C51">
        <v>2.2999999999999972</v>
      </c>
      <c r="D51">
        <f t="shared" si="1"/>
        <v>9.9999999999994316E-2</v>
      </c>
      <c r="E51">
        <v>8.1457942489012503E-2</v>
      </c>
      <c r="F51">
        <v>0</v>
      </c>
      <c r="G51" s="21">
        <v>5.2</v>
      </c>
      <c r="H51">
        <v>4.3900000000000006</v>
      </c>
      <c r="I51">
        <v>-0.57999999999999829</v>
      </c>
      <c r="J51">
        <v>0</v>
      </c>
      <c r="K51">
        <v>9.9164628494558427E-2</v>
      </c>
      <c r="L51" s="2">
        <v>8.7324886619613906E-2</v>
      </c>
      <c r="M51">
        <v>0.24108738845896038</v>
      </c>
      <c r="N51">
        <v>1.4445796989526656</v>
      </c>
      <c r="O51">
        <v>1.577687207401901E-2</v>
      </c>
      <c r="P51">
        <v>11</v>
      </c>
      <c r="Q51">
        <v>-5</v>
      </c>
      <c r="R51">
        <v>-1.061077774614283E-2</v>
      </c>
    </row>
    <row r="52" spans="1:18">
      <c r="A52" s="56">
        <v>43525</v>
      </c>
      <c r="B52">
        <v>2.7000000000000028</v>
      </c>
      <c r="C52">
        <v>2.4000000000000057</v>
      </c>
      <c r="D52">
        <f t="shared" si="1"/>
        <v>0.10000000000000853</v>
      </c>
      <c r="E52">
        <v>7.0587369388183996E-2</v>
      </c>
      <c r="F52">
        <v>-0.20000000000000018</v>
      </c>
      <c r="G52" s="21">
        <v>5.3</v>
      </c>
      <c r="H52">
        <v>4.5999999999999943</v>
      </c>
      <c r="I52">
        <v>-0.39000000000000057</v>
      </c>
      <c r="J52">
        <v>0</v>
      </c>
      <c r="K52">
        <v>9.9139656761714878E-2</v>
      </c>
      <c r="L52" s="2">
        <v>9.508709187847364E-2</v>
      </c>
      <c r="M52">
        <v>0.24236887371469296</v>
      </c>
      <c r="N52">
        <v>7.2314772050270761</v>
      </c>
      <c r="O52">
        <v>1.3906572733372258E-2</v>
      </c>
      <c r="P52">
        <v>1.0999999999999943</v>
      </c>
      <c r="Q52">
        <v>-3.5</v>
      </c>
      <c r="R52">
        <v>-1.097417570411352E-2</v>
      </c>
    </row>
    <row r="53" spans="1:18">
      <c r="A53" s="56">
        <v>43556</v>
      </c>
      <c r="B53">
        <v>5.2000000000000028</v>
      </c>
      <c r="C53">
        <v>2</v>
      </c>
      <c r="D53">
        <f t="shared" si="1"/>
        <v>-0.40000000000000568</v>
      </c>
      <c r="E53">
        <v>7.2971659453345383E-2</v>
      </c>
      <c r="F53">
        <v>0</v>
      </c>
      <c r="G53" s="21">
        <v>5.2</v>
      </c>
      <c r="H53">
        <v>4.6099999999999994</v>
      </c>
      <c r="I53">
        <v>0.48999999999999488</v>
      </c>
      <c r="J53">
        <v>0</v>
      </c>
      <c r="K53">
        <v>8.8852550848105283E-2</v>
      </c>
      <c r="L53" s="2">
        <v>8.2919810743801836E-2</v>
      </c>
      <c r="M53">
        <v>0.23639377080587543</v>
      </c>
      <c r="N53">
        <v>3.3821134936580393</v>
      </c>
      <c r="O53">
        <v>1.0702761754082246E-2</v>
      </c>
      <c r="P53">
        <v>1.9000000000000057</v>
      </c>
      <c r="Q53">
        <v>4.9000000000000057</v>
      </c>
      <c r="R53">
        <v>-7.5431332796682682E-3</v>
      </c>
    </row>
    <row r="54" spans="1:18">
      <c r="A54" s="56">
        <v>43586</v>
      </c>
      <c r="B54">
        <v>1</v>
      </c>
      <c r="C54">
        <v>1.9000000000000057</v>
      </c>
      <c r="D54">
        <f t="shared" si="1"/>
        <v>-9.9999999999994316E-2</v>
      </c>
      <c r="E54">
        <v>6.843214225302563E-2</v>
      </c>
      <c r="F54">
        <v>-0.10000000000000053</v>
      </c>
      <c r="G54" s="21">
        <v>5.0999999999999996</v>
      </c>
      <c r="H54">
        <v>4.6800000000000068</v>
      </c>
      <c r="I54">
        <v>1.5499999999999972</v>
      </c>
      <c r="J54">
        <v>0</v>
      </c>
      <c r="K54">
        <v>7.6873333195586424E-2</v>
      </c>
      <c r="L54" s="2">
        <v>6.1993162878641206E-2</v>
      </c>
      <c r="M54">
        <v>0.23955172400171931</v>
      </c>
      <c r="N54">
        <v>-0.55389944346499931</v>
      </c>
      <c r="O54">
        <v>6.7117019802847011E-3</v>
      </c>
      <c r="P54">
        <v>-11.099999999999994</v>
      </c>
      <c r="Q54">
        <v>-7</v>
      </c>
      <c r="R54">
        <v>3.3317567195734199E-3</v>
      </c>
    </row>
    <row r="55" spans="1:18">
      <c r="A55" s="56">
        <v>43617</v>
      </c>
      <c r="B55">
        <v>3.2000000000000028</v>
      </c>
      <c r="C55">
        <v>1.7999999999999972</v>
      </c>
      <c r="D55">
        <f t="shared" si="1"/>
        <v>-0.10000000000000853</v>
      </c>
      <c r="E55">
        <v>5.5443245540545361E-2</v>
      </c>
      <c r="F55">
        <v>-0.19999999999999929</v>
      </c>
      <c r="G55" s="21">
        <v>4.7</v>
      </c>
      <c r="H55">
        <v>4.5600000000000023</v>
      </c>
      <c r="I55">
        <v>-1.9999999999996021E-2</v>
      </c>
      <c r="J55">
        <v>-0.25</v>
      </c>
      <c r="K55">
        <v>8.0423366213522307E-2</v>
      </c>
      <c r="L55" s="2">
        <v>6.0426310356245461E-2</v>
      </c>
      <c r="M55">
        <v>0.23564347750544923</v>
      </c>
      <c r="N55">
        <v>2.9252891208104188</v>
      </c>
      <c r="O55">
        <v>8.4030018332992285E-3</v>
      </c>
      <c r="P55">
        <v>-10.900000000000006</v>
      </c>
      <c r="Q55">
        <v>-5.2000000000000028</v>
      </c>
      <c r="R55">
        <v>-1.0073220455923071E-2</v>
      </c>
    </row>
    <row r="56" spans="1:18">
      <c r="A56" s="56">
        <v>43647</v>
      </c>
      <c r="B56">
        <v>4.2999999999999972</v>
      </c>
      <c r="C56">
        <v>1.5</v>
      </c>
      <c r="D56">
        <f t="shared" si="1"/>
        <v>-0.29999999999999716</v>
      </c>
      <c r="E56">
        <v>6.1019395447093672E-2</v>
      </c>
      <c r="F56">
        <v>9.9999999999999645E-2</v>
      </c>
      <c r="G56" s="21">
        <v>4.5999999999999996</v>
      </c>
      <c r="H56">
        <v>4.480000000000004</v>
      </c>
      <c r="I56">
        <v>-0.32999999999999829</v>
      </c>
      <c r="J56">
        <v>-0.25</v>
      </c>
      <c r="K56">
        <v>7.3031862821637761E-2</v>
      </c>
      <c r="L56" s="2">
        <v>5.3853228476393289E-2</v>
      </c>
      <c r="M56">
        <v>0.23098809175611779</v>
      </c>
      <c r="N56">
        <v>-5.9401208072656004</v>
      </c>
      <c r="O56">
        <v>4.5649429396076968E-2</v>
      </c>
      <c r="P56">
        <v>-2.9000000000000057</v>
      </c>
      <c r="Q56">
        <v>5</v>
      </c>
      <c r="R56">
        <v>-1.4857880931530509E-2</v>
      </c>
    </row>
    <row r="57" spans="1:18">
      <c r="A57" s="56">
        <v>43678</v>
      </c>
      <c r="B57">
        <v>3.9000000000000057</v>
      </c>
      <c r="C57">
        <v>1.0999999999999943</v>
      </c>
      <c r="D57">
        <f t="shared" si="1"/>
        <v>-0.40000000000000568</v>
      </c>
      <c r="E57">
        <v>6.650485325831923E-2</v>
      </c>
      <c r="F57">
        <v>-0.20000000000000018</v>
      </c>
      <c r="G57" s="21">
        <v>4.3</v>
      </c>
      <c r="H57">
        <v>4.2900000000000063</v>
      </c>
      <c r="I57">
        <v>-0.68999999999999773</v>
      </c>
      <c r="J57">
        <v>0</v>
      </c>
      <c r="K57">
        <v>7.8362991644916002E-2</v>
      </c>
      <c r="L57" s="2">
        <v>5.1269051125548915E-2</v>
      </c>
      <c r="M57">
        <v>0.22230994112452751</v>
      </c>
      <c r="N57">
        <v>-3.095876968561484</v>
      </c>
      <c r="O57">
        <v>2.7625817061078806E-3</v>
      </c>
      <c r="P57">
        <v>-8.5999999999999943</v>
      </c>
      <c r="Q57">
        <v>1.2000000000000028</v>
      </c>
      <c r="R57">
        <v>3.6721737555359013E-2</v>
      </c>
    </row>
    <row r="58" spans="1:18">
      <c r="A58" s="56">
        <v>43709</v>
      </c>
      <c r="B58">
        <v>5</v>
      </c>
      <c r="C58">
        <v>0.90000000000000568</v>
      </c>
      <c r="D58">
        <f t="shared" si="1"/>
        <v>-0.19999999999998863</v>
      </c>
      <c r="E58">
        <v>7.099020487512564E-2</v>
      </c>
      <c r="F58">
        <v>0.20000000000000018</v>
      </c>
      <c r="G58" s="21">
        <v>4</v>
      </c>
      <c r="H58">
        <v>3.9599999999999937</v>
      </c>
      <c r="I58">
        <v>-4.0000000000006253E-2</v>
      </c>
      <c r="J58">
        <v>-0.25</v>
      </c>
      <c r="K58">
        <v>7.2490679341584041E-2</v>
      </c>
      <c r="L58" s="2">
        <v>3.8256103026265365E-2</v>
      </c>
      <c r="M58">
        <v>0.21612504440421731</v>
      </c>
      <c r="N58">
        <v>1.4514074972307185</v>
      </c>
      <c r="O58">
        <v>1.7706968621597596E-2</v>
      </c>
      <c r="P58">
        <v>-8.2999999999999972</v>
      </c>
      <c r="Q58">
        <v>5.7000000000000028</v>
      </c>
      <c r="R58">
        <v>-9.6331035410388566E-3</v>
      </c>
    </row>
    <row r="59" spans="1:18">
      <c r="A59" s="56">
        <v>43739</v>
      </c>
      <c r="B59">
        <v>4.4000000000000057</v>
      </c>
      <c r="C59">
        <v>1.9000000000000057</v>
      </c>
      <c r="D59">
        <f t="shared" si="1"/>
        <v>1</v>
      </c>
      <c r="E59">
        <v>7.06800785424746E-2</v>
      </c>
      <c r="F59">
        <v>9.9999999999999645E-2</v>
      </c>
      <c r="G59" s="21">
        <v>3.8</v>
      </c>
      <c r="H59">
        <v>3.6800000000000068</v>
      </c>
      <c r="I59">
        <v>1.0000000000005116E-2</v>
      </c>
      <c r="J59">
        <v>-0.5</v>
      </c>
      <c r="K59">
        <v>9.068164331812989E-2</v>
      </c>
      <c r="L59" s="2">
        <v>3.9809294603041279E-2</v>
      </c>
      <c r="M59">
        <v>0.21013002686758009</v>
      </c>
      <c r="N59">
        <v>2.0808421472170835</v>
      </c>
      <c r="O59">
        <v>3.4716819490867579E-3</v>
      </c>
      <c r="P59">
        <v>-10.5</v>
      </c>
      <c r="Q59">
        <v>10.900000000000006</v>
      </c>
      <c r="R59">
        <v>-9.0265364040833518E-3</v>
      </c>
    </row>
    <row r="60" spans="1:18">
      <c r="A60" s="56">
        <v>43770</v>
      </c>
      <c r="B60">
        <v>1.5</v>
      </c>
      <c r="C60">
        <v>2.5999999999999943</v>
      </c>
      <c r="D60">
        <f t="shared" si="1"/>
        <v>0.69999999999998863</v>
      </c>
      <c r="E60">
        <v>6.1853097199907614E-2</v>
      </c>
      <c r="F60">
        <v>0</v>
      </c>
      <c r="G60" s="21">
        <v>3.5</v>
      </c>
      <c r="H60">
        <v>3.480000000000004</v>
      </c>
      <c r="I60">
        <v>-0.93999999999999773</v>
      </c>
      <c r="J60">
        <v>0</v>
      </c>
      <c r="K60">
        <v>8.73913652198961E-2</v>
      </c>
      <c r="L60" s="2">
        <v>4.7276934709451046E-2</v>
      </c>
      <c r="M60">
        <v>0.20090496987406969</v>
      </c>
      <c r="N60">
        <v>-0.84576436530893773</v>
      </c>
      <c r="O60">
        <v>1.8648846172284905E-2</v>
      </c>
      <c r="P60">
        <v>-11.200000000000003</v>
      </c>
      <c r="Q60">
        <v>9.0999999999999943</v>
      </c>
      <c r="R60">
        <v>-7.9205638531680833E-3</v>
      </c>
    </row>
    <row r="61" spans="1:18">
      <c r="A61" s="56">
        <v>43800</v>
      </c>
      <c r="B61">
        <v>2.5999999999999943</v>
      </c>
      <c r="C61">
        <v>1.7999999999999972</v>
      </c>
      <c r="D61">
        <f t="shared" si="1"/>
        <v>-0.79999999999999716</v>
      </c>
      <c r="E61">
        <v>6.783690673865217E-2</v>
      </c>
      <c r="F61">
        <v>0</v>
      </c>
      <c r="G61" s="21">
        <v>3</v>
      </c>
      <c r="H61">
        <v>4.1599999999999966</v>
      </c>
      <c r="I61">
        <v>-1.1099999999999994</v>
      </c>
      <c r="J61">
        <v>-0.25</v>
      </c>
      <c r="K61">
        <v>9.5876956367884514E-2</v>
      </c>
      <c r="L61" s="2">
        <v>4.5147716041811004E-2</v>
      </c>
      <c r="M61">
        <v>0.18965779008723804</v>
      </c>
      <c r="N61">
        <v>33.988395940045592</v>
      </c>
      <c r="O61">
        <v>2.0536580601842047E-3</v>
      </c>
      <c r="P61">
        <v>-4</v>
      </c>
      <c r="Q61">
        <v>8.5</v>
      </c>
      <c r="R61">
        <v>-1.4741331287725146E-2</v>
      </c>
    </row>
    <row r="62" spans="1:18">
      <c r="A62" s="56">
        <v>43831</v>
      </c>
      <c r="B62">
        <v>1.5999999999999943</v>
      </c>
      <c r="C62">
        <v>2.7999999999999972</v>
      </c>
      <c r="D62">
        <f t="shared" si="1"/>
        <v>1</v>
      </c>
      <c r="E62">
        <v>7.0431431955408463E-2</v>
      </c>
      <c r="F62">
        <v>0</v>
      </c>
      <c r="G62" s="21">
        <v>2.4</v>
      </c>
      <c r="H62">
        <v>2.6599999999999966</v>
      </c>
      <c r="I62">
        <v>0.56000000000000227</v>
      </c>
      <c r="J62">
        <v>0</v>
      </c>
      <c r="K62">
        <v>9.660597790214065E-2</v>
      </c>
      <c r="L62" s="2">
        <v>2.9620524599148101E-2</v>
      </c>
      <c r="M62">
        <v>0.18862297974959419</v>
      </c>
      <c r="N62">
        <v>-25.307314397474926</v>
      </c>
      <c r="O62">
        <v>2.2492985773689966E-2</v>
      </c>
      <c r="P62">
        <v>-0.79999999999999716</v>
      </c>
      <c r="Q62">
        <v>4.4000000000000057</v>
      </c>
      <c r="R62">
        <v>-1.7963429265641651E-2</v>
      </c>
    </row>
    <row r="63" spans="1:18">
      <c r="A63" s="56">
        <v>43862</v>
      </c>
      <c r="B63">
        <v>5.0999999999999943</v>
      </c>
      <c r="C63">
        <v>4.9000000000000057</v>
      </c>
      <c r="D63">
        <f t="shared" si="1"/>
        <v>2.1000000000000085</v>
      </c>
      <c r="E63">
        <v>6.5567983534456475E-2</v>
      </c>
      <c r="F63">
        <v>0</v>
      </c>
      <c r="G63" s="21">
        <v>2.2999999999999998</v>
      </c>
      <c r="H63">
        <v>2.4000000000000057</v>
      </c>
      <c r="I63">
        <v>9.9999999999994316E-2</v>
      </c>
      <c r="J63">
        <v>-0.25</v>
      </c>
      <c r="K63">
        <v>0.10716692354208002</v>
      </c>
      <c r="L63" s="2">
        <v>2.2756632262953103E-2</v>
      </c>
      <c r="M63">
        <v>0.16340139001941933</v>
      </c>
      <c r="N63">
        <v>0.91489030035639018</v>
      </c>
      <c r="O63">
        <v>1.4233694384815365E-2</v>
      </c>
      <c r="P63">
        <v>-17.400000000000006</v>
      </c>
      <c r="Q63">
        <v>1.5</v>
      </c>
      <c r="R63">
        <v>3.4466727543388309E-2</v>
      </c>
    </row>
    <row r="64" spans="1:18">
      <c r="A64" s="56">
        <v>43891</v>
      </c>
      <c r="B64">
        <v>2.7999999999999972</v>
      </c>
      <c r="C64">
        <v>6.9000000000000057</v>
      </c>
      <c r="D64">
        <f t="shared" si="1"/>
        <v>2</v>
      </c>
      <c r="E64">
        <v>-1.0533675423264777E-2</v>
      </c>
      <c r="F64">
        <v>0</v>
      </c>
      <c r="G64" s="21">
        <v>2.5</v>
      </c>
      <c r="H64">
        <v>2.6099999999999994</v>
      </c>
      <c r="I64">
        <v>0.31000000000000227</v>
      </c>
      <c r="J64">
        <v>0</v>
      </c>
      <c r="K64">
        <v>0.11034969139251216</v>
      </c>
      <c r="L64" s="2">
        <v>2.8183211536469077E-2</v>
      </c>
      <c r="M64">
        <v>0.1659107516262357</v>
      </c>
      <c r="N64">
        <v>7.2208283723233677</v>
      </c>
      <c r="O64">
        <v>1.425837288553744E-2</v>
      </c>
      <c r="P64">
        <v>-19.099999999999994</v>
      </c>
      <c r="Q64">
        <v>-2</v>
      </c>
      <c r="R64">
        <v>0.14169993797752856</v>
      </c>
    </row>
    <row r="65" spans="1:18">
      <c r="A65" s="56">
        <v>43922</v>
      </c>
      <c r="B65">
        <v>-4.4000000000000057</v>
      </c>
      <c r="C65">
        <v>-22</v>
      </c>
      <c r="D65">
        <f t="shared" si="1"/>
        <v>-28.900000000000006</v>
      </c>
      <c r="E65">
        <v>-0.34815439750508115</v>
      </c>
      <c r="F65">
        <v>1.2000000000000002</v>
      </c>
      <c r="G65" s="21">
        <v>3.1</v>
      </c>
      <c r="H65">
        <v>2.8599999999999994</v>
      </c>
      <c r="I65">
        <v>-2.7099999999999937</v>
      </c>
      <c r="J65">
        <v>-0.5</v>
      </c>
      <c r="K65">
        <v>0.13405943917035357</v>
      </c>
      <c r="L65" s="2">
        <v>8.0305281271577655E-2</v>
      </c>
      <c r="M65">
        <v>0.1687687567564442</v>
      </c>
      <c r="N65">
        <v>-4.0185898623446121</v>
      </c>
      <c r="O65">
        <v>-1.2185141073594252E-2</v>
      </c>
      <c r="P65">
        <v>-31.900000000000006</v>
      </c>
      <c r="Q65">
        <v>-20.299999999999997</v>
      </c>
      <c r="R65">
        <v>1.4063678800984469E-2</v>
      </c>
    </row>
    <row r="66" spans="1:18">
      <c r="A66" s="56">
        <v>43952</v>
      </c>
      <c r="B66">
        <v>-7.7000000000000028</v>
      </c>
      <c r="C66">
        <v>-17.5</v>
      </c>
      <c r="D66">
        <f t="shared" si="1"/>
        <v>4.5</v>
      </c>
      <c r="E66">
        <v>-0.35657198998300721</v>
      </c>
      <c r="F66">
        <v>0.29999999999999982</v>
      </c>
      <c r="G66" s="21">
        <v>3</v>
      </c>
      <c r="H66">
        <v>2.8499999999999943</v>
      </c>
      <c r="I66">
        <v>-0.28000000000000114</v>
      </c>
      <c r="J66">
        <v>0</v>
      </c>
      <c r="K66">
        <v>0.14027833001303081</v>
      </c>
      <c r="L66" s="2">
        <v>7.1446967084714652E-2</v>
      </c>
      <c r="M66">
        <v>0.14091337616205446</v>
      </c>
      <c r="N66">
        <v>2.6444112193876066</v>
      </c>
      <c r="O66">
        <v>4.4958618780839288E-3</v>
      </c>
      <c r="P66">
        <v>-35.400000000000006</v>
      </c>
      <c r="Q66">
        <v>-13.299999999999997</v>
      </c>
      <c r="R66">
        <v>-3.0739620666102141E-2</v>
      </c>
    </row>
    <row r="67" spans="1:18">
      <c r="A67" s="56">
        <v>43983</v>
      </c>
      <c r="B67">
        <v>-6.5999999999999943</v>
      </c>
      <c r="C67">
        <v>-6.0999999999999943</v>
      </c>
      <c r="D67">
        <f t="shared" ref="D67:D98" si="2">C67-C66</f>
        <v>11.400000000000006</v>
      </c>
      <c r="E67">
        <v>-0.27291350948714976</v>
      </c>
      <c r="F67">
        <v>0.10000000000000053</v>
      </c>
      <c r="G67" s="21">
        <v>3.2</v>
      </c>
      <c r="H67">
        <v>2.8900000000000006</v>
      </c>
      <c r="I67">
        <v>1.5999999999999943</v>
      </c>
      <c r="J67">
        <v>-1</v>
      </c>
      <c r="K67">
        <v>0.13544940087400725</v>
      </c>
      <c r="L67" s="2">
        <v>6.3177100176529999E-2</v>
      </c>
      <c r="M67">
        <v>0.12647025154191294</v>
      </c>
      <c r="N67">
        <v>2.4872274974935493</v>
      </c>
      <c r="O67">
        <v>2.155199072788605E-4</v>
      </c>
      <c r="P67">
        <v>-24.400000000000006</v>
      </c>
      <c r="Q67">
        <v>-4.2000000000000028</v>
      </c>
      <c r="R67">
        <v>-4.6637232756493674E-2</v>
      </c>
    </row>
    <row r="68" spans="1:18">
      <c r="A68" s="56">
        <v>44013</v>
      </c>
      <c r="B68">
        <v>-5.5999999999999943</v>
      </c>
      <c r="C68">
        <v>-0.5</v>
      </c>
      <c r="D68">
        <f t="shared" si="2"/>
        <v>5.5999999999999943</v>
      </c>
      <c r="E68">
        <v>-0.176911723693434</v>
      </c>
      <c r="F68">
        <v>9.9999999999999645E-2</v>
      </c>
      <c r="G68" s="21">
        <v>3.4</v>
      </c>
      <c r="H68">
        <v>2.9500000000000028</v>
      </c>
      <c r="I68">
        <v>1.6700000000000017</v>
      </c>
      <c r="J68">
        <v>-0.25</v>
      </c>
      <c r="K68">
        <v>0.14875061835547054</v>
      </c>
      <c r="L68" s="2">
        <v>7.0904466953789713E-2</v>
      </c>
      <c r="M68">
        <v>0.12047171846859595</v>
      </c>
      <c r="N68">
        <v>-4.1304061251105679</v>
      </c>
      <c r="O68">
        <v>4.8246534575095978E-3</v>
      </c>
      <c r="P68">
        <v>-26.200000000000003</v>
      </c>
      <c r="Q68">
        <v>-11.5</v>
      </c>
      <c r="R68">
        <v>2.9859818743377176E-2</v>
      </c>
    </row>
    <row r="69" spans="1:18">
      <c r="A69" s="56">
        <v>44044</v>
      </c>
      <c r="B69">
        <v>-3.9000000000000057</v>
      </c>
      <c r="C69">
        <v>-0.70000000000000284</v>
      </c>
      <c r="D69">
        <f t="shared" si="2"/>
        <v>-0.20000000000000284</v>
      </c>
      <c r="E69">
        <v>-0.10196003046514734</v>
      </c>
      <c r="F69">
        <v>0.10000000000000053</v>
      </c>
      <c r="G69" s="21">
        <v>3.6</v>
      </c>
      <c r="H69">
        <v>3.1099999999999994</v>
      </c>
      <c r="I69">
        <v>0.65999999999999659</v>
      </c>
      <c r="J69">
        <v>0</v>
      </c>
      <c r="K69">
        <v>0.15488714830739037</v>
      </c>
      <c r="L69" s="2">
        <v>8.6950504912503446E-2</v>
      </c>
      <c r="M69">
        <v>0.12546211000009189</v>
      </c>
      <c r="N69">
        <v>-4.9407279538564666</v>
      </c>
      <c r="O69">
        <v>3.9433865333082352E-2</v>
      </c>
      <c r="P69">
        <v>-32.099999999999994</v>
      </c>
      <c r="Q69">
        <v>-9</v>
      </c>
      <c r="R69">
        <v>3.451990592783627E-2</v>
      </c>
    </row>
    <row r="70" spans="1:18">
      <c r="A70" s="56">
        <v>44075</v>
      </c>
      <c r="B70">
        <v>-3.5</v>
      </c>
      <c r="C70">
        <v>-1.2000000000000028</v>
      </c>
      <c r="D70">
        <f t="shared" si="2"/>
        <v>-0.5</v>
      </c>
      <c r="E70">
        <v>-5.783031903505087E-2</v>
      </c>
      <c r="F70">
        <v>0</v>
      </c>
      <c r="G70" s="21">
        <v>3.7</v>
      </c>
      <c r="H70">
        <v>3.269999999999996</v>
      </c>
      <c r="I70">
        <v>0.73000000000000398</v>
      </c>
      <c r="J70">
        <v>0</v>
      </c>
      <c r="K70">
        <v>0.16195828387797384</v>
      </c>
      <c r="L70" s="2">
        <v>8.6825649168762453E-2</v>
      </c>
      <c r="M70">
        <v>0.12678373682665378</v>
      </c>
      <c r="N70">
        <v>3.4517461067411688</v>
      </c>
      <c r="O70">
        <v>4.5001867419394159E-3</v>
      </c>
      <c r="P70">
        <v>-12.599999999999994</v>
      </c>
      <c r="Q70">
        <v>-1.9000000000000057</v>
      </c>
      <c r="R70">
        <v>2.5814678023793114E-2</v>
      </c>
    </row>
    <row r="71" spans="1:18">
      <c r="A71" s="56">
        <v>44105</v>
      </c>
      <c r="B71">
        <v>-5.2999999999999972</v>
      </c>
      <c r="C71">
        <v>-0.40000000000000568</v>
      </c>
      <c r="D71">
        <f t="shared" si="2"/>
        <v>0.79999999999999716</v>
      </c>
      <c r="E71">
        <v>-7.3984240931060152E-2</v>
      </c>
      <c r="F71">
        <v>-0.10000000000000053</v>
      </c>
      <c r="G71" s="21">
        <v>4</v>
      </c>
      <c r="H71">
        <v>3.5799999999999983</v>
      </c>
      <c r="I71">
        <v>1.230000000000004</v>
      </c>
      <c r="J71">
        <v>0</v>
      </c>
      <c r="K71">
        <v>0.16073042659481529</v>
      </c>
      <c r="L71" s="2">
        <v>0.10506892705990345</v>
      </c>
      <c r="M71">
        <v>0.13047516312766883</v>
      </c>
      <c r="N71">
        <v>0.13743053525811888</v>
      </c>
      <c r="O71">
        <v>-1.8671882055825151E-2</v>
      </c>
      <c r="P71">
        <v>-22.700000000000003</v>
      </c>
      <c r="Q71">
        <v>-8.0999999999999943</v>
      </c>
      <c r="R71">
        <v>2.5238214252048863E-2</v>
      </c>
    </row>
    <row r="72" spans="1:18">
      <c r="A72" s="56">
        <v>44136</v>
      </c>
      <c r="B72">
        <v>-1</v>
      </c>
      <c r="C72">
        <v>-2.4000000000000057</v>
      </c>
      <c r="D72">
        <f t="shared" si="2"/>
        <v>-2</v>
      </c>
      <c r="E72">
        <v>-8.5964962123627364E-2</v>
      </c>
      <c r="F72">
        <v>-0.20000000000000018</v>
      </c>
      <c r="G72" s="21">
        <v>4.4000000000000004</v>
      </c>
      <c r="H72">
        <v>3.8700000000000045</v>
      </c>
      <c r="I72">
        <v>1.1299999999999955</v>
      </c>
      <c r="J72">
        <v>0</v>
      </c>
      <c r="K72">
        <v>0.16194735461079679</v>
      </c>
      <c r="L72" s="2">
        <v>0.10637356119458841</v>
      </c>
      <c r="M72">
        <v>0.14204569167940306</v>
      </c>
      <c r="N72">
        <v>-1.2345572110973393</v>
      </c>
      <c r="O72">
        <v>-9.9633798330422962E-4</v>
      </c>
      <c r="P72">
        <v>-15.700000000000003</v>
      </c>
      <c r="Q72">
        <v>-1.9000000000000057</v>
      </c>
      <c r="R72">
        <v>-1.0667587466952178E-2</v>
      </c>
    </row>
    <row r="73" spans="1:18">
      <c r="A73" s="56">
        <v>44166</v>
      </c>
      <c r="B73">
        <v>3.7000000000000028</v>
      </c>
      <c r="C73">
        <v>-2.2000000000000028</v>
      </c>
      <c r="D73">
        <f t="shared" si="2"/>
        <v>0.20000000000000284</v>
      </c>
      <c r="E73">
        <v>-5.7130895066036413E-2</v>
      </c>
      <c r="F73">
        <v>-0.19999999999999929</v>
      </c>
      <c r="G73" s="21">
        <v>4.9000000000000004</v>
      </c>
      <c r="H73">
        <v>4.2099999999999937</v>
      </c>
      <c r="I73">
        <v>0.92000000000000171</v>
      </c>
      <c r="J73">
        <v>0</v>
      </c>
      <c r="K73">
        <v>0.14077455103456749</v>
      </c>
      <c r="L73" s="2">
        <v>0.10514255176365883</v>
      </c>
      <c r="M73">
        <v>0.13430636914906269</v>
      </c>
      <c r="N73">
        <v>39.438468264199344</v>
      </c>
      <c r="O73">
        <v>-2.8999906682791732E-4</v>
      </c>
      <c r="P73">
        <v>-8.7000000000000028</v>
      </c>
      <c r="Q73">
        <v>3.7000000000000028</v>
      </c>
      <c r="R73">
        <v>-3.4729169060906173E-2</v>
      </c>
    </row>
    <row r="74" spans="1:18">
      <c r="A74" s="56">
        <v>44197</v>
      </c>
      <c r="B74">
        <v>-1.7999999999999972</v>
      </c>
      <c r="C74">
        <v>1.0999999999999943</v>
      </c>
      <c r="D74">
        <f t="shared" si="2"/>
        <v>3.2999999999999972</v>
      </c>
      <c r="E74">
        <v>-5.744304114583898E-2</v>
      </c>
      <c r="F74">
        <v>-0.10000000000000053</v>
      </c>
      <c r="G74" s="21">
        <v>5.2</v>
      </c>
      <c r="H74">
        <v>4.5499999999999972</v>
      </c>
      <c r="I74">
        <v>2.1700000000000017</v>
      </c>
      <c r="J74">
        <v>0</v>
      </c>
      <c r="K74">
        <v>0.13534174574962843</v>
      </c>
      <c r="L74" s="2">
        <v>0.10815219236212648</v>
      </c>
      <c r="M74">
        <v>0.13026481582303462</v>
      </c>
      <c r="N74">
        <v>-29.000501196414319</v>
      </c>
      <c r="O74">
        <v>2.2230114796297329E-2</v>
      </c>
      <c r="P74">
        <v>-12.799999999999997</v>
      </c>
      <c r="Q74">
        <v>1.4000000000000057</v>
      </c>
      <c r="R74">
        <v>2.3655434329157288E-3</v>
      </c>
    </row>
    <row r="75" spans="1:18">
      <c r="A75" s="56">
        <v>44228</v>
      </c>
      <c r="B75">
        <v>-2.7000000000000028</v>
      </c>
      <c r="C75">
        <v>-0.70000000000000284</v>
      </c>
      <c r="D75">
        <f t="shared" si="2"/>
        <v>-1.7999999999999972</v>
      </c>
      <c r="E75">
        <v>-1.9987338320302861E-2</v>
      </c>
      <c r="F75">
        <v>-9.9999999999999645E-2</v>
      </c>
      <c r="G75" s="21">
        <v>5.7</v>
      </c>
      <c r="H75">
        <v>5.0400000000000063</v>
      </c>
      <c r="I75">
        <v>2.8199999999999932</v>
      </c>
      <c r="J75">
        <v>0</v>
      </c>
      <c r="K75">
        <v>0.13777545710349748</v>
      </c>
      <c r="L75" s="2">
        <v>0.11209490257051935</v>
      </c>
      <c r="M75">
        <v>0.1313656585652252</v>
      </c>
      <c r="N75">
        <v>2.6577268447331051</v>
      </c>
      <c r="O75">
        <v>-8.5785201320600635E-3</v>
      </c>
      <c r="P75">
        <v>5.7000000000000028</v>
      </c>
      <c r="Q75">
        <v>11.900000000000006</v>
      </c>
      <c r="R75">
        <v>-1.0175452609955116E-3</v>
      </c>
    </row>
    <row r="76" spans="1:18">
      <c r="A76" s="56">
        <v>44256</v>
      </c>
      <c r="B76">
        <v>2.7999999999999972</v>
      </c>
      <c r="C76">
        <v>-2.5</v>
      </c>
      <c r="D76">
        <f t="shared" si="2"/>
        <v>-1.7999999999999972</v>
      </c>
      <c r="E76">
        <v>8.8146761806197516E-2</v>
      </c>
      <c r="F76">
        <v>-0.29999999999999982</v>
      </c>
      <c r="G76" s="21">
        <v>5.8</v>
      </c>
      <c r="H76">
        <v>5.3799999999999955</v>
      </c>
      <c r="I76">
        <v>2.9099999999999966</v>
      </c>
      <c r="J76">
        <v>0.25</v>
      </c>
      <c r="K76">
        <v>0.13375882346166335</v>
      </c>
      <c r="L76" s="2">
        <v>0.100953866474631</v>
      </c>
      <c r="M76">
        <v>0.13260324825032788</v>
      </c>
      <c r="N76">
        <v>7.0603220444112935</v>
      </c>
      <c r="O76">
        <v>-7.509268891013221E-3</v>
      </c>
      <c r="P76">
        <v>21.200000000000003</v>
      </c>
      <c r="Q76">
        <v>21.599999999999994</v>
      </c>
      <c r="R76">
        <v>1.0801616410915926E-3</v>
      </c>
    </row>
    <row r="77" spans="1:18">
      <c r="A77" s="56">
        <v>44287</v>
      </c>
      <c r="B77">
        <v>8.7999999999999972</v>
      </c>
      <c r="C77">
        <v>36.300000000000011</v>
      </c>
      <c r="D77">
        <f t="shared" si="2"/>
        <v>38.800000000000011</v>
      </c>
      <c r="E77">
        <v>0.66525912166405488</v>
      </c>
      <c r="F77">
        <v>-0.20000000000000018</v>
      </c>
      <c r="G77" s="21">
        <v>5.5</v>
      </c>
      <c r="H77">
        <v>5.4699999999999989</v>
      </c>
      <c r="I77">
        <v>2.5799999999999983</v>
      </c>
      <c r="J77">
        <v>0.5</v>
      </c>
      <c r="K77">
        <v>0.11343128643906741</v>
      </c>
      <c r="L77" s="2">
        <v>5.5157918865624378E-2</v>
      </c>
      <c r="M77">
        <v>0.13518326370139699</v>
      </c>
      <c r="N77">
        <v>1.9557650277812684</v>
      </c>
      <c r="O77">
        <v>-2.232609799679075E-2</v>
      </c>
      <c r="P77">
        <v>46.199999999999989</v>
      </c>
      <c r="Q77">
        <v>46</v>
      </c>
      <c r="R77">
        <v>2.3207978314997213E-2</v>
      </c>
    </row>
    <row r="78" spans="1:18">
      <c r="A78" s="56">
        <v>44317</v>
      </c>
      <c r="B78">
        <v>12.900000000000006</v>
      </c>
      <c r="C78">
        <v>28</v>
      </c>
      <c r="D78">
        <f t="shared" si="2"/>
        <v>-8.3000000000000114</v>
      </c>
      <c r="E78">
        <v>0.66968150571398688</v>
      </c>
      <c r="F78">
        <v>-0.29999999999999982</v>
      </c>
      <c r="G78" s="21">
        <v>6</v>
      </c>
      <c r="H78">
        <v>6.0400000000000063</v>
      </c>
      <c r="I78">
        <v>3.0600000000000023</v>
      </c>
      <c r="J78">
        <v>0</v>
      </c>
      <c r="K78">
        <v>0.11810943010798747</v>
      </c>
      <c r="L78" s="2">
        <v>7.4742442381628305E-2</v>
      </c>
      <c r="M78">
        <v>0.16445249098572945</v>
      </c>
      <c r="N78">
        <v>-1.5106083035608862</v>
      </c>
      <c r="O78">
        <v>2.94814777868595E-2</v>
      </c>
      <c r="P78">
        <v>66.099999999999994</v>
      </c>
      <c r="Q78">
        <v>42.400000000000006</v>
      </c>
      <c r="R78">
        <v>-2.8502544919885686E-2</v>
      </c>
    </row>
    <row r="79" spans="1:18">
      <c r="A79" s="56">
        <v>44348</v>
      </c>
      <c r="B79">
        <v>11.299999999999997</v>
      </c>
      <c r="C79">
        <v>11.5</v>
      </c>
      <c r="D79">
        <f t="shared" si="2"/>
        <v>-16.5</v>
      </c>
      <c r="E79">
        <v>0.48304581903877231</v>
      </c>
      <c r="F79">
        <v>-0.10000000000000053</v>
      </c>
      <c r="G79" s="21">
        <v>6.5</v>
      </c>
      <c r="H79">
        <v>6.5499999999999972</v>
      </c>
      <c r="I79">
        <v>3.2999999999999972</v>
      </c>
      <c r="J79">
        <v>0.5</v>
      </c>
      <c r="K79">
        <v>0.11545063230060948</v>
      </c>
      <c r="L79" s="2">
        <v>9.3087079919257798E-2</v>
      </c>
      <c r="M79">
        <v>0.18610848496718213</v>
      </c>
      <c r="N79">
        <v>3.9300954201658698</v>
      </c>
      <c r="O79">
        <v>2.4682864309971464E-2</v>
      </c>
      <c r="P79">
        <v>76.699999999999989</v>
      </c>
      <c r="Q79">
        <v>32.300000000000011</v>
      </c>
      <c r="R79">
        <v>-1.8925757097168372E-2</v>
      </c>
    </row>
    <row r="80" spans="1:18">
      <c r="A80" s="56">
        <v>44378</v>
      </c>
      <c r="B80">
        <v>7.7000000000000028</v>
      </c>
      <c r="C80">
        <v>5.7000000000000028</v>
      </c>
      <c r="D80">
        <f t="shared" si="2"/>
        <v>-5.7999999999999972</v>
      </c>
      <c r="E80">
        <v>0.27866522712505559</v>
      </c>
      <c r="F80">
        <v>-0.20000000000000018</v>
      </c>
      <c r="G80" s="21">
        <v>6.5</v>
      </c>
      <c r="H80">
        <v>6.7800000000000011</v>
      </c>
      <c r="I80">
        <v>2.25</v>
      </c>
      <c r="J80">
        <v>1</v>
      </c>
      <c r="K80">
        <v>9.5440443193842039E-2</v>
      </c>
      <c r="L80" s="2">
        <v>9.5952569719196745E-2</v>
      </c>
      <c r="M80">
        <v>0.20390154837515251</v>
      </c>
      <c r="N80">
        <v>-6.4346520034402062</v>
      </c>
      <c r="O80">
        <v>-2.2536056754736578E-2</v>
      </c>
      <c r="P80">
        <v>76.099999999999994</v>
      </c>
      <c r="Q80">
        <v>32.099999999999994</v>
      </c>
      <c r="R80">
        <v>1.7378942823896182E-2</v>
      </c>
    </row>
    <row r="81" spans="1:18">
      <c r="A81" s="56">
        <v>44409</v>
      </c>
      <c r="B81">
        <v>5.4000000000000057</v>
      </c>
      <c r="C81">
        <v>5.7999999999999972</v>
      </c>
      <c r="D81">
        <f t="shared" si="2"/>
        <v>9.9999999999994316E-2</v>
      </c>
      <c r="E81">
        <v>0.20864833356545343</v>
      </c>
      <c r="F81">
        <v>-0.19999999999999929</v>
      </c>
      <c r="G81" s="21">
        <v>6.68</v>
      </c>
      <c r="H81">
        <v>7.0699999999999932</v>
      </c>
      <c r="I81">
        <v>0.56999999999999318</v>
      </c>
      <c r="J81">
        <v>0</v>
      </c>
      <c r="K81">
        <v>8.5815029280559729E-2</v>
      </c>
      <c r="L81" s="2">
        <v>9.1427480992904986E-2</v>
      </c>
      <c r="M81">
        <v>0.20686494242198972</v>
      </c>
      <c r="N81">
        <v>-5.2629384564473156</v>
      </c>
      <c r="O81">
        <v>1.5524127359038076E-2</v>
      </c>
      <c r="P81">
        <v>85.9</v>
      </c>
      <c r="Q81">
        <v>30.400000000000006</v>
      </c>
      <c r="R81">
        <v>-4.1656329902881595E-3</v>
      </c>
    </row>
    <row r="82" spans="1:18">
      <c r="A82" s="56">
        <v>44440</v>
      </c>
      <c r="B82">
        <v>7.7999999999999972</v>
      </c>
      <c r="C82">
        <v>6.2000000000000028</v>
      </c>
      <c r="D82">
        <f t="shared" si="2"/>
        <v>0.40000000000000568</v>
      </c>
      <c r="E82">
        <v>0.18582568171181513</v>
      </c>
      <c r="F82">
        <v>-0.10000000000000053</v>
      </c>
      <c r="G82" s="21">
        <v>7.4</v>
      </c>
      <c r="H82">
        <v>7.6099999999999994</v>
      </c>
      <c r="I82">
        <v>-0.23999999999999488</v>
      </c>
      <c r="J82">
        <v>0.25</v>
      </c>
      <c r="K82">
        <v>8.1803142142083951E-2</v>
      </c>
      <c r="L82" s="2">
        <v>9.0379520221793852E-2</v>
      </c>
      <c r="M82">
        <v>0.20696215532185747</v>
      </c>
      <c r="N82">
        <v>3.8312110828518655</v>
      </c>
      <c r="O82">
        <v>2.8181368632258952E-2</v>
      </c>
      <c r="P82">
        <v>46.5</v>
      </c>
      <c r="Q82">
        <v>24.299999999999997</v>
      </c>
      <c r="R82">
        <v>-8.9621765636538342E-3</v>
      </c>
    </row>
    <row r="83" spans="1:18">
      <c r="A83" s="56">
        <v>44470</v>
      </c>
      <c r="B83">
        <v>8.2000000000000028</v>
      </c>
      <c r="C83">
        <v>4.5999999999999943</v>
      </c>
      <c r="D83">
        <f t="shared" si="2"/>
        <v>-1.6000000000000085</v>
      </c>
      <c r="E83">
        <v>0.19516933691206884</v>
      </c>
      <c r="F83">
        <v>0</v>
      </c>
      <c r="G83" s="21">
        <v>8.1300000000000008</v>
      </c>
      <c r="H83">
        <v>8.0300000000000011</v>
      </c>
      <c r="I83">
        <v>0.17000000000000171</v>
      </c>
      <c r="J83">
        <v>0.75</v>
      </c>
      <c r="K83">
        <v>8.177086409530121E-2</v>
      </c>
      <c r="L83" s="2">
        <v>8.7000822503865871E-2</v>
      </c>
      <c r="M83">
        <v>0.20689021511749495</v>
      </c>
      <c r="N83">
        <v>-1.166718505596009</v>
      </c>
      <c r="O83">
        <v>-6.5876893576426454E-3</v>
      </c>
      <c r="P83">
        <v>64.099999999999994</v>
      </c>
      <c r="Q83">
        <v>21.799999999999997</v>
      </c>
      <c r="R83">
        <v>-2.0449043478039997E-2</v>
      </c>
    </row>
    <row r="84" spans="1:18">
      <c r="A84" s="56">
        <v>44501</v>
      </c>
      <c r="B84">
        <v>7.7999999999999972</v>
      </c>
      <c r="C84">
        <v>3.5999999999999943</v>
      </c>
      <c r="D84">
        <f t="shared" si="2"/>
        <v>-1</v>
      </c>
      <c r="E84">
        <v>0.2043491913851001</v>
      </c>
      <c r="F84">
        <v>0</v>
      </c>
      <c r="G84" s="21">
        <v>8.4</v>
      </c>
      <c r="H84">
        <v>8.7099999999999937</v>
      </c>
      <c r="I84">
        <v>1.0799999999999983</v>
      </c>
      <c r="J84">
        <v>0</v>
      </c>
      <c r="K84">
        <v>8.8464481843663734E-2</v>
      </c>
      <c r="L84" s="2">
        <v>9.3664096669572317E-2</v>
      </c>
      <c r="M84">
        <v>0.20420799541899681</v>
      </c>
      <c r="N84">
        <v>0.84418878479313264</v>
      </c>
      <c r="O84">
        <v>1.6336498475153505E-2</v>
      </c>
      <c r="P84">
        <v>62.599999999999994</v>
      </c>
      <c r="Q84">
        <v>21</v>
      </c>
      <c r="R84">
        <v>1.7327221823683736E-2</v>
      </c>
    </row>
    <row r="85" spans="1:18">
      <c r="A85" s="56">
        <v>44531</v>
      </c>
      <c r="B85">
        <v>7.5</v>
      </c>
      <c r="C85">
        <v>5.5999999999999943</v>
      </c>
      <c r="D85">
        <f t="shared" si="2"/>
        <v>2</v>
      </c>
      <c r="E85">
        <v>0.17826329178025224</v>
      </c>
      <c r="F85">
        <v>0</v>
      </c>
      <c r="G85" s="21">
        <v>8.39</v>
      </c>
      <c r="H85">
        <v>8.89</v>
      </c>
      <c r="I85">
        <v>0.70999999999999375</v>
      </c>
      <c r="J85">
        <v>1</v>
      </c>
      <c r="K85">
        <v>0.11029250667859114</v>
      </c>
      <c r="L85" s="2">
        <v>0.113493488948748</v>
      </c>
      <c r="M85">
        <v>0.20724701223116226</v>
      </c>
      <c r="N85">
        <v>39.037892637703948</v>
      </c>
      <c r="O85">
        <v>-2.7848691897762734E-3</v>
      </c>
      <c r="P85">
        <v>60.800000000000011</v>
      </c>
      <c r="Q85">
        <v>22.099999999999994</v>
      </c>
      <c r="R85">
        <v>1.4616434169156811E-2</v>
      </c>
    </row>
    <row r="86" spans="1:18">
      <c r="A86" s="56">
        <v>44562</v>
      </c>
      <c r="B86">
        <v>9.0999999999999943</v>
      </c>
      <c r="C86">
        <v>4.5</v>
      </c>
      <c r="D86">
        <f t="shared" si="2"/>
        <v>-1.0999999999999943</v>
      </c>
      <c r="E86">
        <v>0.21588572811659223</v>
      </c>
      <c r="F86">
        <v>0.10000000000000053</v>
      </c>
      <c r="G86" s="21">
        <v>8.73</v>
      </c>
      <c r="H86">
        <v>9.2399999999999949</v>
      </c>
      <c r="I86">
        <v>1.4699999999999989</v>
      </c>
      <c r="J86">
        <v>0</v>
      </c>
      <c r="K86">
        <v>0.12959063257443026</v>
      </c>
      <c r="L86" s="2">
        <v>0.11979431005940322</v>
      </c>
      <c r="M86">
        <v>0.220405078292081</v>
      </c>
      <c r="N86">
        <v>-29.262933665594105</v>
      </c>
      <c r="O86">
        <v>1.2969327796456653E-2</v>
      </c>
      <c r="P86">
        <v>76.300000000000011</v>
      </c>
      <c r="Q86">
        <v>39</v>
      </c>
      <c r="R86">
        <v>3.7585660306150181E-2</v>
      </c>
    </row>
    <row r="87" spans="1:18">
      <c r="A87" s="56">
        <v>44593</v>
      </c>
      <c r="B87">
        <v>6.5999999999999943</v>
      </c>
      <c r="C87">
        <v>7</v>
      </c>
      <c r="D87">
        <f t="shared" si="2"/>
        <v>2.5</v>
      </c>
      <c r="E87">
        <v>0.18223525880839575</v>
      </c>
      <c r="F87">
        <v>-0.30000000000000071</v>
      </c>
      <c r="G87" s="21">
        <v>9.15</v>
      </c>
      <c r="H87">
        <v>9.7399999999999949</v>
      </c>
      <c r="I87">
        <v>1.1099999999999994</v>
      </c>
      <c r="J87">
        <v>11.5</v>
      </c>
      <c r="K87">
        <v>0.13390141004382894</v>
      </c>
      <c r="L87" s="2">
        <v>0.12329161566573554</v>
      </c>
      <c r="M87">
        <v>0.22097662475268565</v>
      </c>
      <c r="N87">
        <v>1.7291650039956892</v>
      </c>
      <c r="O87">
        <v>-6.6622571335273051E-4</v>
      </c>
      <c r="P87">
        <v>69.800000000000011</v>
      </c>
      <c r="Q87">
        <v>31.199999999999989</v>
      </c>
      <c r="R87">
        <v>7.474171364215465E-3</v>
      </c>
    </row>
    <row r="88" spans="1:18">
      <c r="A88" s="56">
        <v>44621</v>
      </c>
      <c r="B88">
        <v>3.5999999999999943</v>
      </c>
      <c r="C88">
        <v>3</v>
      </c>
      <c r="D88">
        <f t="shared" si="2"/>
        <v>-4</v>
      </c>
      <c r="E88">
        <v>0.14802904337315348</v>
      </c>
      <c r="F88">
        <v>0</v>
      </c>
      <c r="G88" s="21">
        <v>16.690000000000001</v>
      </c>
      <c r="H88">
        <v>18.689999999999998</v>
      </c>
      <c r="I88">
        <v>4.2199999999999989</v>
      </c>
      <c r="J88">
        <v>0</v>
      </c>
      <c r="K88">
        <v>0.14578445766450931</v>
      </c>
      <c r="L88" s="2">
        <v>0.16334045844351253</v>
      </c>
      <c r="M88">
        <v>0.22529121177108635</v>
      </c>
      <c r="N88">
        <v>8.1836993862936396</v>
      </c>
      <c r="O88">
        <v>-2.0963777013315976E-2</v>
      </c>
      <c r="P88">
        <v>54.400000000000006</v>
      </c>
      <c r="Q88">
        <v>-25.400000000000006</v>
      </c>
      <c r="R88">
        <v>0.29327949053460589</v>
      </c>
    </row>
    <row r="89" spans="1:18">
      <c r="A89" s="56">
        <v>44652</v>
      </c>
      <c r="B89">
        <v>-1.7000000000000028</v>
      </c>
      <c r="C89">
        <v>-9.5999999999999943</v>
      </c>
      <c r="D89">
        <f t="shared" si="2"/>
        <v>-12.599999999999994</v>
      </c>
      <c r="E89">
        <v>0.1126160519784738</v>
      </c>
      <c r="F89">
        <v>-9.9999999999999645E-2</v>
      </c>
      <c r="G89" s="21">
        <v>17.829999999999998</v>
      </c>
      <c r="H89">
        <v>20.370000000000005</v>
      </c>
      <c r="I89">
        <v>5.2800000000000011</v>
      </c>
      <c r="J89">
        <v>-3</v>
      </c>
      <c r="K89">
        <v>0.17062276031309831</v>
      </c>
      <c r="L89" s="2">
        <v>0.16576526029247041</v>
      </c>
      <c r="M89">
        <v>0.20276505216467489</v>
      </c>
      <c r="N89">
        <v>-8.1563599660436665</v>
      </c>
      <c r="O89">
        <v>-1.7529883926384215E-2</v>
      </c>
      <c r="P89">
        <v>32.300000000000011</v>
      </c>
      <c r="Q89">
        <v>-34.799999999999997</v>
      </c>
      <c r="R89">
        <v>-0.28386664672226836</v>
      </c>
    </row>
    <row r="90" spans="1:18">
      <c r="A90" s="56">
        <v>44682</v>
      </c>
      <c r="B90">
        <v>-1.2999999999999972</v>
      </c>
      <c r="C90">
        <v>-9.7000000000000028</v>
      </c>
      <c r="D90">
        <f t="shared" si="2"/>
        <v>-0.10000000000000853</v>
      </c>
      <c r="E90">
        <v>0.11604042344784204</v>
      </c>
      <c r="F90">
        <v>-0.10000000000000009</v>
      </c>
      <c r="G90" s="21">
        <v>17.100000000000001</v>
      </c>
      <c r="H90">
        <v>19.870000000000005</v>
      </c>
      <c r="I90">
        <v>-1.7399999999999949</v>
      </c>
      <c r="J90">
        <v>-6</v>
      </c>
      <c r="K90">
        <v>0.15656347798146109</v>
      </c>
      <c r="L90" s="2">
        <v>0.13815311124094309</v>
      </c>
      <c r="M90">
        <v>0.16946196283748516</v>
      </c>
      <c r="N90">
        <v>0.18153792663110835</v>
      </c>
      <c r="O90">
        <v>-2.2272591040149337E-2</v>
      </c>
      <c r="P90">
        <v>42.300000000000011</v>
      </c>
      <c r="Q90">
        <v>-23.099999999999994</v>
      </c>
      <c r="R90">
        <v>-0.20732891689193789</v>
      </c>
    </row>
    <row r="91" spans="1:18">
      <c r="A91" s="56">
        <v>44713</v>
      </c>
      <c r="B91">
        <v>-1.2000000000000028</v>
      </c>
      <c r="C91">
        <v>-9.4000000000000057</v>
      </c>
      <c r="D91">
        <f t="shared" si="2"/>
        <v>0.29999999999999716</v>
      </c>
      <c r="E91">
        <v>0.1166832002222673</v>
      </c>
      <c r="F91">
        <v>0.10000000000000009</v>
      </c>
      <c r="G91" s="21">
        <v>15.9</v>
      </c>
      <c r="H91">
        <v>19.180000000000007</v>
      </c>
      <c r="I91">
        <v>-2.9099999999999966</v>
      </c>
      <c r="J91">
        <v>-1.5</v>
      </c>
      <c r="K91">
        <v>0.16554613768211168</v>
      </c>
      <c r="L91" s="2">
        <v>0.1150007510541311</v>
      </c>
      <c r="M91">
        <v>0.14324081461077398</v>
      </c>
      <c r="N91">
        <v>6.9635669354788376</v>
      </c>
      <c r="O91">
        <v>-9.5369112676166878E-3</v>
      </c>
      <c r="P91">
        <v>24.599999999999994</v>
      </c>
      <c r="Q91">
        <v>-16.400000000000006</v>
      </c>
      <c r="R91">
        <v>-0.10190763832660998</v>
      </c>
    </row>
    <row r="92" spans="1:18">
      <c r="A92" s="56">
        <v>44743</v>
      </c>
      <c r="B92">
        <v>0.59999999999999432</v>
      </c>
      <c r="C92">
        <v>-9.0999999999999943</v>
      </c>
      <c r="D92">
        <f t="shared" si="2"/>
        <v>0.30000000000001137</v>
      </c>
      <c r="E92">
        <v>0.13693291864973589</v>
      </c>
      <c r="F92">
        <v>-0.10000000000000009</v>
      </c>
      <c r="G92" s="21">
        <v>15.1</v>
      </c>
      <c r="H92">
        <v>18.400000000000006</v>
      </c>
      <c r="I92">
        <v>-2.9200000000000017</v>
      </c>
      <c r="J92">
        <v>-1.5</v>
      </c>
      <c r="K92">
        <v>0.16849109717408517</v>
      </c>
      <c r="L92" s="2">
        <v>8.8657347035305811E-2</v>
      </c>
      <c r="M92">
        <v>0.1207657936428006</v>
      </c>
      <c r="N92">
        <v>-6.2022456948893563</v>
      </c>
      <c r="O92">
        <v>-5.6370204511164701E-3</v>
      </c>
      <c r="P92">
        <v>5.9000000000000057</v>
      </c>
      <c r="Q92">
        <v>-16.900000000000006</v>
      </c>
      <c r="R92">
        <v>1.8074031770067833E-2</v>
      </c>
    </row>
    <row r="93" spans="1:18">
      <c r="A93" s="56">
        <v>44774</v>
      </c>
      <c r="B93">
        <v>0.90000000000000568</v>
      </c>
      <c r="C93">
        <v>-9.4000000000000057</v>
      </c>
      <c r="D93">
        <f t="shared" si="2"/>
        <v>-0.30000000000001137</v>
      </c>
      <c r="E93">
        <v>0.13711336857634882</v>
      </c>
      <c r="F93">
        <v>-0.10000000000000009</v>
      </c>
      <c r="G93" s="21">
        <v>14.3</v>
      </c>
      <c r="H93">
        <v>17.709999999999994</v>
      </c>
      <c r="I93">
        <v>-0.51999999999999602</v>
      </c>
      <c r="J93">
        <v>0</v>
      </c>
      <c r="K93">
        <v>0.1927530170431011</v>
      </c>
      <c r="L93" s="2">
        <v>0.10145742066730423</v>
      </c>
      <c r="M93">
        <v>0.112437602917556</v>
      </c>
      <c r="N93">
        <v>-3.1830648949115385</v>
      </c>
      <c r="O93">
        <v>-1.2432278298312838E-2</v>
      </c>
      <c r="P93">
        <v>13.099999999999994</v>
      </c>
      <c r="Q93">
        <v>-9.7000000000000028</v>
      </c>
      <c r="R93">
        <v>3.6602306303604948E-2</v>
      </c>
    </row>
    <row r="94" spans="1:18">
      <c r="A94" s="56">
        <v>44805</v>
      </c>
      <c r="B94">
        <v>-2</v>
      </c>
      <c r="C94">
        <v>-10.900000000000006</v>
      </c>
      <c r="D94">
        <f t="shared" si="2"/>
        <v>-1.5</v>
      </c>
      <c r="E94">
        <v>0.11255630987004395</v>
      </c>
      <c r="F94">
        <v>0.10000000000000009</v>
      </c>
      <c r="G94" s="21">
        <v>13.68</v>
      </c>
      <c r="H94">
        <v>17.11</v>
      </c>
      <c r="I94">
        <v>-1.0900000000000034</v>
      </c>
      <c r="J94">
        <v>-0.5</v>
      </c>
      <c r="K94">
        <v>0.22596120169692391</v>
      </c>
      <c r="L94" s="2">
        <v>0.11447778655715157</v>
      </c>
      <c r="M94">
        <v>0.10282422950744907</v>
      </c>
      <c r="N94">
        <v>3.2401653102975843</v>
      </c>
      <c r="O94">
        <v>-1.9682683856647287E-2</v>
      </c>
      <c r="P94">
        <v>3</v>
      </c>
      <c r="Q94">
        <v>-7.2999999999999972</v>
      </c>
      <c r="R94">
        <v>-9.4901629382047048E-3</v>
      </c>
    </row>
    <row r="95" spans="1:18">
      <c r="A95" s="56">
        <v>44835</v>
      </c>
      <c r="B95">
        <v>-1.5</v>
      </c>
      <c r="C95">
        <v>-10.200000000000003</v>
      </c>
      <c r="D95">
        <f t="shared" si="2"/>
        <v>0.70000000000000284</v>
      </c>
      <c r="E95">
        <v>0.10931632793680168</v>
      </c>
      <c r="F95">
        <v>0</v>
      </c>
      <c r="G95" s="21">
        <v>12.63</v>
      </c>
      <c r="H95">
        <v>16.159999999999997</v>
      </c>
      <c r="I95">
        <v>-1.9000000000000057</v>
      </c>
      <c r="J95">
        <v>0</v>
      </c>
      <c r="K95">
        <v>0.23909601188829832</v>
      </c>
      <c r="L95" s="2">
        <v>0.11937565571577946</v>
      </c>
      <c r="M95">
        <v>0.10098205786480552</v>
      </c>
      <c r="N95">
        <v>0.7743470038203526</v>
      </c>
      <c r="O95">
        <v>-4.5150788304086475E-2</v>
      </c>
      <c r="P95">
        <v>-6.0999999999999943</v>
      </c>
      <c r="Q95">
        <v>-5.7000000000000028</v>
      </c>
      <c r="R95">
        <v>2.140599835118806E-2</v>
      </c>
    </row>
    <row r="96" spans="1:18">
      <c r="A96" s="56">
        <v>44866</v>
      </c>
      <c r="B96">
        <v>-0.20000000000000284</v>
      </c>
      <c r="C96">
        <v>-7.9000000000000057</v>
      </c>
      <c r="D96">
        <f t="shared" si="2"/>
        <v>2.2999999999999972</v>
      </c>
      <c r="E96">
        <v>0.12537939592557135</v>
      </c>
      <c r="F96">
        <v>-0.19999999999999973</v>
      </c>
      <c r="G96" s="21">
        <v>11.98</v>
      </c>
      <c r="H96">
        <v>15.060000000000002</v>
      </c>
      <c r="I96">
        <v>-0.84999999999999432</v>
      </c>
      <c r="J96">
        <v>0</v>
      </c>
      <c r="K96">
        <v>0.24374028888782306</v>
      </c>
      <c r="L96" s="2">
        <v>0.14177990159092402</v>
      </c>
      <c r="M96">
        <v>9.3863208184178815E-2</v>
      </c>
      <c r="N96">
        <v>0.57249367573386678</v>
      </c>
      <c r="O96">
        <v>1.1960998647195353E-2</v>
      </c>
      <c r="P96">
        <v>-8.0999999999999943</v>
      </c>
      <c r="Q96">
        <v>-4.5999999999999943</v>
      </c>
      <c r="R96">
        <v>-4.3100849374093642E-3</v>
      </c>
    </row>
    <row r="97" spans="1:18">
      <c r="A97" s="56">
        <v>44896</v>
      </c>
      <c r="B97">
        <v>-2.2000000000000028</v>
      </c>
      <c r="C97">
        <v>-10.400000000000006</v>
      </c>
      <c r="D97">
        <f t="shared" si="2"/>
        <v>-2.5</v>
      </c>
      <c r="E97">
        <v>0.13619505103596641</v>
      </c>
      <c r="F97">
        <v>0</v>
      </c>
      <c r="G97" s="21">
        <v>11.94</v>
      </c>
      <c r="H97">
        <v>14.310000000000002</v>
      </c>
      <c r="I97">
        <v>-0.70000000000000284</v>
      </c>
      <c r="J97">
        <v>0</v>
      </c>
      <c r="K97">
        <v>0.23365622189569613</v>
      </c>
      <c r="L97" s="2">
        <v>0.14109706806315669</v>
      </c>
      <c r="M97">
        <v>9.7583821046752561E-2</v>
      </c>
      <c r="N97">
        <v>39.206009517088006</v>
      </c>
      <c r="O97">
        <v>3.6065472715160141E-2</v>
      </c>
      <c r="P97">
        <v>-5.7000000000000028</v>
      </c>
      <c r="Q97">
        <v>-3.5</v>
      </c>
      <c r="R97">
        <v>7.8386536166497933E-2</v>
      </c>
    </row>
    <row r="98" spans="1:18">
      <c r="A98" s="56">
        <v>44927</v>
      </c>
      <c r="B98">
        <v>-2</v>
      </c>
      <c r="C98">
        <v>-6</v>
      </c>
      <c r="D98">
        <f t="shared" si="2"/>
        <v>4.4000000000000057</v>
      </c>
      <c r="E98">
        <v>0.14862547349622601</v>
      </c>
      <c r="F98">
        <v>-0.10000000000000009</v>
      </c>
      <c r="G98" s="21">
        <v>11.77</v>
      </c>
      <c r="H98">
        <v>13.719999999999999</v>
      </c>
      <c r="I98">
        <v>-0.21999999999999886</v>
      </c>
      <c r="J98">
        <v>0</v>
      </c>
      <c r="K98">
        <v>0.24353888695983184</v>
      </c>
      <c r="L98" s="2">
        <v>0.18021328425361061</v>
      </c>
      <c r="M98">
        <v>9.3529380886900659E-2</v>
      </c>
      <c r="N98">
        <v>-29.08947052846446</v>
      </c>
      <c r="O98">
        <v>2.558267315807683E-2</v>
      </c>
      <c r="P98">
        <v>-30.099999999999994</v>
      </c>
      <c r="Q98">
        <v>9.9999999999994316E-2</v>
      </c>
      <c r="R98">
        <v>4.5459845759360462E-2</v>
      </c>
    </row>
    <row r="99" spans="1:18">
      <c r="A99" s="56">
        <v>44958</v>
      </c>
      <c r="B99">
        <v>-1.2000000000000028</v>
      </c>
      <c r="C99">
        <v>-7.0999999999999943</v>
      </c>
      <c r="D99">
        <f t="shared" ref="D99:D130" si="3">C99-C98</f>
        <v>-1.0999999999999943</v>
      </c>
      <c r="E99">
        <v>0.1655359469289488</v>
      </c>
      <c r="F99">
        <v>-0.10999999999999988</v>
      </c>
      <c r="G99" s="21">
        <v>10.99</v>
      </c>
      <c r="H99">
        <v>12.689999999999998</v>
      </c>
      <c r="I99">
        <v>0.43000000000000682</v>
      </c>
      <c r="J99">
        <v>0</v>
      </c>
      <c r="K99">
        <v>0.25893944520747714</v>
      </c>
      <c r="L99" s="2">
        <v>0.17275449555804046</v>
      </c>
      <c r="M99">
        <v>8.8625081577562437E-2</v>
      </c>
      <c r="N99">
        <v>2.427019877780495</v>
      </c>
      <c r="O99">
        <v>2.5524190930617863E-2</v>
      </c>
      <c r="P99">
        <v>-40.6</v>
      </c>
      <c r="Q99">
        <v>-16.799999999999997</v>
      </c>
      <c r="R99">
        <v>5.5171553123235739E-2</v>
      </c>
    </row>
    <row r="100" spans="1:18">
      <c r="A100" s="56">
        <v>44986</v>
      </c>
      <c r="B100">
        <v>1.4000000000000057</v>
      </c>
      <c r="C100">
        <v>-3.5999999999999943</v>
      </c>
      <c r="D100">
        <f t="shared" si="3"/>
        <v>3.5</v>
      </c>
      <c r="E100">
        <v>0.16768699305026824</v>
      </c>
      <c r="F100">
        <v>9.9999999999997868E-3</v>
      </c>
      <c r="G100" s="21">
        <v>3.51</v>
      </c>
      <c r="H100">
        <v>3.7199999999999989</v>
      </c>
      <c r="I100">
        <v>2.1400000000000006</v>
      </c>
      <c r="J100">
        <v>0</v>
      </c>
      <c r="K100">
        <v>0.25946997012318418</v>
      </c>
      <c r="L100" s="2">
        <v>0.16733255147764536</v>
      </c>
      <c r="M100">
        <v>8.0997285255091755E-2</v>
      </c>
      <c r="N100">
        <v>9.1832783939990605</v>
      </c>
      <c r="O100">
        <v>-3.8916120789723507E-2</v>
      </c>
      <c r="P100">
        <v>-27.200000000000003</v>
      </c>
      <c r="Q100">
        <v>50.5</v>
      </c>
      <c r="R100">
        <v>4.4616414167248486E-2</v>
      </c>
    </row>
    <row r="101" spans="1:18">
      <c r="A101" s="56">
        <v>45017</v>
      </c>
      <c r="B101">
        <v>5.2000000000000028</v>
      </c>
      <c r="C101">
        <v>9.2000000000000028</v>
      </c>
      <c r="D101">
        <f t="shared" si="3"/>
        <v>12.799999999999997</v>
      </c>
      <c r="E101">
        <v>0.16859893468808962</v>
      </c>
      <c r="F101">
        <v>-0.20000000000000018</v>
      </c>
      <c r="G101" s="21">
        <v>2.31</v>
      </c>
      <c r="H101">
        <v>1.9899999999999949</v>
      </c>
      <c r="I101">
        <v>2</v>
      </c>
      <c r="J101">
        <v>0</v>
      </c>
      <c r="K101">
        <v>0.24352966455477709</v>
      </c>
      <c r="L101" s="2">
        <v>0.17729685360230718</v>
      </c>
      <c r="M101">
        <v>0.10005610783885222</v>
      </c>
      <c r="N101">
        <v>-0.56122907364357388</v>
      </c>
      <c r="O101">
        <v>3.3615977558447696E-2</v>
      </c>
      <c r="P101">
        <v>-34.599999999999994</v>
      </c>
      <c r="Q101">
        <v>48.400000000000006</v>
      </c>
      <c r="R101">
        <v>6.2298735960180096E-2</v>
      </c>
    </row>
    <row r="102" spans="1:18">
      <c r="A102" s="56">
        <v>45047</v>
      </c>
      <c r="B102">
        <v>7.2999999999999972</v>
      </c>
      <c r="C102">
        <v>11.299999999999997</v>
      </c>
      <c r="D102">
        <f t="shared" si="3"/>
        <v>2.0999999999999943</v>
      </c>
      <c r="E102">
        <v>0.19048922361068921</v>
      </c>
      <c r="F102">
        <v>-0.12999999999999989</v>
      </c>
      <c r="G102" s="21">
        <v>2.5099999999999998</v>
      </c>
      <c r="H102">
        <v>2.1200000000000045</v>
      </c>
      <c r="I102">
        <v>2.019999999999996</v>
      </c>
      <c r="J102">
        <v>0</v>
      </c>
      <c r="K102">
        <v>0.23600795446169842</v>
      </c>
      <c r="L102" s="2">
        <v>0.2080528521027718</v>
      </c>
      <c r="M102">
        <v>0.12928331883950794</v>
      </c>
      <c r="N102">
        <v>1.9977349690592376</v>
      </c>
      <c r="O102">
        <v>3.2076257301270061E-3</v>
      </c>
      <c r="P102">
        <v>-24.700000000000003</v>
      </c>
      <c r="Q102">
        <v>42.800000000000011</v>
      </c>
      <c r="R102">
        <v>-2.2258816070992893E-2</v>
      </c>
    </row>
    <row r="103" spans="1:18">
      <c r="A103" s="56">
        <v>45078</v>
      </c>
      <c r="B103">
        <v>6.0999999999999943</v>
      </c>
      <c r="C103">
        <v>12.900000000000006</v>
      </c>
      <c r="D103">
        <f t="shared" si="3"/>
        <v>1.6000000000000085</v>
      </c>
      <c r="E103">
        <v>0.18187833982288693</v>
      </c>
      <c r="F103">
        <v>-6.999999999999984E-2</v>
      </c>
      <c r="G103" s="21">
        <v>3.25</v>
      </c>
      <c r="H103">
        <v>2.4399999999999977</v>
      </c>
      <c r="I103">
        <v>0.98000000000000398</v>
      </c>
      <c r="J103">
        <v>0</v>
      </c>
      <c r="K103">
        <v>0.24935572474561529</v>
      </c>
      <c r="L103" s="2">
        <v>0.23441611638994031</v>
      </c>
      <c r="M103">
        <v>0.15413161180895485</v>
      </c>
      <c r="N103">
        <v>4.7639699902944415</v>
      </c>
      <c r="O103">
        <v>-1.9682625164529455E-2</v>
      </c>
      <c r="P103">
        <v>-36</v>
      </c>
      <c r="Q103">
        <v>20.099999999999994</v>
      </c>
      <c r="R103">
        <v>5.0545304448147199E-2</v>
      </c>
    </row>
    <row r="104" spans="1:18">
      <c r="A104" s="56">
        <v>45108</v>
      </c>
      <c r="B104">
        <v>6</v>
      </c>
      <c r="C104">
        <v>13.700000000000003</v>
      </c>
      <c r="D104">
        <f t="shared" si="3"/>
        <v>0.79999999999999716</v>
      </c>
      <c r="E104">
        <v>0.17434112681657132</v>
      </c>
      <c r="F104">
        <v>-0.10000000000000009</v>
      </c>
      <c r="G104" s="21">
        <v>4.3</v>
      </c>
      <c r="H104">
        <v>3.1800000000000068</v>
      </c>
      <c r="I104">
        <v>0.56000000000000227</v>
      </c>
      <c r="J104">
        <v>1</v>
      </c>
      <c r="K104">
        <v>0.25355804659779935</v>
      </c>
      <c r="L104" s="2">
        <v>0.28102711057015517</v>
      </c>
      <c r="M104">
        <v>0.17344359664058229</v>
      </c>
      <c r="N104">
        <v>-7.3519798267175531</v>
      </c>
      <c r="O104">
        <v>-3.0121924758379492E-3</v>
      </c>
      <c r="P104">
        <v>-31.099999999999994</v>
      </c>
      <c r="Q104">
        <v>17.599999999999994</v>
      </c>
      <c r="R104">
        <v>8.2382427859551299E-2</v>
      </c>
    </row>
    <row r="105" spans="1:18">
      <c r="A105" s="56">
        <v>45139</v>
      </c>
      <c r="B105">
        <v>6.5999999999999943</v>
      </c>
      <c r="C105">
        <v>14.400000000000006</v>
      </c>
      <c r="D105">
        <f t="shared" si="3"/>
        <v>0.70000000000000284</v>
      </c>
      <c r="E105">
        <v>0.1690628866361108</v>
      </c>
      <c r="F105">
        <v>-4.0000000000000036E-2</v>
      </c>
      <c r="G105" s="21">
        <v>5.15</v>
      </c>
      <c r="H105">
        <v>3.9500000000000028</v>
      </c>
      <c r="I105">
        <v>2.4599999999999937</v>
      </c>
      <c r="J105">
        <v>3.5</v>
      </c>
      <c r="K105">
        <v>0.2466442321444986</v>
      </c>
      <c r="L105" s="2">
        <v>0.28988037690133894</v>
      </c>
      <c r="M105">
        <v>0.18246638609655985</v>
      </c>
      <c r="N105">
        <v>-3.0441124914870699</v>
      </c>
      <c r="O105">
        <v>1.2876505122331849E-2</v>
      </c>
      <c r="P105">
        <v>-24.099999999999994</v>
      </c>
      <c r="Q105">
        <v>8.2000000000000028</v>
      </c>
      <c r="R105">
        <v>5.1813008009672146E-2</v>
      </c>
    </row>
    <row r="106" spans="1:18">
      <c r="A106" s="56">
        <v>45170</v>
      </c>
      <c r="B106">
        <v>6.7000000000000028</v>
      </c>
      <c r="C106">
        <v>13.799999999999997</v>
      </c>
      <c r="D106">
        <f t="shared" si="3"/>
        <v>-0.60000000000000853</v>
      </c>
      <c r="E106">
        <v>0.16894688396842028</v>
      </c>
      <c r="F106">
        <v>6.999999999999984E-2</v>
      </c>
      <c r="G106" s="21">
        <v>6</v>
      </c>
      <c r="H106">
        <v>4.5900000000000034</v>
      </c>
      <c r="I106">
        <v>3.25</v>
      </c>
      <c r="J106">
        <v>1</v>
      </c>
      <c r="K106">
        <v>0.22878633983995389</v>
      </c>
      <c r="L106" s="2">
        <v>0.28535445114227809</v>
      </c>
      <c r="M106">
        <v>0.20718928923261015</v>
      </c>
      <c r="N106">
        <v>1.2537654510963279</v>
      </c>
      <c r="O106">
        <v>-1.418054275482028E-2</v>
      </c>
      <c r="P106">
        <v>-13.900000000000006</v>
      </c>
      <c r="Q106">
        <v>4.7999999999999972</v>
      </c>
      <c r="R106">
        <v>1.3933089096574314E-2</v>
      </c>
    </row>
    <row r="107" spans="1:18">
      <c r="A107" s="56">
        <v>45200</v>
      </c>
      <c r="B107">
        <v>6.2999999999999972</v>
      </c>
      <c r="C107">
        <v>13.799999999999997</v>
      </c>
      <c r="D107">
        <f t="shared" si="3"/>
        <v>0</v>
      </c>
      <c r="E107">
        <v>0.18102151662228705</v>
      </c>
      <c r="F107">
        <v>-0.11999999999999966</v>
      </c>
      <c r="G107" s="21">
        <v>6.69</v>
      </c>
      <c r="H107">
        <v>5.5</v>
      </c>
      <c r="I107">
        <v>0.76999999999999602</v>
      </c>
      <c r="J107">
        <v>2</v>
      </c>
      <c r="K107">
        <v>0.20640644799434971</v>
      </c>
      <c r="L107" s="2">
        <v>0.2920010718833097</v>
      </c>
      <c r="M107">
        <v>0.22359269580748631</v>
      </c>
      <c r="N107">
        <v>3.2433879669844288</v>
      </c>
      <c r="O107">
        <v>-2.1967025066375712E-2</v>
      </c>
      <c r="P107">
        <v>-22.099999999999994</v>
      </c>
      <c r="Q107">
        <v>-7.0999999999999943</v>
      </c>
      <c r="R107">
        <v>5.1616729072998524E-3</v>
      </c>
    </row>
    <row r="108" spans="1:18">
      <c r="A108" s="56">
        <v>45231</v>
      </c>
      <c r="B108">
        <v>5.2999999999999972</v>
      </c>
      <c r="C108">
        <v>10.599999999999994</v>
      </c>
      <c r="D108">
        <f t="shared" si="3"/>
        <v>-3.2000000000000028</v>
      </c>
      <c r="E108">
        <v>0.17442123572961532</v>
      </c>
      <c r="F108">
        <v>-1.0000000000000231E-2</v>
      </c>
      <c r="G108" s="21">
        <v>7.48</v>
      </c>
      <c r="H108">
        <v>6.3599999999999994</v>
      </c>
      <c r="I108">
        <v>0.51000000000000512</v>
      </c>
      <c r="J108">
        <v>0</v>
      </c>
      <c r="K108">
        <v>0.20490500216430019</v>
      </c>
      <c r="L108" s="2">
        <v>0.26992538661951171</v>
      </c>
      <c r="M108">
        <v>0.23827313068902511</v>
      </c>
      <c r="N108">
        <v>-1.6959467958739651</v>
      </c>
      <c r="O108">
        <v>1.2334407237686307E-2</v>
      </c>
      <c r="P108">
        <v>-24.299999999999997</v>
      </c>
      <c r="Q108">
        <v>-7.4000000000000057</v>
      </c>
      <c r="R108">
        <v>-7.1585067995465934E-2</v>
      </c>
    </row>
    <row r="109" spans="1:18">
      <c r="A109" s="56">
        <v>45261</v>
      </c>
      <c r="B109">
        <v>3.7999999999999972</v>
      </c>
      <c r="C109">
        <v>10.700000000000003</v>
      </c>
      <c r="D109">
        <f t="shared" si="3"/>
        <v>0.10000000000000853</v>
      </c>
      <c r="E109">
        <v>0.15389611381826529</v>
      </c>
      <c r="F109">
        <v>0.10000000000000009</v>
      </c>
      <c r="G109" s="21">
        <v>7.42</v>
      </c>
      <c r="H109">
        <v>6.8299999999999983</v>
      </c>
      <c r="I109">
        <v>-0.84000000000000341</v>
      </c>
      <c r="J109">
        <v>1</v>
      </c>
      <c r="K109">
        <v>0.20390538179796214</v>
      </c>
      <c r="L109" s="2">
        <v>0.26400499507457131</v>
      </c>
      <c r="M109">
        <v>0.24318624433658598</v>
      </c>
      <c r="N109">
        <v>40.444712580488016</v>
      </c>
      <c r="O109">
        <v>2.7849305240168931E-2</v>
      </c>
      <c r="P109">
        <v>-28</v>
      </c>
      <c r="Q109">
        <v>-6.2000000000000028</v>
      </c>
      <c r="R109">
        <v>4.4627998709625416E-3</v>
      </c>
    </row>
    <row r="110" spans="1:18">
      <c r="A110" s="56">
        <v>45292</v>
      </c>
      <c r="B110">
        <v>5.2999999999999972</v>
      </c>
      <c r="C110">
        <v>9.5</v>
      </c>
      <c r="D110">
        <f t="shared" si="3"/>
        <v>-1.2000000000000028</v>
      </c>
      <c r="E110">
        <v>0.13648421866202987</v>
      </c>
      <c r="F110">
        <v>-0.10000000000000009</v>
      </c>
      <c r="G110" s="21">
        <v>7.44</v>
      </c>
      <c r="H110">
        <v>7.1500000000000057</v>
      </c>
      <c r="I110">
        <v>-0.15999999999999659</v>
      </c>
      <c r="J110">
        <v>0</v>
      </c>
      <c r="K110">
        <v>0.1941708171288119</v>
      </c>
      <c r="L110" s="2">
        <v>0.23442496784563938</v>
      </c>
      <c r="M110">
        <v>0.23069438471113624</v>
      </c>
      <c r="N110">
        <v>-28.340041690458861</v>
      </c>
      <c r="O110">
        <v>1.0479178034810133E-2</v>
      </c>
      <c r="P110">
        <v>-13</v>
      </c>
      <c r="Q110">
        <v>-11</v>
      </c>
      <c r="R110">
        <v>-2.3810918092609157E-2</v>
      </c>
    </row>
    <row r="111" spans="1:18">
      <c r="A111" s="56">
        <v>45323</v>
      </c>
      <c r="B111">
        <v>8.9000000000000057</v>
      </c>
      <c r="C111">
        <v>12.900000000000006</v>
      </c>
      <c r="D111">
        <f t="shared" si="3"/>
        <v>3.4000000000000057</v>
      </c>
      <c r="E111">
        <v>0.14860256807769745</v>
      </c>
      <c r="F111">
        <v>-0.10999999999999988</v>
      </c>
      <c r="G111" s="21">
        <v>7.69</v>
      </c>
      <c r="H111">
        <v>7.5900000000000034</v>
      </c>
      <c r="I111">
        <v>0.12000000000000455</v>
      </c>
      <c r="J111">
        <v>0</v>
      </c>
      <c r="K111">
        <v>0.18966972453342268</v>
      </c>
      <c r="L111" s="2">
        <v>0.2387785517658394</v>
      </c>
      <c r="M111">
        <v>0.23290449825598025</v>
      </c>
      <c r="N111">
        <v>3.8233117217177863</v>
      </c>
      <c r="O111">
        <v>-2.2202864698778413E-2</v>
      </c>
      <c r="P111">
        <v>3.7999999999999972</v>
      </c>
      <c r="Q111">
        <v>1.2999999999999972</v>
      </c>
      <c r="R111">
        <v>3.1500833842541986E-2</v>
      </c>
    </row>
    <row r="112" spans="1:18">
      <c r="A112" s="56">
        <v>45352</v>
      </c>
      <c r="B112">
        <v>4.5</v>
      </c>
      <c r="C112">
        <v>12.099999999999994</v>
      </c>
      <c r="D112">
        <f t="shared" si="3"/>
        <v>-0.80000000000001137</v>
      </c>
      <c r="E112">
        <v>0.12134395809565057</v>
      </c>
      <c r="F112">
        <v>-8.9999999999999858E-2</v>
      </c>
      <c r="G112" s="21">
        <v>7.72</v>
      </c>
      <c r="H112">
        <v>7.8400000000000034</v>
      </c>
      <c r="I112">
        <v>1.730000000000004</v>
      </c>
      <c r="J112">
        <v>0</v>
      </c>
      <c r="K112">
        <v>0.18421713692858876</v>
      </c>
      <c r="L112" s="2">
        <v>0.21625549432612234</v>
      </c>
      <c r="M112">
        <v>0.23113119843322627</v>
      </c>
      <c r="N112">
        <v>11.432508280943821</v>
      </c>
      <c r="O112">
        <v>-4.8147315299740256E-3</v>
      </c>
      <c r="P112">
        <v>1.7999999999999972</v>
      </c>
      <c r="Q112">
        <v>-18.700000000000003</v>
      </c>
      <c r="R112">
        <v>2.3288246635324583E-3</v>
      </c>
    </row>
    <row r="113" spans="1:18">
      <c r="A113" s="56">
        <v>45383</v>
      </c>
      <c r="B113">
        <v>5.2999999999999972</v>
      </c>
      <c r="C113">
        <v>9.2999999999999972</v>
      </c>
      <c r="D113">
        <f t="shared" si="3"/>
        <v>-2.7999999999999972</v>
      </c>
      <c r="E113">
        <v>0.14188538803983475</v>
      </c>
      <c r="F113">
        <v>-0.12000000000000011</v>
      </c>
      <c r="G113" s="21">
        <v>7.84</v>
      </c>
      <c r="H113">
        <v>8.269999999999996</v>
      </c>
      <c r="I113">
        <v>1.269999999999996</v>
      </c>
      <c r="J113">
        <v>0</v>
      </c>
      <c r="K113">
        <v>0.1742965495703559</v>
      </c>
      <c r="L113" s="2">
        <v>0.2162374303697423</v>
      </c>
      <c r="M113">
        <v>0.22988568715103064</v>
      </c>
      <c r="N113">
        <v>-4.8804502894805353</v>
      </c>
      <c r="O113">
        <v>1.319359979285295E-2</v>
      </c>
      <c r="P113">
        <v>7.9000000000000057</v>
      </c>
      <c r="Q113">
        <v>-9.2999999999999972</v>
      </c>
      <c r="R113">
        <v>1.3286588923985043E-2</v>
      </c>
    </row>
    <row r="114" spans="1:18">
      <c r="A114" s="56">
        <v>45413</v>
      </c>
      <c r="B114">
        <v>6.2999999999999972</v>
      </c>
      <c r="C114">
        <v>8.7999999999999972</v>
      </c>
      <c r="D114">
        <f t="shared" si="3"/>
        <v>-0.5</v>
      </c>
      <c r="E114">
        <v>0.14795523077614314</v>
      </c>
      <c r="F114">
        <v>4.9999999999999822E-2</v>
      </c>
      <c r="G114" s="21">
        <v>8.3000000000000007</v>
      </c>
      <c r="H114">
        <v>8.64</v>
      </c>
      <c r="I114">
        <v>1.1599999999999966</v>
      </c>
      <c r="J114">
        <v>0</v>
      </c>
      <c r="K114">
        <v>0.21824504638641207</v>
      </c>
      <c r="L114" s="2">
        <v>0.21403577512203742</v>
      </c>
      <c r="M114">
        <v>0.2283356596098578</v>
      </c>
      <c r="N114">
        <v>2.2347072586711647</v>
      </c>
      <c r="O114">
        <v>1.2685679066809286E-2</v>
      </c>
      <c r="P114">
        <v>-1.9000000000000057</v>
      </c>
      <c r="Q114">
        <v>-8.4000000000000057</v>
      </c>
      <c r="R114">
        <v>-2.5620716865425663E-2</v>
      </c>
    </row>
    <row r="115" spans="1:18">
      <c r="A115" s="56">
        <v>45444</v>
      </c>
      <c r="B115">
        <v>2.7999999999999972</v>
      </c>
      <c r="C115">
        <v>7.4000000000000057</v>
      </c>
      <c r="D115">
        <f t="shared" si="3"/>
        <v>-1.3999999999999915</v>
      </c>
      <c r="E115">
        <v>0.14549098018134377</v>
      </c>
      <c r="F115">
        <v>-0.18999999999999995</v>
      </c>
      <c r="G115" s="21">
        <v>8.59</v>
      </c>
      <c r="H115">
        <v>8.730000000000004</v>
      </c>
      <c r="I115">
        <v>0.40000000000000568</v>
      </c>
      <c r="J115">
        <v>0</v>
      </c>
      <c r="K115">
        <v>0.18935357130253161</v>
      </c>
      <c r="L115" s="2">
        <v>0.22068047137622138</v>
      </c>
      <c r="M115">
        <v>0.22590915912192866</v>
      </c>
      <c r="N115">
        <v>2.5401792177373324</v>
      </c>
      <c r="O115">
        <v>1.8864604061779033E-3</v>
      </c>
      <c r="P115">
        <v>3.5</v>
      </c>
      <c r="Q115">
        <v>-5.4000000000000057</v>
      </c>
      <c r="R115">
        <v>-3.1962893470272036E-2</v>
      </c>
    </row>
    <row r="116" spans="1:18">
      <c r="A116" s="56">
        <v>45474</v>
      </c>
      <c r="B116">
        <v>4</v>
      </c>
      <c r="C116">
        <v>7</v>
      </c>
      <c r="D116">
        <f t="shared" si="3"/>
        <v>-0.40000000000000568</v>
      </c>
      <c r="E116">
        <v>0.17023038635347909</v>
      </c>
      <c r="F116">
        <v>-4.0000000000000036E-2</v>
      </c>
      <c r="G116" s="21">
        <v>9.1300000000000008</v>
      </c>
      <c r="H116">
        <v>8.5999999999999943</v>
      </c>
      <c r="I116">
        <v>1.0499999999999972</v>
      </c>
      <c r="J116">
        <v>2</v>
      </c>
      <c r="K116">
        <v>0.18653811685694777</v>
      </c>
      <c r="L116" s="2">
        <v>0.20708211929747655</v>
      </c>
      <c r="M116">
        <v>0.23318567676280622</v>
      </c>
      <c r="N116">
        <v>-5.7060627042437062</v>
      </c>
      <c r="O116">
        <v>-9.2945296450608339E-3</v>
      </c>
      <c r="P116">
        <v>12.700000000000003</v>
      </c>
      <c r="Q116">
        <v>0.90000000000000568</v>
      </c>
      <c r="R116">
        <v>-3.0269035923584653E-3</v>
      </c>
    </row>
    <row r="117" spans="1:18">
      <c r="A117" s="56">
        <v>45505</v>
      </c>
      <c r="B117">
        <v>3.2000000000000028</v>
      </c>
      <c r="C117">
        <v>5.5999999999999943</v>
      </c>
      <c r="D117">
        <f t="shared" si="3"/>
        <v>-1.4000000000000057</v>
      </c>
      <c r="E117">
        <v>0.16044566310383246</v>
      </c>
      <c r="F117">
        <v>0</v>
      </c>
      <c r="G117" s="21">
        <v>9.0500000000000007</v>
      </c>
      <c r="H117">
        <v>8.4399999999999977</v>
      </c>
      <c r="I117">
        <v>0.37999999999999545</v>
      </c>
      <c r="J117">
        <v>0</v>
      </c>
      <c r="K117">
        <v>0.18186165432980128</v>
      </c>
      <c r="L117" s="2">
        <v>0.19522570210360746</v>
      </c>
      <c r="M117">
        <v>0.2208438474198855</v>
      </c>
      <c r="N117">
        <v>-3.4843923041215845</v>
      </c>
      <c r="O117">
        <v>1.4306654134115249E-2</v>
      </c>
      <c r="P117">
        <v>-6.7999999999999972</v>
      </c>
      <c r="Q117">
        <v>2.0999999999999943</v>
      </c>
      <c r="R117">
        <v>1.8890952557051754E-2</v>
      </c>
    </row>
    <row r="118" spans="1:18">
      <c r="A118" s="56">
        <v>45536</v>
      </c>
      <c r="B118">
        <v>3</v>
      </c>
      <c r="C118">
        <v>6.5</v>
      </c>
      <c r="D118">
        <f t="shared" si="3"/>
        <v>0.90000000000000568</v>
      </c>
      <c r="E118">
        <v>0.15471685496648169</v>
      </c>
      <c r="F118">
        <v>-9.9999999999997868E-3</v>
      </c>
      <c r="G118" s="21">
        <v>8.6300000000000008</v>
      </c>
      <c r="H118">
        <v>8.2600000000000051</v>
      </c>
      <c r="I118">
        <v>1.3100000000000023</v>
      </c>
      <c r="J118">
        <v>1</v>
      </c>
      <c r="K118">
        <v>0.17902114663107027</v>
      </c>
      <c r="L118" s="2">
        <v>0.1998396422149209</v>
      </c>
      <c r="M118">
        <v>0.19687193245605994</v>
      </c>
      <c r="N118">
        <v>2.07153019562314</v>
      </c>
      <c r="O118">
        <v>1.9190152667853511E-2</v>
      </c>
      <c r="P118">
        <v>-3.5999999999999943</v>
      </c>
      <c r="Q118">
        <v>8.7000000000000028</v>
      </c>
      <c r="R118">
        <v>2.2998857028778907E-2</v>
      </c>
    </row>
    <row r="119" spans="1:18">
      <c r="A119" s="56">
        <v>45566</v>
      </c>
      <c r="B119">
        <v>5.5</v>
      </c>
      <c r="C119">
        <v>4.7000000000000028</v>
      </c>
      <c r="D119">
        <f t="shared" si="3"/>
        <v>-1.7999999999999972</v>
      </c>
      <c r="E119">
        <v>0.15593465339426715</v>
      </c>
      <c r="F119">
        <v>-9.0000000000000302E-2</v>
      </c>
      <c r="G119" s="21">
        <v>8.5399999999999991</v>
      </c>
      <c r="H119">
        <v>8.1800000000000068</v>
      </c>
      <c r="I119">
        <v>0</v>
      </c>
      <c r="J119">
        <v>2</v>
      </c>
      <c r="K119">
        <v>0.18805768762764186</v>
      </c>
      <c r="L119" s="2">
        <v>0.20207753743138168</v>
      </c>
      <c r="M119">
        <v>0.16874398873248797</v>
      </c>
      <c r="N119">
        <v>1.9131712189883672</v>
      </c>
      <c r="O119">
        <v>3.2103390868408965E-2</v>
      </c>
      <c r="P119">
        <v>9</v>
      </c>
      <c r="Q119">
        <v>21.200000000000003</v>
      </c>
      <c r="R119">
        <v>5.2582652113632555E-2</v>
      </c>
    </row>
    <row r="120" spans="1:18">
      <c r="A120" s="56">
        <v>45597</v>
      </c>
      <c r="B120">
        <v>3.7999999999999972</v>
      </c>
      <c r="C120">
        <v>5.7999999999999972</v>
      </c>
      <c r="D120">
        <f t="shared" si="3"/>
        <v>1.0999999999999943</v>
      </c>
      <c r="E120">
        <v>0.15319909354436345</v>
      </c>
      <c r="F120">
        <v>0</v>
      </c>
      <c r="G120" s="21">
        <v>8.8800000000000008</v>
      </c>
      <c r="H120">
        <v>8.2800000000000011</v>
      </c>
      <c r="I120">
        <v>0.76000000000000512</v>
      </c>
      <c r="J120">
        <v>0</v>
      </c>
      <c r="K120">
        <v>0.19545899007194278</v>
      </c>
      <c r="L120" s="2">
        <v>0.21469825670458342</v>
      </c>
      <c r="M120">
        <v>0.14938898827129332</v>
      </c>
      <c r="N120">
        <v>-1.6179918073479342</v>
      </c>
      <c r="O120">
        <v>-3.4205089817973544E-3</v>
      </c>
      <c r="P120">
        <v>15</v>
      </c>
      <c r="Q120">
        <v>10.700000000000003</v>
      </c>
      <c r="R120">
        <v>4.6005342413090844E-2</v>
      </c>
    </row>
    <row r="121" spans="1:18">
      <c r="A121" s="56">
        <v>45627</v>
      </c>
      <c r="B121">
        <v>8.7000000000000028</v>
      </c>
      <c r="C121">
        <v>5</v>
      </c>
      <c r="D121">
        <f t="shared" si="3"/>
        <v>-0.79999999999999716</v>
      </c>
      <c r="E121">
        <v>0.15799500389966115</v>
      </c>
      <c r="F121">
        <v>0</v>
      </c>
      <c r="G121" s="21">
        <v>9.52</v>
      </c>
      <c r="H121">
        <v>8.9300000000000068</v>
      </c>
      <c r="I121">
        <v>4.9999999999997158E-2</v>
      </c>
      <c r="J121">
        <v>0</v>
      </c>
      <c r="K121">
        <v>0.19966383743055904</v>
      </c>
      <c r="L121" s="2">
        <v>0.23931092640955298</v>
      </c>
      <c r="M121">
        <v>0.11308313003817139</v>
      </c>
      <c r="N121">
        <v>46.979365930430049</v>
      </c>
      <c r="O121">
        <v>-2.4177919386369595E-2</v>
      </c>
      <c r="P121">
        <v>0.20000000000000284</v>
      </c>
      <c r="Q121">
        <v>5.4000000000000057</v>
      </c>
      <c r="R121">
        <v>1.5493979363345289E-2</v>
      </c>
    </row>
    <row r="122" spans="1:18">
      <c r="A122" s="56">
        <v>45658</v>
      </c>
      <c r="B122">
        <v>1</v>
      </c>
      <c r="C122">
        <v>4.5999999999999943</v>
      </c>
      <c r="D122">
        <f t="shared" si="3"/>
        <v>-0.40000000000000568</v>
      </c>
      <c r="E122">
        <v>0.15389281908312857</v>
      </c>
      <c r="F122">
        <v>0.10000000000000009</v>
      </c>
      <c r="G122" s="21">
        <v>9.92</v>
      </c>
      <c r="H122">
        <v>9.3199999999999932</v>
      </c>
      <c r="I122">
        <v>0.39000000000000057</v>
      </c>
      <c r="J122">
        <v>0</v>
      </c>
      <c r="K122">
        <v>0.1918072527903083</v>
      </c>
      <c r="L122" s="2">
        <v>0.210769162601677</v>
      </c>
      <c r="M122">
        <v>9.7549426212279133E-2</v>
      </c>
      <c r="N122">
        <v>-31.683779679022223</v>
      </c>
      <c r="O122">
        <v>-1.2105693573280618E-2</v>
      </c>
      <c r="P122">
        <v>4.5</v>
      </c>
      <c r="Q122">
        <v>5.2000000000000028</v>
      </c>
      <c r="R122">
        <v>-1.8232176816282752E-2</v>
      </c>
    </row>
    <row r="123" spans="1:18">
      <c r="A123" s="56">
        <v>45689</v>
      </c>
      <c r="B123">
        <v>-0.90000000000000568</v>
      </c>
      <c r="C123">
        <v>1</v>
      </c>
      <c r="D123">
        <f t="shared" si="3"/>
        <v>-3.5999999999999943</v>
      </c>
      <c r="E123">
        <v>0.1441256394033672</v>
      </c>
      <c r="F123">
        <v>0</v>
      </c>
      <c r="G123" s="21">
        <v>10.06</v>
      </c>
      <c r="H123">
        <v>9.5499999999999972</v>
      </c>
      <c r="I123">
        <v>0.51999999999999602</v>
      </c>
      <c r="J123">
        <v>0</v>
      </c>
      <c r="K123">
        <v>0.19179845078751723</v>
      </c>
      <c r="L123" s="2">
        <v>0.18847580853541679</v>
      </c>
      <c r="M123">
        <v>8.5825743132626586E-2</v>
      </c>
      <c r="N123">
        <v>-6.2030411985816158E-2</v>
      </c>
      <c r="O123">
        <v>1.9021057563778143E-2</v>
      </c>
      <c r="P123">
        <v>0</v>
      </c>
      <c r="Q123">
        <v>-9.5</v>
      </c>
      <c r="R123">
        <v>-7.9458233811967816E-2</v>
      </c>
    </row>
    <row r="124" spans="1:18">
      <c r="A124" s="56">
        <v>45717</v>
      </c>
      <c r="B124">
        <v>0.20000000000000284</v>
      </c>
      <c r="C124">
        <v>2.7999999999999972</v>
      </c>
      <c r="D124">
        <f t="shared" si="3"/>
        <v>1.7999999999999972</v>
      </c>
      <c r="E124">
        <v>0.15685601198421839</v>
      </c>
      <c r="F124">
        <v>-0.10000000000000009</v>
      </c>
      <c r="G124" s="21">
        <v>10.34</v>
      </c>
      <c r="H124">
        <v>9.6500000000000057</v>
      </c>
      <c r="I124">
        <v>-0.17000000000000171</v>
      </c>
      <c r="J124">
        <v>0</v>
      </c>
      <c r="K124">
        <v>0.18381835413229619</v>
      </c>
      <c r="L124" s="2">
        <v>0.16984503710472998</v>
      </c>
      <c r="M124">
        <v>7.3941103240571016E-2</v>
      </c>
      <c r="N124">
        <v>8.2201525418582406</v>
      </c>
      <c r="O124">
        <v>1.8499967811425932E-2</v>
      </c>
      <c r="P124">
        <v>-14.599999999999994</v>
      </c>
      <c r="Q124">
        <v>1.9000000000000057</v>
      </c>
      <c r="R124">
        <v>-7.5205214752266158E-2</v>
      </c>
    </row>
    <row r="125" spans="1:18">
      <c r="A125" s="56">
        <v>45748</v>
      </c>
      <c r="B125">
        <v>1.2999999999999972</v>
      </c>
      <c r="C125">
        <v>2.9000000000000057</v>
      </c>
      <c r="D125">
        <f t="shared" si="3"/>
        <v>0.10000000000000853</v>
      </c>
      <c r="E125">
        <v>0.16942890978219127</v>
      </c>
      <c r="F125">
        <v>0</v>
      </c>
      <c r="G125" s="21">
        <v>10.23</v>
      </c>
      <c r="H125">
        <v>9.230000000000004</v>
      </c>
      <c r="I125">
        <v>-1.0000000000005116E-2</v>
      </c>
      <c r="J125">
        <v>0</v>
      </c>
      <c r="K125">
        <v>0.16971877304848526</v>
      </c>
      <c r="L125" s="2">
        <v>0.15102532707174565</v>
      </c>
      <c r="M125">
        <v>5.6880153416271728E-2</v>
      </c>
      <c r="N125">
        <v>-0.67402003085797446</v>
      </c>
      <c r="O125">
        <v>2.3448519195278905E-2</v>
      </c>
      <c r="P125">
        <v>-1.4000000000000057</v>
      </c>
      <c r="Q125">
        <v>13.400000000000006</v>
      </c>
      <c r="R125">
        <v>-3.0664301633649416E-2</v>
      </c>
    </row>
    <row r="126" spans="1:18">
      <c r="A126" s="56">
        <v>45778</v>
      </c>
      <c r="B126">
        <v>1.2000000000000028</v>
      </c>
      <c r="C126">
        <v>3.5999999999999943</v>
      </c>
      <c r="D126">
        <f t="shared" si="3"/>
        <v>0.69999999999998863</v>
      </c>
      <c r="E126">
        <v>0.15169930235698503</v>
      </c>
      <c r="F126">
        <v>-9.9999999999999645E-2</v>
      </c>
      <c r="G126" s="21">
        <v>9.8800000000000008</v>
      </c>
      <c r="H126">
        <v>8.9399999999999977</v>
      </c>
      <c r="I126">
        <v>-0.48999999999999488</v>
      </c>
      <c r="J126">
        <v>0</v>
      </c>
      <c r="K126">
        <v>0.13994852046378292</v>
      </c>
      <c r="L126" s="2">
        <v>0.14362817353601964</v>
      </c>
      <c r="M126">
        <v>4.0728335267280702E-2</v>
      </c>
      <c r="N126">
        <v>1.665124943487541</v>
      </c>
      <c r="O126">
        <v>4.9591783686638635E-2</v>
      </c>
      <c r="P126">
        <v>-8.7999999999999972</v>
      </c>
      <c r="Q126">
        <v>1</v>
      </c>
      <c r="R126">
        <v>-3.9371459515887608E-2</v>
      </c>
    </row>
    <row r="127" spans="1:18">
      <c r="A127" s="56">
        <v>45809</v>
      </c>
      <c r="B127">
        <v>2.0999999999999943</v>
      </c>
      <c r="C127">
        <v>3.4000000000000057</v>
      </c>
      <c r="D127">
        <f t="shared" si="3"/>
        <v>-0.19999999999998863</v>
      </c>
      <c r="E127">
        <v>0.15564011160096847</v>
      </c>
      <c r="F127" t="s">
        <v>164</v>
      </c>
      <c r="G127" s="21">
        <v>9.4</v>
      </c>
      <c r="H127">
        <v>8.7000000000000028</v>
      </c>
      <c r="I127">
        <v>-0.59000000000000341</v>
      </c>
      <c r="J127">
        <v>-1</v>
      </c>
      <c r="K127">
        <v>0.15306700738500512</v>
      </c>
      <c r="L127" s="2">
        <v>0.13413790535373038</v>
      </c>
      <c r="M127">
        <v>2.6298642864656996E-2</v>
      </c>
      <c r="N127">
        <v>3.5757097351422118</v>
      </c>
      <c r="O127">
        <v>1.5874765770362842E-4</v>
      </c>
      <c r="P127">
        <v>-7.4000000000000057</v>
      </c>
      <c r="Q127">
        <v>0.90000000000000568</v>
      </c>
      <c r="R127">
        <v>-1.934905732634018E-2</v>
      </c>
    </row>
    <row r="128" spans="1:18">
      <c r="A128" s="56">
        <v>45839</v>
      </c>
      <c r="B128">
        <v>1.5</v>
      </c>
      <c r="C128">
        <v>5.2000000000000028</v>
      </c>
      <c r="D128">
        <f t="shared" si="3"/>
        <v>1.7999999999999972</v>
      </c>
      <c r="E128">
        <v>0.13498720908804795</v>
      </c>
      <c r="F128" t="s">
        <v>164</v>
      </c>
      <c r="G128" s="21">
        <v>8.7899999999999991</v>
      </c>
      <c r="H128">
        <v>8.5300000000000011</v>
      </c>
      <c r="I128">
        <v>1.0000000000005116E-2</v>
      </c>
      <c r="J128">
        <v>-2</v>
      </c>
      <c r="K128">
        <v>0.14997938579369996</v>
      </c>
      <c r="L128" s="2">
        <v>0.1297490149034437</v>
      </c>
      <c r="M128">
        <v>1.385485768390371E-4</v>
      </c>
      <c r="N128">
        <v>-4.3040282760832014</v>
      </c>
      <c r="O128">
        <v>1.2200778031854043E-2</v>
      </c>
      <c r="P128">
        <v>7.7000000000000028</v>
      </c>
      <c r="Q128">
        <v>0.20000000000000284</v>
      </c>
      <c r="R128">
        <v>1.3280370402748432E-3</v>
      </c>
    </row>
    <row r="129" spans="1:18">
      <c r="A129" s="56">
        <v>45870</v>
      </c>
      <c r="B129">
        <v>1</v>
      </c>
      <c r="C129">
        <v>5.2000000000000028</v>
      </c>
      <c r="D129">
        <f t="shared" si="3"/>
        <v>0</v>
      </c>
      <c r="E129">
        <v>0.13633241076887415</v>
      </c>
      <c r="F129">
        <v>-0.10000000000000009</v>
      </c>
      <c r="G129" s="21">
        <v>8.14</v>
      </c>
      <c r="H129">
        <v>8.0400000000000063</v>
      </c>
      <c r="I129">
        <v>4.0000000000006253E-2</v>
      </c>
      <c r="J129">
        <v>0</v>
      </c>
      <c r="K129">
        <v>0.15031772615778327</v>
      </c>
      <c r="L129" s="2">
        <v>0.11939387296497062</v>
      </c>
      <c r="M129">
        <v>-8.9952554128375217E-3</v>
      </c>
      <c r="N129">
        <v>-6.1079992732293391</v>
      </c>
      <c r="O129">
        <v>-1.0570663739136066E-2</v>
      </c>
      <c r="P129">
        <v>-5.7000000000000028</v>
      </c>
      <c r="Q129">
        <v>-5.0999999999999943</v>
      </c>
      <c r="R129">
        <v>1.705995294705609E-2</v>
      </c>
    </row>
    <row r="130" spans="1:18">
      <c r="A130" s="56">
        <v>45901</v>
      </c>
      <c r="B130">
        <v>1.0999999999999943</v>
      </c>
      <c r="C130">
        <v>3.2999999999999972</v>
      </c>
      <c r="D130">
        <f t="shared" si="3"/>
        <v>-1.9000000000000057</v>
      </c>
      <c r="E130">
        <v>0.14770595218189975</v>
      </c>
      <c r="F130">
        <v>0.10000000000000009</v>
      </c>
      <c r="G130" s="21">
        <v>7.98</v>
      </c>
      <c r="H130">
        <v>7.6500000000000057</v>
      </c>
      <c r="I130">
        <v>0.65000000000000568</v>
      </c>
      <c r="J130">
        <v>-1</v>
      </c>
      <c r="K130">
        <v>0.14423787153143452</v>
      </c>
      <c r="L130" s="2">
        <v>0.10812663830492375</v>
      </c>
      <c r="M130">
        <v>-1.1790524645903688E-2</v>
      </c>
      <c r="N130">
        <v>3.2192371355411495</v>
      </c>
      <c r="O130">
        <v>1.1625671531872328E-2</v>
      </c>
      <c r="P130">
        <v>0.40000000000000568</v>
      </c>
      <c r="Q130">
        <v>-4.7000000000000028</v>
      </c>
      <c r="R130">
        <v>3.4866106216155934E-2</v>
      </c>
    </row>
    <row r="131" spans="1:18">
      <c r="A131" s="56">
        <v>45931</v>
      </c>
      <c r="B131">
        <v>2.5</v>
      </c>
      <c r="C131">
        <v>6.7999999999999972</v>
      </c>
      <c r="D131">
        <f t="shared" ref="D131:D133" si="4">C131-C130</f>
        <v>3.5</v>
      </c>
      <c r="E131">
        <v>0.14617892538087163</v>
      </c>
      <c r="F131">
        <v>0</v>
      </c>
      <c r="G131" s="21">
        <v>7.71</v>
      </c>
      <c r="H131">
        <v>6.9399999999999977</v>
      </c>
      <c r="I131">
        <v>1.0300000000000011</v>
      </c>
      <c r="J131">
        <v>-0.5</v>
      </c>
      <c r="K131">
        <v>0.12659297757260424</v>
      </c>
      <c r="L131" s="2">
        <v>9.4642030234430408E-2</v>
      </c>
      <c r="M131">
        <v>-1.149643470927797E-2</v>
      </c>
      <c r="N131">
        <v>3.1493917006416154</v>
      </c>
      <c r="O131">
        <v>3.3997709545221966E-2</v>
      </c>
      <c r="P131">
        <v>-9.9999999999994316E-2</v>
      </c>
      <c r="Q131">
        <v>-6.7000000000000028</v>
      </c>
      <c r="R131">
        <v>-2.5010805247656975E-2</v>
      </c>
    </row>
    <row r="132" spans="1:18">
      <c r="A132" s="56">
        <v>45962</v>
      </c>
      <c r="B132">
        <v>0.40000000000000568</v>
      </c>
      <c r="C132">
        <v>3.5</v>
      </c>
      <c r="D132">
        <f t="shared" si="4"/>
        <v>-3.2999999999999972</v>
      </c>
      <c r="E132">
        <v>0.13802982637992445</v>
      </c>
      <c r="F132">
        <v>-0.10000000000000009</v>
      </c>
      <c r="G132" s="21">
        <v>6.64</v>
      </c>
      <c r="H132">
        <v>6.1200000000000045</v>
      </c>
      <c r="I132">
        <v>-0.68999999999999773</v>
      </c>
      <c r="J132">
        <v>0</v>
      </c>
      <c r="K132">
        <v>0.12958234928076373</v>
      </c>
      <c r="L132" s="2">
        <v>9.0130098514569656E-2</v>
      </c>
      <c r="M132">
        <v>-8.1555505923809335E-3</v>
      </c>
      <c r="N132">
        <v>-1.9309393501157075</v>
      </c>
      <c r="O132">
        <v>1.7427491356841074E-2</v>
      </c>
      <c r="P132">
        <v>-14.400000000000006</v>
      </c>
      <c r="Q132">
        <v>1.5</v>
      </c>
      <c r="R132">
        <v>-7.1627528592372869E-3</v>
      </c>
    </row>
    <row r="133" spans="1:18">
      <c r="A133" s="56">
        <v>45992</v>
      </c>
      <c r="B133">
        <v>3.7000000000000028</v>
      </c>
      <c r="C133">
        <v>6</v>
      </c>
      <c r="D133">
        <f t="shared" si="4"/>
        <v>2.5</v>
      </c>
      <c r="E133">
        <v>0.14178417988792602</v>
      </c>
      <c r="F133">
        <v>0.10000000000000009</v>
      </c>
      <c r="G133" s="21">
        <v>5.59</v>
      </c>
      <c r="H133">
        <v>5.4399999999999977</v>
      </c>
      <c r="I133">
        <v>-0.93999999999999773</v>
      </c>
      <c r="J133">
        <v>-0.5</v>
      </c>
      <c r="K133">
        <v>0.12331073869421094</v>
      </c>
      <c r="L133" s="2">
        <v>7.8640423000742254E-2</v>
      </c>
      <c r="M133">
        <v>1.2942372515820422E-2</v>
      </c>
      <c r="N133">
        <v>41.845252459740948</v>
      </c>
      <c r="O133">
        <v>1.1978815256984632E-2</v>
      </c>
      <c r="P133">
        <v>10.799999999999997</v>
      </c>
      <c r="Q133">
        <v>15.700000000000003</v>
      </c>
      <c r="R133">
        <v>-2.4470612760533861E-2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E77E-F473-F84E-99FC-EDFEADE07A19}">
  <dimension ref="A1:ED7"/>
  <sheetViews>
    <sheetView workbookViewId="0">
      <selection activeCell="C9" sqref="C9"/>
    </sheetView>
  </sheetViews>
  <sheetFormatPr baseColWidth="10" defaultRowHeight="16"/>
  <cols>
    <col min="1" max="1" width="38.5" customWidth="1"/>
  </cols>
  <sheetData>
    <row r="1" spans="1:134" s="43" customFormat="1" ht="27.75" customHeight="1">
      <c r="A1" s="89" t="s">
        <v>141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89"/>
      <c r="CW1" s="89"/>
      <c r="CX1" s="89"/>
      <c r="CY1" s="89"/>
      <c r="CZ1" s="89"/>
      <c r="DA1" s="89"/>
      <c r="DB1" s="89"/>
      <c r="DC1" s="89"/>
      <c r="DD1" s="89"/>
      <c r="DE1" s="89"/>
      <c r="DF1" s="89"/>
      <c r="DG1" s="89"/>
      <c r="DH1" s="89"/>
      <c r="DI1" s="89"/>
      <c r="DJ1" s="89"/>
      <c r="DK1" s="89"/>
      <c r="DL1" s="89"/>
      <c r="DM1" s="89"/>
      <c r="DN1" s="89"/>
      <c r="DO1" s="89"/>
      <c r="DP1" s="89"/>
      <c r="DQ1" s="89"/>
      <c r="DR1" s="89"/>
    </row>
    <row r="2" spans="1:134" s="43" customFormat="1">
      <c r="A2" s="90" t="s">
        <v>142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</row>
    <row r="3" spans="1:134" s="43" customFormat="1">
      <c r="A3" s="91" t="s">
        <v>53</v>
      </c>
      <c r="B3" s="91" t="s">
        <v>54</v>
      </c>
      <c r="C3" s="92" t="s">
        <v>32</v>
      </c>
      <c r="D3" s="92"/>
      <c r="E3" s="92"/>
      <c r="F3" s="92"/>
      <c r="G3" s="92"/>
      <c r="H3" s="93"/>
      <c r="I3" s="93"/>
      <c r="J3" s="93"/>
      <c r="K3" s="93"/>
      <c r="L3" s="93"/>
      <c r="M3" s="93"/>
      <c r="N3" s="93"/>
      <c r="O3" s="92" t="s">
        <v>33</v>
      </c>
      <c r="P3" s="92"/>
      <c r="Q3" s="92"/>
      <c r="R3" s="92"/>
      <c r="S3" s="92"/>
      <c r="T3" s="93"/>
      <c r="U3" s="93"/>
      <c r="V3" s="93"/>
      <c r="W3" s="93"/>
      <c r="X3" s="93"/>
      <c r="Y3" s="93"/>
      <c r="Z3" s="93"/>
      <c r="AA3" s="92" t="s">
        <v>34</v>
      </c>
      <c r="AB3" s="92"/>
      <c r="AC3" s="92"/>
      <c r="AD3" s="92"/>
      <c r="AE3" s="92"/>
      <c r="AF3" s="93"/>
      <c r="AG3" s="93"/>
      <c r="AH3" s="93"/>
      <c r="AI3" s="93"/>
      <c r="AJ3" s="93"/>
      <c r="AK3" s="93"/>
      <c r="AL3" s="93"/>
      <c r="AM3" s="92" t="s">
        <v>35</v>
      </c>
      <c r="AN3" s="92"/>
      <c r="AO3" s="92"/>
      <c r="AP3" s="92"/>
      <c r="AQ3" s="92"/>
      <c r="AR3" s="93"/>
      <c r="AS3" s="93"/>
      <c r="AT3" s="93"/>
      <c r="AU3" s="93"/>
      <c r="AV3" s="93"/>
      <c r="AW3" s="93"/>
      <c r="AX3" s="93"/>
      <c r="AY3" s="92" t="s">
        <v>36</v>
      </c>
      <c r="AZ3" s="92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4" t="s">
        <v>37</v>
      </c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 t="s">
        <v>38</v>
      </c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 t="s">
        <v>39</v>
      </c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88" t="s">
        <v>143</v>
      </c>
      <c r="CV3" s="88"/>
      <c r="CW3" s="88"/>
      <c r="CX3" s="88"/>
      <c r="CY3" s="88"/>
      <c r="CZ3" s="88"/>
      <c r="DA3" s="88"/>
      <c r="DB3" s="88"/>
      <c r="DC3" s="88"/>
      <c r="DD3" s="88"/>
      <c r="DE3" s="88"/>
      <c r="DF3" s="88"/>
      <c r="DG3" s="88" t="s">
        <v>40</v>
      </c>
      <c r="DH3" s="88"/>
      <c r="DI3" s="88"/>
      <c r="DJ3" s="88"/>
      <c r="DK3" s="88"/>
      <c r="DL3" s="88"/>
      <c r="DM3" s="88"/>
      <c r="DN3" s="88"/>
      <c r="DO3" s="88"/>
      <c r="DP3" s="88"/>
      <c r="DQ3" s="88"/>
      <c r="DR3" s="88"/>
      <c r="DS3" s="88" t="s">
        <v>144</v>
      </c>
      <c r="DT3" s="88"/>
      <c r="DU3" s="88"/>
      <c r="DV3" s="88"/>
      <c r="DW3" s="88"/>
      <c r="DX3" s="88"/>
      <c r="DY3" s="88"/>
      <c r="DZ3" s="88"/>
      <c r="EA3" s="88"/>
      <c r="EB3" s="88"/>
      <c r="EC3" s="88"/>
      <c r="ED3" s="88"/>
    </row>
    <row r="4" spans="1:134" s="43" customFormat="1">
      <c r="A4" s="91"/>
      <c r="B4" s="91"/>
      <c r="C4" s="44" t="s">
        <v>41</v>
      </c>
      <c r="D4" s="44" t="s">
        <v>42</v>
      </c>
      <c r="E4" s="44" t="s">
        <v>43</v>
      </c>
      <c r="F4" s="44" t="s">
        <v>44</v>
      </c>
      <c r="G4" s="44" t="s">
        <v>45</v>
      </c>
      <c r="H4" s="44" t="s">
        <v>46</v>
      </c>
      <c r="I4" s="44" t="s">
        <v>47</v>
      </c>
      <c r="J4" s="44" t="s">
        <v>48</v>
      </c>
      <c r="K4" s="44" t="s">
        <v>49</v>
      </c>
      <c r="L4" s="44" t="s">
        <v>50</v>
      </c>
      <c r="M4" s="44" t="s">
        <v>51</v>
      </c>
      <c r="N4" s="44" t="s">
        <v>52</v>
      </c>
      <c r="O4" s="44" t="s">
        <v>41</v>
      </c>
      <c r="P4" s="44" t="s">
        <v>42</v>
      </c>
      <c r="Q4" s="44" t="s">
        <v>43</v>
      </c>
      <c r="R4" s="44" t="s">
        <v>44</v>
      </c>
      <c r="S4" s="44" t="s">
        <v>45</v>
      </c>
      <c r="T4" s="44" t="s">
        <v>46</v>
      </c>
      <c r="U4" s="44" t="s">
        <v>47</v>
      </c>
      <c r="V4" s="44" t="s">
        <v>48</v>
      </c>
      <c r="W4" s="44" t="s">
        <v>49</v>
      </c>
      <c r="X4" s="44" t="s">
        <v>50</v>
      </c>
      <c r="Y4" s="44" t="s">
        <v>51</v>
      </c>
      <c r="Z4" s="44" t="s">
        <v>52</v>
      </c>
      <c r="AA4" s="44" t="s">
        <v>41</v>
      </c>
      <c r="AB4" s="44" t="s">
        <v>42</v>
      </c>
      <c r="AC4" s="44" t="s">
        <v>43</v>
      </c>
      <c r="AD4" s="44" t="s">
        <v>44</v>
      </c>
      <c r="AE4" s="44" t="s">
        <v>45</v>
      </c>
      <c r="AF4" s="44" t="s">
        <v>46</v>
      </c>
      <c r="AG4" s="44" t="s">
        <v>47</v>
      </c>
      <c r="AH4" s="44" t="s">
        <v>48</v>
      </c>
      <c r="AI4" s="44" t="s">
        <v>49</v>
      </c>
      <c r="AJ4" s="44" t="s">
        <v>50</v>
      </c>
      <c r="AK4" s="44" t="s">
        <v>51</v>
      </c>
      <c r="AL4" s="44" t="s">
        <v>52</v>
      </c>
      <c r="AM4" s="44" t="s">
        <v>41</v>
      </c>
      <c r="AN4" s="44" t="s">
        <v>42</v>
      </c>
      <c r="AO4" s="44" t="s">
        <v>43</v>
      </c>
      <c r="AP4" s="44" t="s">
        <v>44</v>
      </c>
      <c r="AQ4" s="44" t="s">
        <v>45</v>
      </c>
      <c r="AR4" s="44" t="s">
        <v>46</v>
      </c>
      <c r="AS4" s="44" t="s">
        <v>47</v>
      </c>
      <c r="AT4" s="44" t="s">
        <v>48</v>
      </c>
      <c r="AU4" s="44" t="s">
        <v>49</v>
      </c>
      <c r="AV4" s="44" t="s">
        <v>50</v>
      </c>
      <c r="AW4" s="44" t="s">
        <v>51</v>
      </c>
      <c r="AX4" s="44" t="s">
        <v>52</v>
      </c>
      <c r="AY4" s="44" t="s">
        <v>41</v>
      </c>
      <c r="AZ4" s="44" t="s">
        <v>42</v>
      </c>
      <c r="BA4" s="44" t="s">
        <v>43</v>
      </c>
      <c r="BB4" s="44" t="s">
        <v>44</v>
      </c>
      <c r="BC4" s="44" t="s">
        <v>45</v>
      </c>
      <c r="BD4" s="44" t="s">
        <v>46</v>
      </c>
      <c r="BE4" s="44" t="s">
        <v>47</v>
      </c>
      <c r="BF4" s="44" t="s">
        <v>48</v>
      </c>
      <c r="BG4" s="44" t="s">
        <v>49</v>
      </c>
      <c r="BH4" s="44" t="s">
        <v>50</v>
      </c>
      <c r="BI4" s="44" t="s">
        <v>51</v>
      </c>
      <c r="BJ4" s="44" t="s">
        <v>52</v>
      </c>
      <c r="BK4" s="44" t="s">
        <v>41</v>
      </c>
      <c r="BL4" s="44" t="s">
        <v>42</v>
      </c>
      <c r="BM4" s="44" t="s">
        <v>43</v>
      </c>
      <c r="BN4" s="44" t="s">
        <v>44</v>
      </c>
      <c r="BO4" s="44" t="s">
        <v>45</v>
      </c>
      <c r="BP4" s="44" t="s">
        <v>46</v>
      </c>
      <c r="BQ4" s="44" t="s">
        <v>47</v>
      </c>
      <c r="BR4" s="44" t="s">
        <v>48</v>
      </c>
      <c r="BS4" s="44" t="s">
        <v>49</v>
      </c>
      <c r="BT4" s="44" t="s">
        <v>50</v>
      </c>
      <c r="BU4" s="44" t="s">
        <v>51</v>
      </c>
      <c r="BV4" s="44" t="s">
        <v>52</v>
      </c>
      <c r="BW4" s="44" t="s">
        <v>41</v>
      </c>
      <c r="BX4" s="44" t="s">
        <v>42</v>
      </c>
      <c r="BY4" s="44" t="s">
        <v>43</v>
      </c>
      <c r="BZ4" s="44" t="s">
        <v>44</v>
      </c>
      <c r="CA4" s="44" t="s">
        <v>45</v>
      </c>
      <c r="CB4" s="44" t="s">
        <v>46</v>
      </c>
      <c r="CC4" s="44" t="s">
        <v>47</v>
      </c>
      <c r="CD4" s="45" t="s">
        <v>48</v>
      </c>
      <c r="CE4" s="44" t="s">
        <v>49</v>
      </c>
      <c r="CF4" s="44" t="s">
        <v>50</v>
      </c>
      <c r="CG4" s="44" t="s">
        <v>51</v>
      </c>
      <c r="CH4" s="44" t="s">
        <v>52</v>
      </c>
      <c r="CI4" s="44" t="s">
        <v>41</v>
      </c>
      <c r="CJ4" s="44" t="s">
        <v>42</v>
      </c>
      <c r="CK4" s="44" t="s">
        <v>43</v>
      </c>
      <c r="CL4" s="44" t="s">
        <v>44</v>
      </c>
      <c r="CM4" s="44" t="s">
        <v>45</v>
      </c>
      <c r="CN4" s="44" t="s">
        <v>46</v>
      </c>
      <c r="CO4" s="44" t="s">
        <v>47</v>
      </c>
      <c r="CP4" s="44" t="s">
        <v>48</v>
      </c>
      <c r="CQ4" s="44" t="s">
        <v>49</v>
      </c>
      <c r="CR4" s="46" t="s">
        <v>145</v>
      </c>
      <c r="CS4" s="46" t="s">
        <v>146</v>
      </c>
      <c r="CT4" s="46" t="s">
        <v>147</v>
      </c>
      <c r="CU4" s="46" t="s">
        <v>148</v>
      </c>
      <c r="CV4" s="46" t="s">
        <v>149</v>
      </c>
      <c r="CW4" s="46" t="s">
        <v>150</v>
      </c>
      <c r="CX4" s="46" t="s">
        <v>151</v>
      </c>
      <c r="CY4" s="46" t="s">
        <v>152</v>
      </c>
      <c r="CZ4" s="46" t="s">
        <v>153</v>
      </c>
      <c r="DA4" s="46" t="s">
        <v>154</v>
      </c>
      <c r="DB4" s="46" t="s">
        <v>155</v>
      </c>
      <c r="DC4" s="46" t="s">
        <v>156</v>
      </c>
      <c r="DD4" s="46" t="s">
        <v>145</v>
      </c>
      <c r="DE4" s="46" t="s">
        <v>146</v>
      </c>
      <c r="DF4" s="46" t="s">
        <v>147</v>
      </c>
      <c r="DG4" s="46" t="s">
        <v>148</v>
      </c>
      <c r="DH4" s="46" t="s">
        <v>149</v>
      </c>
      <c r="DI4" s="46" t="s">
        <v>150</v>
      </c>
      <c r="DJ4" s="46" t="s">
        <v>151</v>
      </c>
      <c r="DK4" s="46" t="s">
        <v>152</v>
      </c>
      <c r="DL4" s="46" t="s">
        <v>153</v>
      </c>
      <c r="DM4" s="46" t="s">
        <v>154</v>
      </c>
      <c r="DN4" s="46" t="s">
        <v>155</v>
      </c>
      <c r="DO4" s="46" t="s">
        <v>156</v>
      </c>
      <c r="DP4" s="46" t="s">
        <v>145</v>
      </c>
      <c r="DQ4" s="46" t="s">
        <v>146</v>
      </c>
      <c r="DR4" s="46" t="s">
        <v>147</v>
      </c>
      <c r="DS4" s="46" t="s">
        <v>148</v>
      </c>
      <c r="DT4" s="46" t="s">
        <v>149</v>
      </c>
      <c r="DU4" s="46" t="s">
        <v>150</v>
      </c>
      <c r="DV4" s="46" t="s">
        <v>151</v>
      </c>
      <c r="DW4" s="46" t="s">
        <v>152</v>
      </c>
      <c r="DX4" s="46" t="s">
        <v>153</v>
      </c>
      <c r="DY4" s="46" t="s">
        <v>154</v>
      </c>
      <c r="DZ4" s="46" t="s">
        <v>155</v>
      </c>
      <c r="EA4" s="46" t="s">
        <v>156</v>
      </c>
      <c r="EB4" s="46" t="s">
        <v>145</v>
      </c>
      <c r="EC4" s="46" t="s">
        <v>146</v>
      </c>
      <c r="ED4" s="46" t="s">
        <v>147</v>
      </c>
    </row>
    <row r="5" spans="1:134" s="43" customFormat="1" ht="34">
      <c r="A5" s="47" t="s">
        <v>157</v>
      </c>
      <c r="B5" s="48" t="s">
        <v>55</v>
      </c>
      <c r="C5" s="49">
        <v>101.3</v>
      </c>
      <c r="D5" s="49">
        <v>99.8</v>
      </c>
      <c r="E5" s="49">
        <v>101.9</v>
      </c>
      <c r="F5" s="49">
        <v>99.4</v>
      </c>
      <c r="G5" s="49">
        <v>99</v>
      </c>
      <c r="H5" s="49">
        <v>100.1</v>
      </c>
      <c r="I5" s="49">
        <v>100.2</v>
      </c>
      <c r="J5" s="49">
        <v>100.7</v>
      </c>
      <c r="K5" s="49">
        <v>100.5</v>
      </c>
      <c r="L5" s="49">
        <v>100.2</v>
      </c>
      <c r="M5" s="49">
        <v>100.8</v>
      </c>
      <c r="N5" s="49">
        <v>99</v>
      </c>
      <c r="O5" s="49">
        <v>99.1</v>
      </c>
      <c r="P5" s="49">
        <v>102</v>
      </c>
      <c r="Q5" s="49">
        <v>100.9</v>
      </c>
      <c r="R5" s="49">
        <v>99.8</v>
      </c>
      <c r="S5" s="49">
        <v>100.4</v>
      </c>
      <c r="T5" s="49">
        <v>101.1</v>
      </c>
      <c r="U5" s="49">
        <v>100.4</v>
      </c>
      <c r="V5" s="49">
        <v>102.2</v>
      </c>
      <c r="W5" s="49">
        <v>102.5</v>
      </c>
      <c r="X5" s="49">
        <v>103</v>
      </c>
      <c r="Y5" s="49">
        <v>105.2</v>
      </c>
      <c r="Z5" s="49">
        <v>103.9</v>
      </c>
      <c r="AA5" s="49">
        <v>106.6</v>
      </c>
      <c r="AB5" s="49">
        <v>101.6</v>
      </c>
      <c r="AC5" s="49">
        <v>103.6</v>
      </c>
      <c r="AD5" s="49">
        <v>104.3</v>
      </c>
      <c r="AE5" s="49">
        <v>106.3</v>
      </c>
      <c r="AF5" s="49">
        <v>105.5</v>
      </c>
      <c r="AG5" s="49">
        <v>104.6</v>
      </c>
      <c r="AH5" s="49">
        <v>105.1</v>
      </c>
      <c r="AI5" s="49">
        <v>104</v>
      </c>
      <c r="AJ5" s="49">
        <v>102.3</v>
      </c>
      <c r="AK5" s="49">
        <v>101.1</v>
      </c>
      <c r="AL5" s="49">
        <v>100.3</v>
      </c>
      <c r="AM5" s="50">
        <v>102.7</v>
      </c>
      <c r="AN5" s="50">
        <v>103.2</v>
      </c>
      <c r="AO5" s="50">
        <v>102.7</v>
      </c>
      <c r="AP5" s="50">
        <v>103.2</v>
      </c>
      <c r="AQ5" s="50">
        <v>103.5</v>
      </c>
      <c r="AR5" s="50">
        <v>102.1</v>
      </c>
      <c r="AS5" s="50">
        <v>103.5</v>
      </c>
      <c r="AT5" s="50">
        <v>102.8</v>
      </c>
      <c r="AU5" s="50">
        <v>102.3</v>
      </c>
      <c r="AV5" s="50">
        <v>105.3</v>
      </c>
      <c r="AW5" s="50">
        <v>104.4</v>
      </c>
      <c r="AX5" s="50">
        <v>106.4</v>
      </c>
      <c r="AY5" s="50">
        <v>102.7</v>
      </c>
      <c r="AZ5" s="50">
        <v>104.2</v>
      </c>
      <c r="BA5" s="50">
        <v>102.7</v>
      </c>
      <c r="BB5" s="50">
        <v>105.2</v>
      </c>
      <c r="BC5" s="50">
        <v>101</v>
      </c>
      <c r="BD5" s="50">
        <v>103.2</v>
      </c>
      <c r="BE5" s="50">
        <v>104.3</v>
      </c>
      <c r="BF5" s="50">
        <v>103.9</v>
      </c>
      <c r="BG5" s="50">
        <v>105</v>
      </c>
      <c r="BH5" s="50">
        <v>104.4</v>
      </c>
      <c r="BI5" s="50">
        <v>101.5</v>
      </c>
      <c r="BJ5" s="50">
        <v>102.6</v>
      </c>
      <c r="BK5" s="50">
        <v>101.6</v>
      </c>
      <c r="BL5" s="50">
        <v>105.1</v>
      </c>
      <c r="BM5" s="50">
        <v>102.8</v>
      </c>
      <c r="BN5" s="50">
        <v>95.6</v>
      </c>
      <c r="BO5" s="50">
        <v>92.3</v>
      </c>
      <c r="BP5" s="50">
        <v>93.4</v>
      </c>
      <c r="BQ5" s="50">
        <v>94.4</v>
      </c>
      <c r="BR5" s="50">
        <v>96.1</v>
      </c>
      <c r="BS5" s="50">
        <v>96.5</v>
      </c>
      <c r="BT5" s="50">
        <v>94.7</v>
      </c>
      <c r="BU5" s="50">
        <v>99</v>
      </c>
      <c r="BV5" s="50">
        <v>103.7</v>
      </c>
      <c r="BW5" s="50">
        <v>98.2</v>
      </c>
      <c r="BX5" s="50">
        <v>97.3</v>
      </c>
      <c r="BY5" s="50">
        <v>102.8</v>
      </c>
      <c r="BZ5" s="50">
        <v>108.8</v>
      </c>
      <c r="CA5" s="50">
        <v>112.9</v>
      </c>
      <c r="CB5" s="50">
        <v>111.3</v>
      </c>
      <c r="CC5" s="50">
        <v>107.7</v>
      </c>
      <c r="CD5" s="50">
        <v>105.4</v>
      </c>
      <c r="CE5" s="50">
        <v>107.8</v>
      </c>
      <c r="CF5" s="50">
        <v>108.2</v>
      </c>
      <c r="CG5" s="50">
        <v>107.8</v>
      </c>
      <c r="CH5" s="50">
        <v>107.5</v>
      </c>
      <c r="CI5" s="50">
        <v>109.1</v>
      </c>
      <c r="CJ5" s="50">
        <v>106.6</v>
      </c>
      <c r="CK5" s="50">
        <v>103.6</v>
      </c>
      <c r="CL5" s="50">
        <v>98.3</v>
      </c>
      <c r="CM5" s="50">
        <v>98.7</v>
      </c>
      <c r="CN5" s="50">
        <v>98.8</v>
      </c>
      <c r="CO5" s="50">
        <v>100.6</v>
      </c>
      <c r="CP5" s="50">
        <v>100.9</v>
      </c>
      <c r="CQ5" s="50">
        <v>98</v>
      </c>
      <c r="CR5" s="50">
        <v>98.5</v>
      </c>
      <c r="CS5" s="50">
        <v>99.8</v>
      </c>
      <c r="CT5" s="50">
        <v>97.8</v>
      </c>
      <c r="CU5" s="50">
        <v>98</v>
      </c>
      <c r="CV5" s="50">
        <v>98.8</v>
      </c>
      <c r="CW5" s="50">
        <v>101.4</v>
      </c>
      <c r="CX5" s="50">
        <v>105.2</v>
      </c>
      <c r="CY5" s="50">
        <v>107.3</v>
      </c>
      <c r="CZ5" s="50">
        <v>106.1</v>
      </c>
      <c r="DA5" s="50">
        <v>106</v>
      </c>
      <c r="DB5" s="50">
        <v>106.6</v>
      </c>
      <c r="DC5" s="50">
        <v>106.7</v>
      </c>
      <c r="DD5" s="50">
        <v>106.3</v>
      </c>
      <c r="DE5" s="50">
        <v>105.3</v>
      </c>
      <c r="DF5" s="50">
        <v>103.8</v>
      </c>
      <c r="DG5" s="50">
        <v>105.3</v>
      </c>
      <c r="DH5" s="50">
        <v>108.9</v>
      </c>
      <c r="DI5" s="50">
        <v>104.5</v>
      </c>
      <c r="DJ5" s="50">
        <v>105.3</v>
      </c>
      <c r="DK5" s="50">
        <v>106.3</v>
      </c>
      <c r="DL5" s="50">
        <v>102.8</v>
      </c>
      <c r="DM5" s="50">
        <v>104</v>
      </c>
      <c r="DN5" s="50">
        <v>103.2</v>
      </c>
      <c r="DO5" s="50">
        <v>103</v>
      </c>
      <c r="DP5" s="50">
        <v>105.5</v>
      </c>
      <c r="DQ5" s="50">
        <v>103.8</v>
      </c>
      <c r="DR5" s="50">
        <v>108.7</v>
      </c>
      <c r="DS5" s="50">
        <v>101</v>
      </c>
      <c r="DT5" s="50">
        <v>99.1</v>
      </c>
      <c r="DU5" s="50">
        <v>100.2</v>
      </c>
      <c r="DV5" s="50">
        <v>101.3</v>
      </c>
      <c r="DW5" s="50">
        <v>101.2</v>
      </c>
      <c r="DX5" s="50">
        <v>102.1</v>
      </c>
      <c r="DY5" s="50">
        <v>101.5</v>
      </c>
      <c r="DZ5" s="50">
        <v>101</v>
      </c>
      <c r="EA5" s="50">
        <v>101.1</v>
      </c>
      <c r="EB5" s="50">
        <v>102.5</v>
      </c>
      <c r="EC5" s="50">
        <v>100.4</v>
      </c>
      <c r="ED5" s="50">
        <v>103.7</v>
      </c>
    </row>
    <row r="6" spans="1:134">
      <c r="C6" s="55">
        <f>C5-100</f>
        <v>1.2999999999999972</v>
      </c>
      <c r="D6" s="55">
        <f t="shared" ref="D6:BO6" si="0">D5-100</f>
        <v>-0.20000000000000284</v>
      </c>
      <c r="E6" s="55">
        <f t="shared" si="0"/>
        <v>1.9000000000000057</v>
      </c>
      <c r="F6" s="55">
        <f t="shared" si="0"/>
        <v>-0.59999999999999432</v>
      </c>
      <c r="G6" s="55">
        <f t="shared" si="0"/>
        <v>-1</v>
      </c>
      <c r="H6" s="55">
        <f t="shared" si="0"/>
        <v>9.9999999999994316E-2</v>
      </c>
      <c r="I6" s="55">
        <f t="shared" si="0"/>
        <v>0.20000000000000284</v>
      </c>
      <c r="J6" s="55">
        <f t="shared" si="0"/>
        <v>0.70000000000000284</v>
      </c>
      <c r="K6" s="55">
        <f t="shared" si="0"/>
        <v>0.5</v>
      </c>
      <c r="L6" s="55">
        <f t="shared" si="0"/>
        <v>0.20000000000000284</v>
      </c>
      <c r="M6" s="55">
        <f t="shared" si="0"/>
        <v>0.79999999999999716</v>
      </c>
      <c r="N6" s="55">
        <f t="shared" si="0"/>
        <v>-1</v>
      </c>
      <c r="O6" s="55">
        <f t="shared" si="0"/>
        <v>-0.90000000000000568</v>
      </c>
      <c r="P6" s="55">
        <f t="shared" si="0"/>
        <v>2</v>
      </c>
      <c r="Q6" s="55">
        <f t="shared" si="0"/>
        <v>0.90000000000000568</v>
      </c>
      <c r="R6" s="55">
        <f t="shared" si="0"/>
        <v>-0.20000000000000284</v>
      </c>
      <c r="S6" s="55">
        <f t="shared" si="0"/>
        <v>0.40000000000000568</v>
      </c>
      <c r="T6" s="55">
        <f t="shared" si="0"/>
        <v>1.0999999999999943</v>
      </c>
      <c r="U6" s="55">
        <f t="shared" si="0"/>
        <v>0.40000000000000568</v>
      </c>
      <c r="V6" s="55">
        <f t="shared" si="0"/>
        <v>2.2000000000000028</v>
      </c>
      <c r="W6" s="55">
        <f t="shared" si="0"/>
        <v>2.5</v>
      </c>
      <c r="X6" s="55">
        <f t="shared" si="0"/>
        <v>3</v>
      </c>
      <c r="Y6" s="55">
        <f t="shared" si="0"/>
        <v>5.2000000000000028</v>
      </c>
      <c r="Z6" s="55">
        <f t="shared" si="0"/>
        <v>3.9000000000000057</v>
      </c>
      <c r="AA6" s="55">
        <f t="shared" si="0"/>
        <v>6.5999999999999943</v>
      </c>
      <c r="AB6" s="55">
        <f t="shared" si="0"/>
        <v>1.5999999999999943</v>
      </c>
      <c r="AC6" s="55">
        <f t="shared" si="0"/>
        <v>3.5999999999999943</v>
      </c>
      <c r="AD6" s="55">
        <f t="shared" si="0"/>
        <v>4.2999999999999972</v>
      </c>
      <c r="AE6" s="55">
        <f t="shared" si="0"/>
        <v>6.2999999999999972</v>
      </c>
      <c r="AF6" s="55">
        <f t="shared" si="0"/>
        <v>5.5</v>
      </c>
      <c r="AG6" s="55">
        <f t="shared" si="0"/>
        <v>4.5999999999999943</v>
      </c>
      <c r="AH6" s="55">
        <f t="shared" si="0"/>
        <v>5.0999999999999943</v>
      </c>
      <c r="AI6" s="55">
        <f t="shared" si="0"/>
        <v>4</v>
      </c>
      <c r="AJ6" s="55">
        <f t="shared" si="0"/>
        <v>2.2999999999999972</v>
      </c>
      <c r="AK6" s="55">
        <f t="shared" si="0"/>
        <v>1.0999999999999943</v>
      </c>
      <c r="AL6" s="55">
        <f t="shared" si="0"/>
        <v>0.29999999999999716</v>
      </c>
      <c r="AM6" s="55">
        <f t="shared" si="0"/>
        <v>2.7000000000000028</v>
      </c>
      <c r="AN6" s="55">
        <f t="shared" si="0"/>
        <v>3.2000000000000028</v>
      </c>
      <c r="AO6" s="55">
        <f t="shared" si="0"/>
        <v>2.7000000000000028</v>
      </c>
      <c r="AP6" s="55">
        <f t="shared" si="0"/>
        <v>3.2000000000000028</v>
      </c>
      <c r="AQ6" s="55">
        <f t="shared" si="0"/>
        <v>3.5</v>
      </c>
      <c r="AR6" s="55">
        <f t="shared" si="0"/>
        <v>2.0999999999999943</v>
      </c>
      <c r="AS6" s="55">
        <f t="shared" si="0"/>
        <v>3.5</v>
      </c>
      <c r="AT6" s="55">
        <f t="shared" si="0"/>
        <v>2.7999999999999972</v>
      </c>
      <c r="AU6" s="55">
        <f t="shared" si="0"/>
        <v>2.2999999999999972</v>
      </c>
      <c r="AV6" s="55">
        <f t="shared" si="0"/>
        <v>5.2999999999999972</v>
      </c>
      <c r="AW6" s="55">
        <f t="shared" si="0"/>
        <v>4.4000000000000057</v>
      </c>
      <c r="AX6" s="55">
        <f t="shared" si="0"/>
        <v>6.4000000000000057</v>
      </c>
      <c r="AY6" s="55">
        <f t="shared" si="0"/>
        <v>2.7000000000000028</v>
      </c>
      <c r="AZ6" s="55">
        <f t="shared" si="0"/>
        <v>4.2000000000000028</v>
      </c>
      <c r="BA6" s="55">
        <f t="shared" si="0"/>
        <v>2.7000000000000028</v>
      </c>
      <c r="BB6" s="55">
        <f t="shared" si="0"/>
        <v>5.2000000000000028</v>
      </c>
      <c r="BC6" s="55">
        <f t="shared" si="0"/>
        <v>1</v>
      </c>
      <c r="BD6" s="55">
        <f t="shared" si="0"/>
        <v>3.2000000000000028</v>
      </c>
      <c r="BE6" s="55">
        <f t="shared" si="0"/>
        <v>4.2999999999999972</v>
      </c>
      <c r="BF6" s="55">
        <f t="shared" si="0"/>
        <v>3.9000000000000057</v>
      </c>
      <c r="BG6" s="55">
        <f t="shared" si="0"/>
        <v>5</v>
      </c>
      <c r="BH6" s="55">
        <f t="shared" si="0"/>
        <v>4.4000000000000057</v>
      </c>
      <c r="BI6" s="55">
        <f t="shared" si="0"/>
        <v>1.5</v>
      </c>
      <c r="BJ6" s="55">
        <f t="shared" si="0"/>
        <v>2.5999999999999943</v>
      </c>
      <c r="BK6" s="55">
        <f t="shared" si="0"/>
        <v>1.5999999999999943</v>
      </c>
      <c r="BL6" s="55">
        <f t="shared" si="0"/>
        <v>5.0999999999999943</v>
      </c>
      <c r="BM6" s="55">
        <f t="shared" si="0"/>
        <v>2.7999999999999972</v>
      </c>
      <c r="BN6" s="55">
        <f t="shared" si="0"/>
        <v>-4.4000000000000057</v>
      </c>
      <c r="BO6" s="55">
        <f t="shared" si="0"/>
        <v>-7.7000000000000028</v>
      </c>
      <c r="BP6" s="55">
        <f t="shared" ref="BP6:EA6" si="1">BP5-100</f>
        <v>-6.5999999999999943</v>
      </c>
      <c r="BQ6" s="55">
        <f t="shared" si="1"/>
        <v>-5.5999999999999943</v>
      </c>
      <c r="BR6" s="55">
        <f t="shared" si="1"/>
        <v>-3.9000000000000057</v>
      </c>
      <c r="BS6" s="55">
        <f t="shared" si="1"/>
        <v>-3.5</v>
      </c>
      <c r="BT6" s="55">
        <f t="shared" si="1"/>
        <v>-5.2999999999999972</v>
      </c>
      <c r="BU6" s="55">
        <f t="shared" si="1"/>
        <v>-1</v>
      </c>
      <c r="BV6" s="55">
        <f t="shared" si="1"/>
        <v>3.7000000000000028</v>
      </c>
      <c r="BW6" s="55">
        <f t="shared" si="1"/>
        <v>-1.7999999999999972</v>
      </c>
      <c r="BX6" s="55">
        <f t="shared" si="1"/>
        <v>-2.7000000000000028</v>
      </c>
      <c r="BY6" s="55">
        <f t="shared" si="1"/>
        <v>2.7999999999999972</v>
      </c>
      <c r="BZ6" s="55">
        <f t="shared" si="1"/>
        <v>8.7999999999999972</v>
      </c>
      <c r="CA6" s="55">
        <f t="shared" si="1"/>
        <v>12.900000000000006</v>
      </c>
      <c r="CB6" s="55">
        <f t="shared" si="1"/>
        <v>11.299999999999997</v>
      </c>
      <c r="CC6" s="55">
        <f t="shared" si="1"/>
        <v>7.7000000000000028</v>
      </c>
      <c r="CD6" s="55">
        <f t="shared" si="1"/>
        <v>5.4000000000000057</v>
      </c>
      <c r="CE6" s="55">
        <f t="shared" si="1"/>
        <v>7.7999999999999972</v>
      </c>
      <c r="CF6" s="55">
        <f t="shared" si="1"/>
        <v>8.2000000000000028</v>
      </c>
      <c r="CG6" s="55">
        <f t="shared" si="1"/>
        <v>7.7999999999999972</v>
      </c>
      <c r="CH6" s="55">
        <f t="shared" si="1"/>
        <v>7.5</v>
      </c>
      <c r="CI6" s="55">
        <f t="shared" si="1"/>
        <v>9.0999999999999943</v>
      </c>
      <c r="CJ6" s="55">
        <f t="shared" si="1"/>
        <v>6.5999999999999943</v>
      </c>
      <c r="CK6" s="55">
        <f t="shared" si="1"/>
        <v>3.5999999999999943</v>
      </c>
      <c r="CL6" s="55">
        <f t="shared" si="1"/>
        <v>-1.7000000000000028</v>
      </c>
      <c r="CM6" s="55">
        <f t="shared" si="1"/>
        <v>-1.2999999999999972</v>
      </c>
      <c r="CN6" s="55">
        <f t="shared" si="1"/>
        <v>-1.2000000000000028</v>
      </c>
      <c r="CO6" s="55">
        <f t="shared" si="1"/>
        <v>0.59999999999999432</v>
      </c>
      <c r="CP6" s="55">
        <f t="shared" si="1"/>
        <v>0.90000000000000568</v>
      </c>
      <c r="CQ6" s="55">
        <f t="shared" si="1"/>
        <v>-2</v>
      </c>
      <c r="CR6" s="55">
        <f t="shared" si="1"/>
        <v>-1.5</v>
      </c>
      <c r="CS6" s="55">
        <f t="shared" si="1"/>
        <v>-0.20000000000000284</v>
      </c>
      <c r="CT6" s="55">
        <f t="shared" si="1"/>
        <v>-2.2000000000000028</v>
      </c>
      <c r="CU6" s="55">
        <f t="shared" si="1"/>
        <v>-2</v>
      </c>
      <c r="CV6" s="55">
        <f t="shared" si="1"/>
        <v>-1.2000000000000028</v>
      </c>
      <c r="CW6" s="55">
        <f t="shared" si="1"/>
        <v>1.4000000000000057</v>
      </c>
      <c r="CX6" s="55">
        <f t="shared" si="1"/>
        <v>5.2000000000000028</v>
      </c>
      <c r="CY6" s="55">
        <f t="shared" si="1"/>
        <v>7.2999999999999972</v>
      </c>
      <c r="CZ6" s="55">
        <f t="shared" si="1"/>
        <v>6.0999999999999943</v>
      </c>
      <c r="DA6" s="55">
        <f t="shared" si="1"/>
        <v>6</v>
      </c>
      <c r="DB6" s="55">
        <f t="shared" si="1"/>
        <v>6.5999999999999943</v>
      </c>
      <c r="DC6" s="55">
        <f t="shared" si="1"/>
        <v>6.7000000000000028</v>
      </c>
      <c r="DD6" s="55">
        <f t="shared" si="1"/>
        <v>6.2999999999999972</v>
      </c>
      <c r="DE6" s="55">
        <f t="shared" si="1"/>
        <v>5.2999999999999972</v>
      </c>
      <c r="DF6" s="55">
        <f t="shared" si="1"/>
        <v>3.7999999999999972</v>
      </c>
      <c r="DG6" s="55">
        <f t="shared" si="1"/>
        <v>5.2999999999999972</v>
      </c>
      <c r="DH6" s="55">
        <f t="shared" si="1"/>
        <v>8.9000000000000057</v>
      </c>
      <c r="DI6" s="55">
        <f t="shared" si="1"/>
        <v>4.5</v>
      </c>
      <c r="DJ6" s="55">
        <f t="shared" si="1"/>
        <v>5.2999999999999972</v>
      </c>
      <c r="DK6" s="55">
        <f t="shared" si="1"/>
        <v>6.2999999999999972</v>
      </c>
      <c r="DL6" s="55">
        <f t="shared" si="1"/>
        <v>2.7999999999999972</v>
      </c>
      <c r="DM6" s="55">
        <f t="shared" si="1"/>
        <v>4</v>
      </c>
      <c r="DN6" s="55">
        <f t="shared" si="1"/>
        <v>3.2000000000000028</v>
      </c>
      <c r="DO6" s="55">
        <f t="shared" si="1"/>
        <v>3</v>
      </c>
      <c r="DP6" s="55">
        <f t="shared" si="1"/>
        <v>5.5</v>
      </c>
      <c r="DQ6" s="55">
        <f t="shared" si="1"/>
        <v>3.7999999999999972</v>
      </c>
      <c r="DR6" s="55">
        <f t="shared" si="1"/>
        <v>8.7000000000000028</v>
      </c>
      <c r="DS6" s="55">
        <f t="shared" si="1"/>
        <v>1</v>
      </c>
      <c r="DT6" s="55">
        <f t="shared" si="1"/>
        <v>-0.90000000000000568</v>
      </c>
      <c r="DU6" s="55">
        <f t="shared" si="1"/>
        <v>0.20000000000000284</v>
      </c>
      <c r="DV6" s="55">
        <f t="shared" si="1"/>
        <v>1.2999999999999972</v>
      </c>
      <c r="DW6" s="55">
        <f t="shared" si="1"/>
        <v>1.2000000000000028</v>
      </c>
      <c r="DX6" s="55">
        <f t="shared" si="1"/>
        <v>2.0999999999999943</v>
      </c>
      <c r="DY6" s="55">
        <f t="shared" si="1"/>
        <v>1.5</v>
      </c>
      <c r="DZ6" s="55">
        <f t="shared" si="1"/>
        <v>1</v>
      </c>
      <c r="EA6" s="55">
        <f t="shared" si="1"/>
        <v>1.0999999999999943</v>
      </c>
      <c r="EB6" s="55">
        <f t="shared" ref="EB6:ED6" si="2">EB5-100</f>
        <v>2.5</v>
      </c>
      <c r="EC6" s="55">
        <f t="shared" si="2"/>
        <v>0.40000000000000568</v>
      </c>
      <c r="ED6" s="55">
        <f t="shared" si="2"/>
        <v>3.7000000000000028</v>
      </c>
    </row>
    <row r="7" spans="1:134">
      <c r="C7">
        <v>1.2999999999999972</v>
      </c>
      <c r="D7">
        <v>-0.20000000000000284</v>
      </c>
      <c r="E7">
        <v>1.9000000000000057</v>
      </c>
      <c r="F7">
        <v>-0.59999999999999432</v>
      </c>
      <c r="G7">
        <v>-1</v>
      </c>
      <c r="H7">
        <v>9.9999999999994316E-2</v>
      </c>
      <c r="I7">
        <v>0.20000000000000284</v>
      </c>
      <c r="J7">
        <v>0.70000000000000284</v>
      </c>
      <c r="K7">
        <v>0.5</v>
      </c>
      <c r="L7">
        <v>0.20000000000000284</v>
      </c>
      <c r="M7">
        <v>0.79999999999999716</v>
      </c>
      <c r="N7">
        <v>-1</v>
      </c>
      <c r="O7">
        <v>-0.90000000000000568</v>
      </c>
      <c r="P7">
        <v>2</v>
      </c>
      <c r="Q7">
        <v>0.90000000000000568</v>
      </c>
      <c r="R7">
        <v>-0.20000000000000284</v>
      </c>
      <c r="S7">
        <v>0.40000000000000568</v>
      </c>
      <c r="T7">
        <v>1.0999999999999943</v>
      </c>
      <c r="U7">
        <v>0.40000000000000568</v>
      </c>
      <c r="V7">
        <v>2.2000000000000028</v>
      </c>
      <c r="W7">
        <v>2.5</v>
      </c>
      <c r="X7">
        <v>3</v>
      </c>
      <c r="Y7">
        <v>5.2000000000000028</v>
      </c>
      <c r="Z7">
        <v>3.9000000000000057</v>
      </c>
      <c r="AA7">
        <v>6.5999999999999943</v>
      </c>
      <c r="AB7">
        <v>1.5999999999999943</v>
      </c>
      <c r="AC7">
        <v>3.5999999999999943</v>
      </c>
      <c r="AD7">
        <v>4.2999999999999972</v>
      </c>
      <c r="AE7">
        <v>6.2999999999999972</v>
      </c>
      <c r="AF7">
        <v>5.5</v>
      </c>
      <c r="AG7">
        <v>4.5999999999999943</v>
      </c>
      <c r="AH7">
        <v>5.0999999999999943</v>
      </c>
      <c r="AI7">
        <v>4</v>
      </c>
      <c r="AJ7">
        <v>2.2999999999999972</v>
      </c>
      <c r="AK7">
        <v>1.0999999999999943</v>
      </c>
      <c r="AL7">
        <v>0.29999999999999716</v>
      </c>
      <c r="AM7">
        <v>2.7000000000000028</v>
      </c>
      <c r="AN7">
        <v>3.2000000000000028</v>
      </c>
      <c r="AO7">
        <v>2.7000000000000028</v>
      </c>
      <c r="AP7">
        <v>3.2000000000000028</v>
      </c>
      <c r="AQ7">
        <v>3.5</v>
      </c>
      <c r="AR7">
        <v>2.0999999999999943</v>
      </c>
      <c r="AS7">
        <v>3.5</v>
      </c>
      <c r="AT7">
        <v>2.7999999999999972</v>
      </c>
      <c r="AU7">
        <v>2.2999999999999972</v>
      </c>
      <c r="AV7">
        <v>5.2999999999999972</v>
      </c>
      <c r="AW7">
        <v>4.4000000000000057</v>
      </c>
      <c r="AX7">
        <v>6.4000000000000057</v>
      </c>
      <c r="AY7">
        <v>2.7000000000000028</v>
      </c>
      <c r="AZ7">
        <v>4.2000000000000028</v>
      </c>
      <c r="BA7">
        <v>2.7000000000000028</v>
      </c>
      <c r="BB7">
        <v>5.2000000000000028</v>
      </c>
      <c r="BC7">
        <v>1</v>
      </c>
      <c r="BD7">
        <v>3.2000000000000028</v>
      </c>
      <c r="BE7">
        <v>4.2999999999999972</v>
      </c>
      <c r="BF7">
        <v>3.9000000000000057</v>
      </c>
      <c r="BG7">
        <v>5</v>
      </c>
      <c r="BH7">
        <v>4.4000000000000057</v>
      </c>
      <c r="BI7">
        <v>1.5</v>
      </c>
      <c r="BJ7">
        <v>2.5999999999999943</v>
      </c>
      <c r="BK7">
        <v>1.5999999999999943</v>
      </c>
      <c r="BL7">
        <v>5.0999999999999943</v>
      </c>
      <c r="BM7">
        <v>2.7999999999999972</v>
      </c>
      <c r="BN7">
        <v>-4.4000000000000057</v>
      </c>
      <c r="BO7">
        <v>-7.7000000000000028</v>
      </c>
      <c r="BP7">
        <v>-6.5999999999999943</v>
      </c>
      <c r="BQ7">
        <v>-5.5999999999999943</v>
      </c>
      <c r="BR7">
        <v>-3.9000000000000057</v>
      </c>
      <c r="BS7">
        <v>-3.5</v>
      </c>
      <c r="BT7">
        <v>-5.2999999999999972</v>
      </c>
      <c r="BU7">
        <v>-1</v>
      </c>
      <c r="BV7">
        <v>3.7000000000000028</v>
      </c>
      <c r="BW7">
        <v>-1.7999999999999972</v>
      </c>
      <c r="BX7">
        <v>-2.7000000000000028</v>
      </c>
      <c r="BY7">
        <v>2.7999999999999972</v>
      </c>
      <c r="BZ7">
        <v>8.7999999999999972</v>
      </c>
      <c r="CA7">
        <v>12.900000000000006</v>
      </c>
      <c r="CB7">
        <v>11.299999999999997</v>
      </c>
      <c r="CC7">
        <v>7.7000000000000028</v>
      </c>
      <c r="CD7">
        <v>5.4000000000000057</v>
      </c>
      <c r="CE7">
        <v>7.7999999999999972</v>
      </c>
      <c r="CF7">
        <v>8.2000000000000028</v>
      </c>
      <c r="CG7">
        <v>7.7999999999999972</v>
      </c>
      <c r="CH7">
        <v>7.5</v>
      </c>
      <c r="CI7">
        <v>9.0999999999999943</v>
      </c>
      <c r="CJ7">
        <v>6.5999999999999943</v>
      </c>
      <c r="CK7">
        <v>3.5999999999999943</v>
      </c>
      <c r="CL7">
        <v>-1.7000000000000028</v>
      </c>
      <c r="CM7">
        <v>-1.2999999999999972</v>
      </c>
      <c r="CN7">
        <v>-1.2000000000000028</v>
      </c>
      <c r="CO7">
        <v>0.59999999999999432</v>
      </c>
      <c r="CP7">
        <v>0.90000000000000568</v>
      </c>
      <c r="CQ7">
        <v>-2</v>
      </c>
      <c r="CR7">
        <v>-1.5</v>
      </c>
      <c r="CS7">
        <v>-0.20000000000000284</v>
      </c>
      <c r="CT7">
        <v>-2.2000000000000028</v>
      </c>
      <c r="CU7">
        <v>-2</v>
      </c>
      <c r="CV7">
        <v>-1.2000000000000028</v>
      </c>
      <c r="CW7">
        <v>1.4000000000000057</v>
      </c>
      <c r="CX7">
        <v>5.2000000000000028</v>
      </c>
      <c r="CY7">
        <v>7.2999999999999972</v>
      </c>
      <c r="CZ7">
        <v>6.0999999999999943</v>
      </c>
      <c r="DA7">
        <v>6</v>
      </c>
      <c r="DB7">
        <v>6.5999999999999943</v>
      </c>
      <c r="DC7">
        <v>6.7000000000000028</v>
      </c>
      <c r="DD7">
        <v>6.2999999999999972</v>
      </c>
      <c r="DE7">
        <v>5.2999999999999972</v>
      </c>
      <c r="DF7">
        <v>3.7999999999999972</v>
      </c>
      <c r="DG7">
        <v>5.2999999999999972</v>
      </c>
      <c r="DH7">
        <v>8.9000000000000057</v>
      </c>
      <c r="DI7">
        <v>4.5</v>
      </c>
      <c r="DJ7">
        <v>5.2999999999999972</v>
      </c>
      <c r="DK7">
        <v>6.2999999999999972</v>
      </c>
      <c r="DL7">
        <v>2.7999999999999972</v>
      </c>
      <c r="DM7">
        <v>4</v>
      </c>
      <c r="DN7">
        <v>3.2000000000000028</v>
      </c>
      <c r="DO7">
        <v>3</v>
      </c>
      <c r="DP7">
        <v>5.5</v>
      </c>
      <c r="DQ7">
        <v>3.7999999999999972</v>
      </c>
      <c r="DR7">
        <v>8.7000000000000028</v>
      </c>
      <c r="DS7">
        <v>1</v>
      </c>
      <c r="DT7">
        <v>-0.90000000000000568</v>
      </c>
      <c r="DU7">
        <v>0.20000000000000284</v>
      </c>
      <c r="DV7">
        <v>1.2999999999999972</v>
      </c>
      <c r="DW7">
        <v>1.2000000000000028</v>
      </c>
      <c r="DX7">
        <v>2.0999999999999943</v>
      </c>
      <c r="DY7">
        <v>1.5</v>
      </c>
      <c r="DZ7">
        <v>1</v>
      </c>
      <c r="EA7">
        <v>1.0999999999999943</v>
      </c>
      <c r="EB7">
        <v>2.5</v>
      </c>
      <c r="EC7">
        <v>0.40000000000000568</v>
      </c>
      <c r="ED7">
        <v>3.7000000000000028</v>
      </c>
    </row>
  </sheetData>
  <mergeCells count="15">
    <mergeCell ref="DS3:ED3"/>
    <mergeCell ref="A1:DR1"/>
    <mergeCell ref="A2:DR2"/>
    <mergeCell ref="A3:A4"/>
    <mergeCell ref="B3:B4"/>
    <mergeCell ref="C3:N3"/>
    <mergeCell ref="O3:Z3"/>
    <mergeCell ref="AA3:AL3"/>
    <mergeCell ref="AM3:AX3"/>
    <mergeCell ref="AY3:BJ3"/>
    <mergeCell ref="BK3:BV3"/>
    <mergeCell ref="BW3:CH3"/>
    <mergeCell ref="CI3:CT3"/>
    <mergeCell ref="CU3:DF3"/>
    <mergeCell ref="DG3:DR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00FF-FC77-6C41-BD4B-99041BA2D747}">
  <dimension ref="A1:ED6"/>
  <sheetViews>
    <sheetView workbookViewId="0">
      <selection activeCell="M22" sqref="M22"/>
    </sheetView>
  </sheetViews>
  <sheetFormatPr baseColWidth="10" defaultRowHeight="16"/>
  <cols>
    <col min="2" max="2" width="30.83203125" customWidth="1"/>
    <col min="3" max="22" width="6.1640625" customWidth="1"/>
  </cols>
  <sheetData>
    <row r="1" spans="1:134" s="2" customFormat="1" ht="14">
      <c r="A1" s="96" t="s">
        <v>56</v>
      </c>
      <c r="B1" s="97"/>
    </row>
    <row r="2" spans="1:134" s="2" customFormat="1" ht="14">
      <c r="A2" s="2" t="s">
        <v>57</v>
      </c>
    </row>
    <row r="3" spans="1:134" s="2" customFormat="1" ht="14">
      <c r="A3" s="95" t="s">
        <v>57</v>
      </c>
      <c r="B3" s="95" t="s">
        <v>57</v>
      </c>
      <c r="C3" s="95" t="s">
        <v>58</v>
      </c>
      <c r="D3" s="95" t="s">
        <v>57</v>
      </c>
      <c r="E3" s="95" t="s">
        <v>57</v>
      </c>
      <c r="F3" s="95" t="s">
        <v>57</v>
      </c>
      <c r="G3" s="95" t="s">
        <v>57</v>
      </c>
      <c r="H3" s="95" t="s">
        <v>57</v>
      </c>
      <c r="I3" s="95" t="s">
        <v>57</v>
      </c>
      <c r="J3" s="95" t="s">
        <v>57</v>
      </c>
      <c r="K3" s="95" t="s">
        <v>57</v>
      </c>
      <c r="L3" s="95" t="s">
        <v>57</v>
      </c>
      <c r="M3" s="95" t="s">
        <v>57</v>
      </c>
      <c r="N3" s="95" t="s">
        <v>57</v>
      </c>
      <c r="O3" s="95" t="s">
        <v>59</v>
      </c>
      <c r="P3" s="95" t="s">
        <v>57</v>
      </c>
      <c r="Q3" s="95" t="s">
        <v>57</v>
      </c>
      <c r="R3" s="95" t="s">
        <v>57</v>
      </c>
      <c r="S3" s="95" t="s">
        <v>57</v>
      </c>
      <c r="T3" s="95" t="s">
        <v>57</v>
      </c>
      <c r="U3" s="95" t="s">
        <v>57</v>
      </c>
      <c r="V3" s="95" t="s">
        <v>57</v>
      </c>
      <c r="W3" s="95" t="s">
        <v>57</v>
      </c>
      <c r="X3" s="95" t="s">
        <v>57</v>
      </c>
      <c r="Y3" s="95" t="s">
        <v>57</v>
      </c>
      <c r="Z3" s="95" t="s">
        <v>57</v>
      </c>
      <c r="AA3" s="95" t="s">
        <v>60</v>
      </c>
      <c r="AB3" s="95" t="s">
        <v>57</v>
      </c>
      <c r="AC3" s="95" t="s">
        <v>57</v>
      </c>
      <c r="AD3" s="95" t="s">
        <v>57</v>
      </c>
      <c r="AE3" s="95" t="s">
        <v>57</v>
      </c>
      <c r="AF3" s="95" t="s">
        <v>57</v>
      </c>
      <c r="AG3" s="95" t="s">
        <v>57</v>
      </c>
      <c r="AH3" s="95" t="s">
        <v>57</v>
      </c>
      <c r="AI3" s="95" t="s">
        <v>57</v>
      </c>
      <c r="AJ3" s="95" t="s">
        <v>57</v>
      </c>
      <c r="AK3" s="95" t="s">
        <v>57</v>
      </c>
      <c r="AL3" s="95" t="s">
        <v>57</v>
      </c>
      <c r="AM3" s="95" t="s">
        <v>61</v>
      </c>
      <c r="AN3" s="95" t="s">
        <v>57</v>
      </c>
      <c r="AO3" s="95" t="s">
        <v>57</v>
      </c>
      <c r="AP3" s="95" t="s">
        <v>57</v>
      </c>
      <c r="AQ3" s="95" t="s">
        <v>57</v>
      </c>
      <c r="AR3" s="95" t="s">
        <v>57</v>
      </c>
      <c r="AS3" s="95" t="s">
        <v>57</v>
      </c>
      <c r="AT3" s="95" t="s">
        <v>57</v>
      </c>
      <c r="AU3" s="95" t="s">
        <v>57</v>
      </c>
      <c r="AV3" s="95" t="s">
        <v>57</v>
      </c>
      <c r="AW3" s="95" t="s">
        <v>57</v>
      </c>
      <c r="AX3" s="95" t="s">
        <v>57</v>
      </c>
      <c r="AY3" s="95" t="s">
        <v>62</v>
      </c>
      <c r="AZ3" s="95" t="s">
        <v>57</v>
      </c>
      <c r="BA3" s="95" t="s">
        <v>57</v>
      </c>
      <c r="BB3" s="95" t="s">
        <v>57</v>
      </c>
      <c r="BC3" s="95" t="s">
        <v>57</v>
      </c>
      <c r="BD3" s="95" t="s">
        <v>57</v>
      </c>
      <c r="BE3" s="95" t="s">
        <v>57</v>
      </c>
      <c r="BF3" s="95" t="s">
        <v>57</v>
      </c>
      <c r="BG3" s="95" t="s">
        <v>57</v>
      </c>
      <c r="BH3" s="95" t="s">
        <v>57</v>
      </c>
      <c r="BI3" s="95" t="s">
        <v>57</v>
      </c>
      <c r="BJ3" s="95" t="s">
        <v>57</v>
      </c>
      <c r="BK3" s="95" t="s">
        <v>63</v>
      </c>
      <c r="BL3" s="95" t="s">
        <v>57</v>
      </c>
      <c r="BM3" s="95" t="s">
        <v>57</v>
      </c>
      <c r="BN3" s="95" t="s">
        <v>57</v>
      </c>
      <c r="BO3" s="95" t="s">
        <v>57</v>
      </c>
      <c r="BP3" s="95" t="s">
        <v>57</v>
      </c>
      <c r="BQ3" s="95" t="s">
        <v>57</v>
      </c>
      <c r="BR3" s="95" t="s">
        <v>57</v>
      </c>
      <c r="BS3" s="95" t="s">
        <v>57</v>
      </c>
      <c r="BT3" s="95" t="s">
        <v>57</v>
      </c>
      <c r="BU3" s="95" t="s">
        <v>57</v>
      </c>
      <c r="BV3" s="95" t="s">
        <v>57</v>
      </c>
      <c r="BW3" s="95" t="s">
        <v>64</v>
      </c>
      <c r="BX3" s="95" t="s">
        <v>57</v>
      </c>
      <c r="BY3" s="95" t="s">
        <v>57</v>
      </c>
      <c r="BZ3" s="95" t="s">
        <v>57</v>
      </c>
      <c r="CA3" s="95" t="s">
        <v>57</v>
      </c>
      <c r="CB3" s="95" t="s">
        <v>57</v>
      </c>
      <c r="CC3" s="95" t="s">
        <v>57</v>
      </c>
      <c r="CD3" s="95" t="s">
        <v>57</v>
      </c>
      <c r="CE3" s="95" t="s">
        <v>57</v>
      </c>
      <c r="CF3" s="95" t="s">
        <v>57</v>
      </c>
      <c r="CG3" s="95" t="s">
        <v>57</v>
      </c>
      <c r="CH3" s="95" t="s">
        <v>57</v>
      </c>
      <c r="CI3" s="95" t="s">
        <v>65</v>
      </c>
      <c r="CJ3" s="95" t="s">
        <v>57</v>
      </c>
      <c r="CK3" s="95" t="s">
        <v>57</v>
      </c>
      <c r="CL3" s="95" t="s">
        <v>57</v>
      </c>
      <c r="CM3" s="95" t="s">
        <v>57</v>
      </c>
      <c r="CN3" s="95" t="s">
        <v>57</v>
      </c>
      <c r="CO3" s="95" t="s">
        <v>57</v>
      </c>
      <c r="CP3" s="95" t="s">
        <v>57</v>
      </c>
      <c r="CQ3" s="95" t="s">
        <v>57</v>
      </c>
      <c r="CR3" s="95" t="s">
        <v>57</v>
      </c>
      <c r="CS3" s="95" t="s">
        <v>57</v>
      </c>
      <c r="CT3" s="95" t="s">
        <v>57</v>
      </c>
      <c r="CU3" s="95" t="s">
        <v>66</v>
      </c>
      <c r="CV3" s="95" t="s">
        <v>57</v>
      </c>
      <c r="CW3" s="95" t="s">
        <v>57</v>
      </c>
      <c r="CX3" s="95" t="s">
        <v>57</v>
      </c>
      <c r="CY3" s="95" t="s">
        <v>57</v>
      </c>
      <c r="CZ3" s="95" t="s">
        <v>57</v>
      </c>
      <c r="DA3" s="95" t="s">
        <v>57</v>
      </c>
      <c r="DB3" s="95" t="s">
        <v>57</v>
      </c>
      <c r="DC3" s="95" t="s">
        <v>57</v>
      </c>
      <c r="DD3" s="95" t="s">
        <v>57</v>
      </c>
      <c r="DE3" s="95" t="s">
        <v>57</v>
      </c>
      <c r="DF3" s="95" t="s">
        <v>57</v>
      </c>
      <c r="DG3" s="95" t="s">
        <v>67</v>
      </c>
      <c r="DH3" s="95" t="s">
        <v>57</v>
      </c>
      <c r="DI3" s="95" t="s">
        <v>57</v>
      </c>
      <c r="DJ3" s="95" t="s">
        <v>57</v>
      </c>
      <c r="DK3" s="95" t="s">
        <v>57</v>
      </c>
      <c r="DL3" s="95" t="s">
        <v>57</v>
      </c>
      <c r="DM3" s="95" t="s">
        <v>57</v>
      </c>
      <c r="DN3" s="95" t="s">
        <v>57</v>
      </c>
      <c r="DO3" s="95" t="s">
        <v>57</v>
      </c>
      <c r="DP3" s="95" t="s">
        <v>57</v>
      </c>
      <c r="DQ3" s="95" t="s">
        <v>57</v>
      </c>
      <c r="DR3" s="95" t="s">
        <v>57</v>
      </c>
      <c r="DS3" s="95" t="s">
        <v>68</v>
      </c>
      <c r="DT3" s="95" t="s">
        <v>57</v>
      </c>
      <c r="DU3" s="95" t="s">
        <v>57</v>
      </c>
      <c r="DV3" s="95" t="s">
        <v>57</v>
      </c>
      <c r="DW3" s="95" t="s">
        <v>57</v>
      </c>
      <c r="DX3" s="95" t="s">
        <v>57</v>
      </c>
      <c r="DY3" s="95" t="s">
        <v>57</v>
      </c>
      <c r="DZ3" s="95" t="s">
        <v>57</v>
      </c>
      <c r="EA3" s="95" t="s">
        <v>57</v>
      </c>
      <c r="EB3" s="95" t="s">
        <v>57</v>
      </c>
      <c r="EC3" s="95" t="s">
        <v>57</v>
      </c>
      <c r="ED3" s="95" t="s">
        <v>57</v>
      </c>
    </row>
    <row r="4" spans="1:134" s="2" customFormat="1" ht="30">
      <c r="A4" s="95" t="s">
        <v>57</v>
      </c>
      <c r="B4" s="95" t="s">
        <v>57</v>
      </c>
      <c r="C4" s="12" t="s">
        <v>41</v>
      </c>
      <c r="D4" s="12" t="s">
        <v>42</v>
      </c>
      <c r="E4" s="12" t="s">
        <v>43</v>
      </c>
      <c r="F4" s="12" t="s">
        <v>44</v>
      </c>
      <c r="G4" s="12" t="s">
        <v>45</v>
      </c>
      <c r="H4" s="12" t="s">
        <v>46</v>
      </c>
      <c r="I4" s="12" t="s">
        <v>47</v>
      </c>
      <c r="J4" s="12" t="s">
        <v>48</v>
      </c>
      <c r="K4" s="12" t="s">
        <v>49</v>
      </c>
      <c r="L4" s="12" t="s">
        <v>50</v>
      </c>
      <c r="M4" s="12" t="s">
        <v>51</v>
      </c>
      <c r="N4" s="12" t="s">
        <v>52</v>
      </c>
      <c r="O4" s="12" t="s">
        <v>41</v>
      </c>
      <c r="P4" s="12" t="s">
        <v>42</v>
      </c>
      <c r="Q4" s="12" t="s">
        <v>43</v>
      </c>
      <c r="R4" s="12" t="s">
        <v>44</v>
      </c>
      <c r="S4" s="12" t="s">
        <v>45</v>
      </c>
      <c r="T4" s="12" t="s">
        <v>46</v>
      </c>
      <c r="U4" s="12" t="s">
        <v>47</v>
      </c>
      <c r="V4" s="12" t="s">
        <v>48</v>
      </c>
      <c r="W4" s="12" t="s">
        <v>49</v>
      </c>
      <c r="X4" s="12" t="s">
        <v>50</v>
      </c>
      <c r="Y4" s="12" t="s">
        <v>51</v>
      </c>
      <c r="Z4" s="12" t="s">
        <v>52</v>
      </c>
      <c r="AA4" s="12" t="s">
        <v>41</v>
      </c>
      <c r="AB4" s="12" t="s">
        <v>42</v>
      </c>
      <c r="AC4" s="12" t="s">
        <v>43</v>
      </c>
      <c r="AD4" s="12" t="s">
        <v>44</v>
      </c>
      <c r="AE4" s="12" t="s">
        <v>45</v>
      </c>
      <c r="AF4" s="12" t="s">
        <v>46</v>
      </c>
      <c r="AG4" s="12" t="s">
        <v>47</v>
      </c>
      <c r="AH4" s="12" t="s">
        <v>48</v>
      </c>
      <c r="AI4" s="12" t="s">
        <v>49</v>
      </c>
      <c r="AJ4" s="12" t="s">
        <v>50</v>
      </c>
      <c r="AK4" s="12" t="s">
        <v>51</v>
      </c>
      <c r="AL4" s="12" t="s">
        <v>52</v>
      </c>
      <c r="AM4" s="12" t="s">
        <v>41</v>
      </c>
      <c r="AN4" s="12" t="s">
        <v>42</v>
      </c>
      <c r="AO4" s="12" t="s">
        <v>43</v>
      </c>
      <c r="AP4" s="12" t="s">
        <v>44</v>
      </c>
      <c r="AQ4" s="12" t="s">
        <v>45</v>
      </c>
      <c r="AR4" s="12" t="s">
        <v>46</v>
      </c>
      <c r="AS4" s="12" t="s">
        <v>47</v>
      </c>
      <c r="AT4" s="12" t="s">
        <v>48</v>
      </c>
      <c r="AU4" s="12" t="s">
        <v>49</v>
      </c>
      <c r="AV4" s="12" t="s">
        <v>50</v>
      </c>
      <c r="AW4" s="12" t="s">
        <v>51</v>
      </c>
      <c r="AX4" s="12" t="s">
        <v>52</v>
      </c>
      <c r="AY4" s="12" t="s">
        <v>41</v>
      </c>
      <c r="AZ4" s="12" t="s">
        <v>42</v>
      </c>
      <c r="BA4" s="12" t="s">
        <v>43</v>
      </c>
      <c r="BB4" s="12" t="s">
        <v>44</v>
      </c>
      <c r="BC4" s="12" t="s">
        <v>45</v>
      </c>
      <c r="BD4" s="12" t="s">
        <v>46</v>
      </c>
      <c r="BE4" s="12" t="s">
        <v>47</v>
      </c>
      <c r="BF4" s="12" t="s">
        <v>48</v>
      </c>
      <c r="BG4" s="12" t="s">
        <v>49</v>
      </c>
      <c r="BH4" s="12" t="s">
        <v>50</v>
      </c>
      <c r="BI4" s="12" t="s">
        <v>51</v>
      </c>
      <c r="BJ4" s="12" t="s">
        <v>52</v>
      </c>
      <c r="BK4" s="12" t="s">
        <v>41</v>
      </c>
      <c r="BL4" s="12" t="s">
        <v>42</v>
      </c>
      <c r="BM4" s="12" t="s">
        <v>43</v>
      </c>
      <c r="BN4" s="12" t="s">
        <v>44</v>
      </c>
      <c r="BO4" s="12" t="s">
        <v>45</v>
      </c>
      <c r="BP4" s="12" t="s">
        <v>46</v>
      </c>
      <c r="BQ4" s="12" t="s">
        <v>47</v>
      </c>
      <c r="BR4" s="12" t="s">
        <v>48</v>
      </c>
      <c r="BS4" s="12" t="s">
        <v>49</v>
      </c>
      <c r="BT4" s="12" t="s">
        <v>50</v>
      </c>
      <c r="BU4" s="12" t="s">
        <v>51</v>
      </c>
      <c r="BV4" s="12" t="s">
        <v>52</v>
      </c>
      <c r="BW4" s="12" t="s">
        <v>41</v>
      </c>
      <c r="BX4" s="12" t="s">
        <v>42</v>
      </c>
      <c r="BY4" s="12" t="s">
        <v>43</v>
      </c>
      <c r="BZ4" s="12" t="s">
        <v>44</v>
      </c>
      <c r="CA4" s="12" t="s">
        <v>45</v>
      </c>
      <c r="CB4" s="12" t="s">
        <v>46</v>
      </c>
      <c r="CC4" s="12" t="s">
        <v>47</v>
      </c>
      <c r="CD4" s="12" t="s">
        <v>48</v>
      </c>
      <c r="CE4" s="12" t="s">
        <v>49</v>
      </c>
      <c r="CF4" s="12" t="s">
        <v>50</v>
      </c>
      <c r="CG4" s="12" t="s">
        <v>51</v>
      </c>
      <c r="CH4" s="12" t="s">
        <v>52</v>
      </c>
      <c r="CI4" s="12" t="s">
        <v>41</v>
      </c>
      <c r="CJ4" s="12" t="s">
        <v>42</v>
      </c>
      <c r="CK4" s="12" t="s">
        <v>43</v>
      </c>
      <c r="CL4" s="12" t="s">
        <v>44</v>
      </c>
      <c r="CM4" s="12" t="s">
        <v>45</v>
      </c>
      <c r="CN4" s="12" t="s">
        <v>46</v>
      </c>
      <c r="CO4" s="12" t="s">
        <v>47</v>
      </c>
      <c r="CP4" s="12" t="s">
        <v>48</v>
      </c>
      <c r="CQ4" s="12" t="s">
        <v>49</v>
      </c>
      <c r="CR4" s="12" t="s">
        <v>50</v>
      </c>
      <c r="CS4" s="12" t="s">
        <v>51</v>
      </c>
      <c r="CT4" s="12" t="s">
        <v>52</v>
      </c>
      <c r="CU4" s="12" t="s">
        <v>41</v>
      </c>
      <c r="CV4" s="12" t="s">
        <v>42</v>
      </c>
      <c r="CW4" s="12" t="s">
        <v>43</v>
      </c>
      <c r="CX4" s="12" t="s">
        <v>44</v>
      </c>
      <c r="CY4" s="12" t="s">
        <v>45</v>
      </c>
      <c r="CZ4" s="12" t="s">
        <v>46</v>
      </c>
      <c r="DA4" s="12" t="s">
        <v>47</v>
      </c>
      <c r="DB4" s="12" t="s">
        <v>48</v>
      </c>
      <c r="DC4" s="12" t="s">
        <v>49</v>
      </c>
      <c r="DD4" s="12" t="s">
        <v>50</v>
      </c>
      <c r="DE4" s="12" t="s">
        <v>51</v>
      </c>
      <c r="DF4" s="12" t="s">
        <v>52</v>
      </c>
      <c r="DG4" s="12" t="s">
        <v>41</v>
      </c>
      <c r="DH4" s="12" t="s">
        <v>42</v>
      </c>
      <c r="DI4" s="12" t="s">
        <v>43</v>
      </c>
      <c r="DJ4" s="12" t="s">
        <v>44</v>
      </c>
      <c r="DK4" s="12" t="s">
        <v>45</v>
      </c>
      <c r="DL4" s="12" t="s">
        <v>46</v>
      </c>
      <c r="DM4" s="12" t="s">
        <v>47</v>
      </c>
      <c r="DN4" s="12" t="s">
        <v>48</v>
      </c>
      <c r="DO4" s="12" t="s">
        <v>49</v>
      </c>
      <c r="DP4" s="12" t="s">
        <v>50</v>
      </c>
      <c r="DQ4" s="12" t="s">
        <v>51</v>
      </c>
      <c r="DR4" s="12" t="s">
        <v>52</v>
      </c>
      <c r="DS4" s="12" t="s">
        <v>41</v>
      </c>
      <c r="DT4" s="12" t="s">
        <v>42</v>
      </c>
      <c r="DU4" s="12" t="s">
        <v>43</v>
      </c>
      <c r="DV4" s="12" t="s">
        <v>44</v>
      </c>
      <c r="DW4" s="12" t="s">
        <v>45</v>
      </c>
      <c r="DX4" s="12" t="s">
        <v>46</v>
      </c>
      <c r="DY4" s="12" t="s">
        <v>47</v>
      </c>
      <c r="DZ4" s="12" t="s">
        <v>48</v>
      </c>
      <c r="EA4" s="12" t="s">
        <v>49</v>
      </c>
      <c r="EB4" s="12" t="s">
        <v>50</v>
      </c>
      <c r="EC4" s="12" t="s">
        <v>51</v>
      </c>
      <c r="ED4" s="12" t="s">
        <v>52</v>
      </c>
    </row>
    <row r="5" spans="1:134" s="2" customFormat="1" ht="30">
      <c r="A5" s="12" t="s">
        <v>70</v>
      </c>
      <c r="B5" s="12" t="s">
        <v>71</v>
      </c>
      <c r="C5" s="18">
        <v>2048899.9</v>
      </c>
      <c r="D5" s="18">
        <v>2022891.9</v>
      </c>
      <c r="E5" s="18">
        <v>2194790.7000000002</v>
      </c>
      <c r="F5" s="18">
        <v>2157251.7000000002</v>
      </c>
      <c r="G5" s="18">
        <v>2212055.9</v>
      </c>
      <c r="H5" s="18">
        <v>2221674.4</v>
      </c>
      <c r="I5" s="18">
        <v>2299377.7999999998</v>
      </c>
      <c r="J5" s="18">
        <v>2374910.1</v>
      </c>
      <c r="K5" s="18">
        <v>2321027.9</v>
      </c>
      <c r="L5" s="18">
        <v>2383991.5</v>
      </c>
      <c r="M5" s="18">
        <v>2385591.9</v>
      </c>
      <c r="N5" s="18">
        <v>2896368.5</v>
      </c>
      <c r="O5" s="18">
        <v>2129100.1</v>
      </c>
      <c r="P5" s="18">
        <v>2119230.5</v>
      </c>
      <c r="Q5" s="19">
        <v>2246596</v>
      </c>
      <c r="R5" s="18">
        <v>2221632.7000000002</v>
      </c>
      <c r="S5" s="18">
        <v>2256633.9</v>
      </c>
      <c r="T5" s="19">
        <v>2282371</v>
      </c>
      <c r="U5" s="18">
        <v>2339313.1</v>
      </c>
      <c r="V5" s="18">
        <v>2476400.7999999998</v>
      </c>
      <c r="W5" s="18">
        <v>2406808.6</v>
      </c>
      <c r="X5" s="18">
        <v>2432088.4</v>
      </c>
      <c r="Y5" s="18">
        <v>2423856.5</v>
      </c>
      <c r="Z5" s="18">
        <v>2906853.3</v>
      </c>
      <c r="AA5" s="18">
        <v>2215056.2000000002</v>
      </c>
      <c r="AB5" s="18">
        <v>2176698.9</v>
      </c>
      <c r="AC5" s="18">
        <v>2361375.7000000002</v>
      </c>
      <c r="AD5" s="18">
        <v>2336913.2999999998</v>
      </c>
      <c r="AE5" s="18">
        <v>2386422.7000000002</v>
      </c>
      <c r="AF5" s="18">
        <v>2421476.2000000002</v>
      </c>
      <c r="AG5" s="18">
        <v>2498442.7000000002</v>
      </c>
      <c r="AH5" s="18">
        <v>2574108.6</v>
      </c>
      <c r="AI5" s="18">
        <v>2558442.1</v>
      </c>
      <c r="AJ5" s="18">
        <v>2582553.7000000002</v>
      </c>
      <c r="AK5" s="18">
        <v>2559744.5</v>
      </c>
      <c r="AL5" s="18">
        <v>3074300.9</v>
      </c>
      <c r="AM5" s="18">
        <v>2330355.5</v>
      </c>
      <c r="AN5" s="18">
        <v>2271805.6</v>
      </c>
      <c r="AO5" s="18">
        <v>2486381.1</v>
      </c>
      <c r="AP5" s="19">
        <v>2468631</v>
      </c>
      <c r="AQ5" s="18">
        <v>2522567.1</v>
      </c>
      <c r="AR5" s="18">
        <v>2573304.2000000002</v>
      </c>
      <c r="AS5" s="18">
        <v>2643918.5</v>
      </c>
      <c r="AT5" s="18">
        <v>2743964.3</v>
      </c>
      <c r="AU5" s="18">
        <v>2719146.8</v>
      </c>
      <c r="AV5" s="18">
        <v>2744879.7</v>
      </c>
      <c r="AW5" s="18">
        <v>2762866.6</v>
      </c>
      <c r="AX5" s="18">
        <v>3311551.4</v>
      </c>
      <c r="AY5" s="18">
        <v>2507466.7999999998</v>
      </c>
      <c r="AZ5" s="18">
        <v>2454583.2000000002</v>
      </c>
      <c r="BA5" s="18">
        <v>2690389.6</v>
      </c>
      <c r="BB5" s="18">
        <v>2656930.9</v>
      </c>
      <c r="BC5" s="18">
        <v>2703164.6</v>
      </c>
      <c r="BD5" s="19">
        <v>2741052</v>
      </c>
      <c r="BE5" s="18">
        <v>2807028.2</v>
      </c>
      <c r="BF5" s="18">
        <v>2897451.3</v>
      </c>
      <c r="BG5" s="19">
        <v>2856200</v>
      </c>
      <c r="BH5" s="18">
        <v>2904566.6</v>
      </c>
      <c r="BI5" s="18">
        <v>2932544.2</v>
      </c>
      <c r="BJ5" s="18">
        <v>3472925.9</v>
      </c>
      <c r="BK5" s="18">
        <v>2642507.2999999998</v>
      </c>
      <c r="BL5" s="18">
        <v>2632937.6</v>
      </c>
      <c r="BM5" s="18">
        <v>2953137.2</v>
      </c>
      <c r="BN5" s="18">
        <v>2144419.7999999998</v>
      </c>
      <c r="BO5" s="18">
        <v>2307020.7999999998</v>
      </c>
      <c r="BP5" s="18">
        <v>2671620.7999999998</v>
      </c>
      <c r="BQ5" s="18">
        <v>2906007.2</v>
      </c>
      <c r="BR5" s="18">
        <v>3001317.6</v>
      </c>
      <c r="BS5" s="18">
        <v>2953212.2</v>
      </c>
      <c r="BT5" s="18">
        <v>3038697.9</v>
      </c>
      <c r="BU5" s="18">
        <v>3021124.4</v>
      </c>
      <c r="BV5" s="18">
        <v>3601657.4</v>
      </c>
      <c r="BW5" s="18">
        <v>2842310.5</v>
      </c>
      <c r="BX5" s="18">
        <v>2797184.5</v>
      </c>
      <c r="BY5" s="18">
        <v>3084754.7</v>
      </c>
      <c r="BZ5" s="18">
        <v>3118289.1</v>
      </c>
      <c r="CA5" s="18">
        <v>3169553.7</v>
      </c>
      <c r="CB5" s="19">
        <v>3206696</v>
      </c>
      <c r="CC5" s="18">
        <v>3310303.7</v>
      </c>
      <c r="CD5" s="18">
        <v>3437156.4</v>
      </c>
      <c r="CE5" s="18">
        <v>3413627.6</v>
      </c>
      <c r="CF5" s="18">
        <v>3483555.5</v>
      </c>
      <c r="CG5" s="18">
        <v>3432761.3</v>
      </c>
      <c r="CH5" s="18">
        <v>4175824.6</v>
      </c>
      <c r="CI5" s="18">
        <v>3266307.2</v>
      </c>
      <c r="CJ5" s="18">
        <v>3300032.7</v>
      </c>
      <c r="CK5" s="19">
        <v>3774587</v>
      </c>
      <c r="CL5" s="18">
        <v>3389109.4</v>
      </c>
      <c r="CM5" s="18">
        <v>3426331.3</v>
      </c>
      <c r="CN5" s="18">
        <v>3439993.7</v>
      </c>
      <c r="CO5" s="18">
        <v>3524268.8</v>
      </c>
      <c r="CP5" s="18">
        <v>3611473.9</v>
      </c>
      <c r="CQ5" s="18">
        <v>3501178.3</v>
      </c>
      <c r="CR5" s="18">
        <v>3561461.6</v>
      </c>
      <c r="CS5" s="18">
        <v>3577198.1</v>
      </c>
      <c r="CT5" s="18">
        <v>4205073.9000000004</v>
      </c>
      <c r="CU5" s="18">
        <v>3443616.7</v>
      </c>
      <c r="CV5" s="18">
        <v>3405860.1</v>
      </c>
      <c r="CW5" s="18">
        <v>3726600.5</v>
      </c>
      <c r="CX5" s="18">
        <v>3732781.2</v>
      </c>
      <c r="CY5" s="18">
        <v>3837240.8</v>
      </c>
      <c r="CZ5" s="18">
        <v>3936149.2</v>
      </c>
      <c r="DA5" s="18">
        <v>4119000.3</v>
      </c>
      <c r="DB5" s="18">
        <v>4297149.2</v>
      </c>
      <c r="DC5" s="18">
        <v>4188795.2</v>
      </c>
      <c r="DD5" s="18">
        <v>4286236.7</v>
      </c>
      <c r="DE5" s="18">
        <v>4208689.8</v>
      </c>
      <c r="DF5" s="18">
        <v>4973602.7</v>
      </c>
      <c r="DG5" s="18">
        <v>4034140.5</v>
      </c>
      <c r="DH5" s="18">
        <v>4123737.9</v>
      </c>
      <c r="DI5" s="18">
        <v>4485582.2</v>
      </c>
      <c r="DJ5" s="18">
        <v>4391247.3</v>
      </c>
      <c r="DK5" s="18">
        <v>4507423.5</v>
      </c>
      <c r="DL5" s="18">
        <v>4571320.4000000004</v>
      </c>
      <c r="DM5" s="18">
        <v>4760348.2</v>
      </c>
      <c r="DN5" s="18">
        <v>4887872.0999999996</v>
      </c>
      <c r="DO5" s="19">
        <v>4777944</v>
      </c>
      <c r="DP5" s="19">
        <v>4810549</v>
      </c>
      <c r="DQ5" s="19">
        <v>4789679</v>
      </c>
      <c r="DR5" s="18">
        <v>5651579.2000000002</v>
      </c>
      <c r="DS5" s="18">
        <v>4572910.4000000004</v>
      </c>
      <c r="DT5" s="18">
        <v>4555678.9000000004</v>
      </c>
      <c r="DU5" s="18">
        <v>4941157.9000000004</v>
      </c>
      <c r="DV5" s="18">
        <v>4858427.3</v>
      </c>
      <c r="DW5" s="19">
        <v>4964502</v>
      </c>
      <c r="DX5" s="18">
        <v>4987303.5999999996</v>
      </c>
      <c r="DY5" s="18">
        <v>5197609.5</v>
      </c>
      <c r="DZ5" s="18">
        <v>5354107.7</v>
      </c>
      <c r="EA5" s="18">
        <v>5172814.2</v>
      </c>
      <c r="EB5" s="18">
        <v>5359979.7</v>
      </c>
      <c r="EC5" s="18">
        <v>5217237.5</v>
      </c>
      <c r="ED5" s="18">
        <v>6133247.7999999998</v>
      </c>
    </row>
    <row r="6" spans="1:134" s="2" customFormat="1" ht="14"/>
  </sheetData>
  <mergeCells count="13">
    <mergeCell ref="C3:N3"/>
    <mergeCell ref="A1:B1"/>
    <mergeCell ref="A3:B4"/>
    <mergeCell ref="CI3:CT3"/>
    <mergeCell ref="CU3:DF3"/>
    <mergeCell ref="DG3:DR3"/>
    <mergeCell ref="DS3:ED3"/>
    <mergeCell ref="O3:Z3"/>
    <mergeCell ref="AA3:AL3"/>
    <mergeCell ref="AM3:AX3"/>
    <mergeCell ref="AY3:BJ3"/>
    <mergeCell ref="BK3:BV3"/>
    <mergeCell ref="BW3:C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4F50-422E-E449-9393-0F66C2DEFA29}">
  <dimension ref="A1:EE31"/>
  <sheetViews>
    <sheetView zoomScale="150" zoomScaleNormal="100" workbookViewId="0">
      <selection activeCell="D10" sqref="D10:EE10"/>
    </sheetView>
  </sheetViews>
  <sheetFormatPr baseColWidth="10" defaultRowHeight="16"/>
  <cols>
    <col min="1" max="1" width="14" customWidth="1"/>
  </cols>
  <sheetData>
    <row r="1" spans="1:135" s="2" customFormat="1" ht="12.75" customHeight="1">
      <c r="A1" s="11" t="s">
        <v>72</v>
      </c>
      <c r="H1" s="2" t="s">
        <v>203</v>
      </c>
    </row>
    <row r="2" spans="1:135" s="2" customFormat="1" ht="12.75" customHeight="1">
      <c r="A2" s="2" t="s">
        <v>57</v>
      </c>
    </row>
    <row r="3" spans="1:135" s="2" customFormat="1" ht="13" customHeight="1">
      <c r="A3" s="95" t="s">
        <v>57</v>
      </c>
      <c r="B3" s="95" t="s">
        <v>57</v>
      </c>
      <c r="C3">
        <v>2014</v>
      </c>
      <c r="D3" s="95" t="s">
        <v>58</v>
      </c>
      <c r="E3" s="95" t="s">
        <v>57</v>
      </c>
      <c r="F3" s="95" t="s">
        <v>57</v>
      </c>
      <c r="G3" s="95" t="s">
        <v>57</v>
      </c>
      <c r="H3" s="95" t="s">
        <v>57</v>
      </c>
      <c r="I3" s="95" t="s">
        <v>57</v>
      </c>
      <c r="J3" s="95" t="s">
        <v>57</v>
      </c>
      <c r="K3" s="95" t="s">
        <v>57</v>
      </c>
      <c r="L3" s="95" t="s">
        <v>57</v>
      </c>
      <c r="M3" s="95" t="s">
        <v>57</v>
      </c>
      <c r="N3" s="95" t="s">
        <v>57</v>
      </c>
      <c r="O3" s="95" t="s">
        <v>57</v>
      </c>
      <c r="P3" s="95" t="s">
        <v>59</v>
      </c>
      <c r="Q3" s="95" t="s">
        <v>57</v>
      </c>
      <c r="R3" s="95" t="s">
        <v>57</v>
      </c>
      <c r="S3" s="95" t="s">
        <v>57</v>
      </c>
      <c r="T3" s="95" t="s">
        <v>57</v>
      </c>
      <c r="U3" s="95" t="s">
        <v>57</v>
      </c>
      <c r="V3" s="95" t="s">
        <v>57</v>
      </c>
      <c r="W3" s="95" t="s">
        <v>57</v>
      </c>
      <c r="X3" s="95" t="s">
        <v>57</v>
      </c>
      <c r="Y3" s="95" t="s">
        <v>57</v>
      </c>
      <c r="Z3" s="95" t="s">
        <v>57</v>
      </c>
      <c r="AA3" s="95" t="s">
        <v>57</v>
      </c>
      <c r="AB3" s="95">
        <v>2017</v>
      </c>
      <c r="AC3" s="95" t="s">
        <v>57</v>
      </c>
      <c r="AD3" s="95" t="s">
        <v>57</v>
      </c>
      <c r="AE3" s="95" t="s">
        <v>57</v>
      </c>
      <c r="AF3" s="95" t="s">
        <v>57</v>
      </c>
      <c r="AG3" s="95" t="s">
        <v>57</v>
      </c>
      <c r="AH3" s="95" t="s">
        <v>57</v>
      </c>
      <c r="AI3" s="95" t="s">
        <v>57</v>
      </c>
      <c r="AJ3" s="95" t="s">
        <v>57</v>
      </c>
      <c r="AK3" s="95" t="s">
        <v>57</v>
      </c>
      <c r="AL3" s="95" t="s">
        <v>57</v>
      </c>
      <c r="AM3" s="95" t="s">
        <v>57</v>
      </c>
      <c r="AN3" s="101">
        <v>2018</v>
      </c>
      <c r="AO3" s="99"/>
      <c r="AP3" s="99"/>
      <c r="AQ3" s="99"/>
      <c r="AR3" s="99"/>
      <c r="AS3" s="99"/>
      <c r="AT3" s="99"/>
      <c r="AU3" s="99"/>
      <c r="AV3" s="99"/>
      <c r="AW3" s="99"/>
      <c r="AX3" s="99"/>
      <c r="AY3" s="100"/>
      <c r="AZ3" s="98">
        <v>2019</v>
      </c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100"/>
      <c r="BL3" s="98">
        <v>2020</v>
      </c>
      <c r="BM3" s="99"/>
      <c r="BN3" s="99"/>
      <c r="BO3" s="99"/>
      <c r="BP3" s="99"/>
      <c r="BQ3" s="99"/>
      <c r="BR3" s="99"/>
      <c r="BS3" s="99"/>
      <c r="BT3" s="99"/>
      <c r="BU3" s="99"/>
      <c r="BV3" s="99"/>
      <c r="BW3" s="100"/>
      <c r="BX3" s="98">
        <v>2021</v>
      </c>
      <c r="BY3" s="99"/>
      <c r="BZ3" s="99"/>
      <c r="CA3" s="99"/>
      <c r="CB3" s="99"/>
      <c r="CC3" s="99"/>
      <c r="CD3" s="99"/>
      <c r="CE3" s="99"/>
      <c r="CF3" s="99"/>
      <c r="CG3" s="99"/>
      <c r="CH3" s="99"/>
      <c r="CI3" s="100"/>
      <c r="CJ3" s="98">
        <v>2022</v>
      </c>
      <c r="CK3" s="99"/>
      <c r="CL3" s="99"/>
      <c r="CM3" s="99"/>
      <c r="CN3" s="99"/>
      <c r="CO3" s="99"/>
      <c r="CP3" s="99"/>
      <c r="CQ3" s="99"/>
      <c r="CR3" s="99"/>
      <c r="CS3" s="99"/>
      <c r="CT3" s="99"/>
      <c r="CU3" s="100"/>
      <c r="CV3" s="98">
        <v>2023</v>
      </c>
      <c r="CW3" s="99"/>
      <c r="CX3" s="99"/>
      <c r="CY3" s="99"/>
      <c r="CZ3" s="99"/>
      <c r="DA3" s="99"/>
      <c r="DB3" s="99"/>
      <c r="DC3" s="99"/>
      <c r="DD3" s="99"/>
      <c r="DE3" s="99"/>
      <c r="DF3" s="99"/>
      <c r="DG3" s="100"/>
      <c r="DH3" s="98">
        <v>2024</v>
      </c>
      <c r="DI3" s="99"/>
      <c r="DJ3" s="99"/>
      <c r="DK3" s="99"/>
      <c r="DL3" s="99"/>
      <c r="DM3" s="99"/>
      <c r="DN3" s="99"/>
      <c r="DO3" s="99"/>
      <c r="DP3" s="99"/>
      <c r="DQ3" s="99"/>
      <c r="DR3" s="99"/>
      <c r="DS3" s="100"/>
      <c r="DT3" s="98">
        <v>2025</v>
      </c>
      <c r="DU3" s="99"/>
      <c r="DV3" s="99"/>
      <c r="DW3" s="99"/>
      <c r="DX3" s="99"/>
      <c r="DY3" s="99"/>
      <c r="DZ3" s="99"/>
      <c r="EA3" s="99"/>
      <c r="EB3" s="99"/>
      <c r="EC3" s="99"/>
      <c r="ED3" s="99"/>
      <c r="EE3" s="100"/>
    </row>
    <row r="4" spans="1:135" s="2" customFormat="1" ht="12.75" customHeight="1">
      <c r="A4" s="95" t="s">
        <v>57</v>
      </c>
      <c r="B4" s="95" t="s">
        <v>57</v>
      </c>
      <c r="C4" s="58" t="s">
        <v>52</v>
      </c>
      <c r="D4" s="12" t="s">
        <v>41</v>
      </c>
      <c r="E4" s="12" t="s">
        <v>42</v>
      </c>
      <c r="F4" s="12" t="s">
        <v>43</v>
      </c>
      <c r="G4" s="12" t="s">
        <v>44</v>
      </c>
      <c r="H4" s="12" t="s">
        <v>45</v>
      </c>
      <c r="I4" s="12" t="s">
        <v>46</v>
      </c>
      <c r="J4" s="12" t="s">
        <v>47</v>
      </c>
      <c r="K4" s="12" t="s">
        <v>48</v>
      </c>
      <c r="L4" s="12" t="s">
        <v>49</v>
      </c>
      <c r="M4" s="12" t="s">
        <v>50</v>
      </c>
      <c r="N4" s="12" t="s">
        <v>51</v>
      </c>
      <c r="O4" s="12" t="s">
        <v>52</v>
      </c>
      <c r="P4" s="12" t="s">
        <v>41</v>
      </c>
      <c r="Q4" s="12" t="s">
        <v>42</v>
      </c>
      <c r="R4" s="12" t="s">
        <v>43</v>
      </c>
      <c r="S4" s="12" t="s">
        <v>44</v>
      </c>
      <c r="T4" s="12" t="s">
        <v>45</v>
      </c>
      <c r="U4" s="12" t="s">
        <v>46</v>
      </c>
      <c r="V4" s="12" t="s">
        <v>47</v>
      </c>
      <c r="W4" s="12" t="s">
        <v>48</v>
      </c>
      <c r="X4" s="12" t="s">
        <v>49</v>
      </c>
      <c r="Y4" s="12" t="s">
        <v>50</v>
      </c>
      <c r="Z4" s="12" t="s">
        <v>51</v>
      </c>
      <c r="AA4" s="12" t="s">
        <v>52</v>
      </c>
      <c r="AB4" s="12" t="s">
        <v>41</v>
      </c>
      <c r="AC4" s="12" t="s">
        <v>42</v>
      </c>
      <c r="AD4" s="12" t="s">
        <v>43</v>
      </c>
      <c r="AE4" s="12" t="s">
        <v>44</v>
      </c>
      <c r="AF4" s="12" t="s">
        <v>45</v>
      </c>
      <c r="AG4" s="12" t="s">
        <v>46</v>
      </c>
      <c r="AH4" s="12" t="s">
        <v>47</v>
      </c>
      <c r="AI4" s="12" t="s">
        <v>48</v>
      </c>
      <c r="AJ4" s="12" t="s">
        <v>49</v>
      </c>
      <c r="AK4" s="12" t="s">
        <v>50</v>
      </c>
      <c r="AL4" s="12" t="s">
        <v>51</v>
      </c>
      <c r="AM4" s="12" t="s">
        <v>52</v>
      </c>
      <c r="AN4" s="13" t="s">
        <v>41</v>
      </c>
      <c r="AO4" s="14" t="s">
        <v>42</v>
      </c>
      <c r="AP4" s="14" t="s">
        <v>43</v>
      </c>
      <c r="AQ4" s="14" t="s">
        <v>44</v>
      </c>
      <c r="AR4" s="14" t="s">
        <v>45</v>
      </c>
      <c r="AS4" s="14" t="s">
        <v>46</v>
      </c>
      <c r="AT4" s="14" t="s">
        <v>47</v>
      </c>
      <c r="AU4" s="14" t="s">
        <v>48</v>
      </c>
      <c r="AV4" s="14" t="s">
        <v>49</v>
      </c>
      <c r="AW4" s="14" t="s">
        <v>50</v>
      </c>
      <c r="AX4" s="14" t="s">
        <v>51</v>
      </c>
      <c r="AY4" s="14" t="s">
        <v>52</v>
      </c>
      <c r="AZ4" s="13" t="s">
        <v>41</v>
      </c>
      <c r="BA4" s="14" t="s">
        <v>42</v>
      </c>
      <c r="BB4" s="14" t="s">
        <v>43</v>
      </c>
      <c r="BC4" s="14" t="s">
        <v>44</v>
      </c>
      <c r="BD4" s="14" t="s">
        <v>45</v>
      </c>
      <c r="BE4" s="14" t="s">
        <v>46</v>
      </c>
      <c r="BF4" s="14" t="s">
        <v>47</v>
      </c>
      <c r="BG4" s="14" t="s">
        <v>48</v>
      </c>
      <c r="BH4" s="14" t="s">
        <v>49</v>
      </c>
      <c r="BI4" s="14" t="s">
        <v>50</v>
      </c>
      <c r="BJ4" s="14" t="s">
        <v>51</v>
      </c>
      <c r="BK4" s="14" t="s">
        <v>52</v>
      </c>
      <c r="BL4" s="13" t="s">
        <v>41</v>
      </c>
      <c r="BM4" s="14" t="s">
        <v>42</v>
      </c>
      <c r="BN4" s="14" t="s">
        <v>43</v>
      </c>
      <c r="BO4" s="14" t="s">
        <v>44</v>
      </c>
      <c r="BP4" s="14" t="s">
        <v>45</v>
      </c>
      <c r="BQ4" s="14" t="s">
        <v>46</v>
      </c>
      <c r="BR4" s="14" t="s">
        <v>47</v>
      </c>
      <c r="BS4" s="14" t="s">
        <v>48</v>
      </c>
      <c r="BT4" s="14" t="s">
        <v>49</v>
      </c>
      <c r="BU4" s="14" t="s">
        <v>50</v>
      </c>
      <c r="BV4" s="14" t="s">
        <v>51</v>
      </c>
      <c r="BW4" s="14" t="s">
        <v>52</v>
      </c>
      <c r="BX4" s="13" t="s">
        <v>41</v>
      </c>
      <c r="BY4" s="14" t="s">
        <v>42</v>
      </c>
      <c r="BZ4" s="14" t="s">
        <v>43</v>
      </c>
      <c r="CA4" s="14" t="s">
        <v>44</v>
      </c>
      <c r="CB4" s="14" t="s">
        <v>45</v>
      </c>
      <c r="CC4" s="14" t="s">
        <v>46</v>
      </c>
      <c r="CD4" s="14" t="s">
        <v>47</v>
      </c>
      <c r="CE4" s="14" t="s">
        <v>48</v>
      </c>
      <c r="CF4" s="14" t="s">
        <v>49</v>
      </c>
      <c r="CG4" s="14" t="s">
        <v>50</v>
      </c>
      <c r="CH4" s="14" t="s">
        <v>51</v>
      </c>
      <c r="CI4" s="14" t="s">
        <v>52</v>
      </c>
      <c r="CJ4" s="13" t="s">
        <v>41</v>
      </c>
      <c r="CK4" s="14" t="s">
        <v>42</v>
      </c>
      <c r="CL4" s="14" t="s">
        <v>43</v>
      </c>
      <c r="CM4" s="14" t="s">
        <v>44</v>
      </c>
      <c r="CN4" s="14" t="s">
        <v>45</v>
      </c>
      <c r="CO4" s="14" t="s">
        <v>46</v>
      </c>
      <c r="CP4" s="14" t="s">
        <v>47</v>
      </c>
      <c r="CQ4" s="14" t="s">
        <v>48</v>
      </c>
      <c r="CR4" s="14" t="s">
        <v>49</v>
      </c>
      <c r="CS4" s="14" t="s">
        <v>50</v>
      </c>
      <c r="CT4" s="14" t="s">
        <v>51</v>
      </c>
      <c r="CU4" s="14" t="s">
        <v>52</v>
      </c>
      <c r="CV4" s="13" t="s">
        <v>41</v>
      </c>
      <c r="CW4" s="14" t="s">
        <v>42</v>
      </c>
      <c r="CX4" s="14" t="s">
        <v>43</v>
      </c>
      <c r="CY4" s="14" t="s">
        <v>44</v>
      </c>
      <c r="CZ4" s="14" t="s">
        <v>45</v>
      </c>
      <c r="DA4" s="14" t="s">
        <v>46</v>
      </c>
      <c r="DB4" s="14" t="s">
        <v>47</v>
      </c>
      <c r="DC4" s="14" t="s">
        <v>48</v>
      </c>
      <c r="DD4" s="14" t="s">
        <v>49</v>
      </c>
      <c r="DE4" s="14" t="s">
        <v>50</v>
      </c>
      <c r="DF4" s="14" t="s">
        <v>51</v>
      </c>
      <c r="DG4" s="14" t="s">
        <v>52</v>
      </c>
      <c r="DH4" s="13" t="s">
        <v>41</v>
      </c>
      <c r="DI4" s="14" t="s">
        <v>42</v>
      </c>
      <c r="DJ4" s="14" t="s">
        <v>43</v>
      </c>
      <c r="DK4" s="14" t="s">
        <v>44</v>
      </c>
      <c r="DL4" s="14" t="s">
        <v>45</v>
      </c>
      <c r="DM4" s="14" t="s">
        <v>46</v>
      </c>
      <c r="DN4" s="14" t="s">
        <v>47</v>
      </c>
      <c r="DO4" s="14" t="s">
        <v>48</v>
      </c>
      <c r="DP4" s="14" t="s">
        <v>49</v>
      </c>
      <c r="DQ4" s="14" t="s">
        <v>50</v>
      </c>
      <c r="DR4" s="14" t="s">
        <v>51</v>
      </c>
      <c r="DS4" s="14" t="s">
        <v>52</v>
      </c>
      <c r="DT4" s="13" t="s">
        <v>41</v>
      </c>
      <c r="DU4" s="14" t="s">
        <v>42</v>
      </c>
      <c r="DV4" s="14" t="s">
        <v>43</v>
      </c>
      <c r="DW4" s="14" t="s">
        <v>44</v>
      </c>
      <c r="DX4" s="14" t="s">
        <v>45</v>
      </c>
      <c r="DY4" s="14" t="s">
        <v>46</v>
      </c>
      <c r="DZ4" s="14" t="s">
        <v>47</v>
      </c>
      <c r="EA4" s="14" t="s">
        <v>48</v>
      </c>
      <c r="EB4" s="14" t="s">
        <v>49</v>
      </c>
      <c r="EC4" s="14" t="s">
        <v>50</v>
      </c>
      <c r="ED4" s="14" t="s">
        <v>51</v>
      </c>
      <c r="EE4" s="14" t="s">
        <v>52</v>
      </c>
    </row>
    <row r="5" spans="1:135" s="2" customFormat="1" ht="30">
      <c r="A5" s="12" t="s">
        <v>71</v>
      </c>
      <c r="B5" s="12" t="s">
        <v>70</v>
      </c>
      <c r="C5" s="59">
        <v>42135.7</v>
      </c>
      <c r="D5" s="18">
        <v>30924.400000000001</v>
      </c>
      <c r="E5" s="18">
        <v>31320.400000000001</v>
      </c>
      <c r="F5" s="18">
        <v>32642.2</v>
      </c>
      <c r="G5" s="18">
        <v>34377.300000000003</v>
      </c>
      <c r="H5" s="18">
        <v>34380.400000000001</v>
      </c>
      <c r="I5" s="18">
        <v>35394.5</v>
      </c>
      <c r="J5" s="18">
        <v>33900.6</v>
      </c>
      <c r="K5" s="18">
        <v>32175.8</v>
      </c>
      <c r="L5" s="19">
        <v>32911</v>
      </c>
      <c r="M5" s="19">
        <v>33357</v>
      </c>
      <c r="N5" s="18">
        <v>33346.800000000003</v>
      </c>
      <c r="O5" s="18">
        <v>43407.7</v>
      </c>
      <c r="P5" s="18">
        <v>32659.599999999999</v>
      </c>
      <c r="Q5" s="18">
        <v>33873.4</v>
      </c>
      <c r="R5" s="18">
        <v>35500.6</v>
      </c>
      <c r="S5" s="18">
        <v>36497.4</v>
      </c>
      <c r="T5" s="18">
        <v>37269.800000000003</v>
      </c>
      <c r="U5" s="18">
        <v>38447.4</v>
      </c>
      <c r="V5" s="18">
        <v>35887.800000000003</v>
      </c>
      <c r="W5" s="18">
        <v>35405.1</v>
      </c>
      <c r="X5" s="18">
        <v>35843.4</v>
      </c>
      <c r="Y5" s="19">
        <v>35749</v>
      </c>
      <c r="Z5" s="18">
        <v>36195.199999999997</v>
      </c>
      <c r="AA5" s="18">
        <v>47553.7</v>
      </c>
      <c r="AB5" s="15">
        <v>34421.599999999999</v>
      </c>
      <c r="AC5" s="15">
        <v>35497.11</v>
      </c>
      <c r="AD5" s="15">
        <v>37899.480000000003</v>
      </c>
      <c r="AE5" s="15">
        <v>39225.11</v>
      </c>
      <c r="AF5" s="15">
        <v>39679.440000000002</v>
      </c>
      <c r="AG5" s="15">
        <v>41453.82</v>
      </c>
      <c r="AH5" s="15">
        <v>38073.160000000003</v>
      </c>
      <c r="AI5" s="15">
        <v>37098.69</v>
      </c>
      <c r="AJ5" s="15">
        <v>38046.79</v>
      </c>
      <c r="AK5" s="16">
        <v>38333</v>
      </c>
      <c r="AL5" s="17">
        <v>38848</v>
      </c>
      <c r="AM5" s="17">
        <v>51197</v>
      </c>
      <c r="AN5" s="18">
        <v>39016.68</v>
      </c>
      <c r="AO5" s="18">
        <v>40443.360000000001</v>
      </c>
      <c r="AP5" s="18">
        <v>42363.57</v>
      </c>
      <c r="AQ5" s="18">
        <v>43381.05</v>
      </c>
      <c r="AR5" s="18">
        <v>44075.54</v>
      </c>
      <c r="AS5" s="18">
        <v>45848.08</v>
      </c>
      <c r="AT5" s="18">
        <v>42413.47</v>
      </c>
      <c r="AU5" s="18">
        <v>41363.599999999999</v>
      </c>
      <c r="AV5" s="18">
        <v>41774.300000000003</v>
      </c>
      <c r="AW5" s="18">
        <v>42331.67</v>
      </c>
      <c r="AX5" s="18">
        <v>42595.01</v>
      </c>
      <c r="AY5" s="18">
        <v>55569.33</v>
      </c>
      <c r="AZ5" s="18">
        <v>42263.199999999997</v>
      </c>
      <c r="BA5" s="18">
        <v>43062.37</v>
      </c>
      <c r="BB5" s="18">
        <v>46324.18</v>
      </c>
      <c r="BC5" s="18">
        <v>48029.8</v>
      </c>
      <c r="BD5" s="18">
        <v>47926.16</v>
      </c>
      <c r="BE5" s="18">
        <v>49347.87</v>
      </c>
      <c r="BF5" s="18">
        <v>46509.38</v>
      </c>
      <c r="BG5" s="18">
        <v>44961.34</v>
      </c>
      <c r="BH5" s="18">
        <v>45540.93</v>
      </c>
      <c r="BI5" s="19">
        <v>46549</v>
      </c>
      <c r="BJ5" s="18">
        <v>46284.54</v>
      </c>
      <c r="BK5" s="18">
        <v>62239.17</v>
      </c>
      <c r="BL5" s="18">
        <v>46674.06</v>
      </c>
      <c r="BM5" s="18">
        <v>47256.51</v>
      </c>
      <c r="BN5" s="18">
        <v>50947.5</v>
      </c>
      <c r="BO5" s="19">
        <v>49306</v>
      </c>
      <c r="BP5" s="18">
        <v>50746.5</v>
      </c>
      <c r="BQ5" s="18">
        <v>52123.1</v>
      </c>
      <c r="BR5" s="18">
        <v>50145.1</v>
      </c>
      <c r="BS5" s="18">
        <v>47648.5</v>
      </c>
      <c r="BT5" s="18">
        <v>49258.7</v>
      </c>
      <c r="BU5" s="18">
        <v>49538.5</v>
      </c>
      <c r="BV5" s="18">
        <v>49274.3</v>
      </c>
      <c r="BW5" s="18">
        <v>69277.600000000006</v>
      </c>
      <c r="BX5" s="18">
        <v>49516.3</v>
      </c>
      <c r="BY5" s="18">
        <v>51228.800000000003</v>
      </c>
      <c r="BZ5" s="18">
        <v>55207.7</v>
      </c>
      <c r="CA5" s="18">
        <v>56613.9</v>
      </c>
      <c r="CB5" s="18">
        <v>56171.3</v>
      </c>
      <c r="CC5" s="18">
        <v>58781.7</v>
      </c>
      <c r="CD5" s="18">
        <v>55169.8</v>
      </c>
      <c r="CE5" s="18">
        <v>52355.1</v>
      </c>
      <c r="CF5" s="18">
        <v>54687.1</v>
      </c>
      <c r="CG5" s="19">
        <v>54649</v>
      </c>
      <c r="CH5" s="18">
        <v>55639.4</v>
      </c>
      <c r="CI5" s="18">
        <v>77994.2</v>
      </c>
      <c r="CJ5" s="19">
        <v>55717</v>
      </c>
      <c r="CK5" s="18">
        <v>57343.6</v>
      </c>
      <c r="CL5" s="18">
        <v>66757.399999999994</v>
      </c>
      <c r="CM5" s="18">
        <v>62268.9</v>
      </c>
      <c r="CN5" s="18">
        <v>62456.800000000003</v>
      </c>
      <c r="CO5" s="18">
        <v>66572.2</v>
      </c>
      <c r="CP5" s="18">
        <v>62199.7</v>
      </c>
      <c r="CQ5" s="18">
        <v>59906.7</v>
      </c>
      <c r="CR5" s="18">
        <v>61878.7</v>
      </c>
      <c r="CS5" s="18">
        <v>62470.1</v>
      </c>
      <c r="CT5" s="18">
        <v>63060.2</v>
      </c>
      <c r="CU5" s="18">
        <v>88468.3</v>
      </c>
      <c r="CV5" s="18">
        <v>63260.3</v>
      </c>
      <c r="CW5" s="18">
        <v>65093.7</v>
      </c>
      <c r="CX5" s="18">
        <v>71334.399999999994</v>
      </c>
      <c r="CY5" s="18">
        <v>71203.600000000006</v>
      </c>
      <c r="CZ5" s="18">
        <v>72851.199999999997</v>
      </c>
      <c r="DA5" s="18">
        <v>76604.2</v>
      </c>
      <c r="DB5" s="18">
        <v>71419.399999999994</v>
      </c>
      <c r="DC5" s="18">
        <v>69439.199999999997</v>
      </c>
      <c r="DD5" s="18">
        <v>70921.5</v>
      </c>
      <c r="DE5" s="18">
        <v>73829.5</v>
      </c>
      <c r="DF5" s="19">
        <v>73383</v>
      </c>
      <c r="DG5" s="18">
        <v>103814.9</v>
      </c>
      <c r="DH5" s="18">
        <v>75033.5</v>
      </c>
      <c r="DI5" s="19">
        <v>78432</v>
      </c>
      <c r="DJ5" s="18">
        <v>87739.6</v>
      </c>
      <c r="DK5" s="18">
        <v>83874.8</v>
      </c>
      <c r="DL5" s="18">
        <v>86383.7</v>
      </c>
      <c r="DM5" s="18">
        <v>89144.9</v>
      </c>
      <c r="DN5" s="18">
        <v>85016.5</v>
      </c>
      <c r="DO5" s="18">
        <v>82218.3</v>
      </c>
      <c r="DP5" s="18">
        <v>84324.3</v>
      </c>
      <c r="DQ5" s="18">
        <v>86582.1</v>
      </c>
      <c r="DR5" s="18">
        <v>86399.3</v>
      </c>
      <c r="DS5" s="18">
        <v>128665.4</v>
      </c>
      <c r="DT5" s="18">
        <v>88980.5</v>
      </c>
      <c r="DU5" s="18">
        <v>89645.6</v>
      </c>
      <c r="DV5" s="18">
        <v>97645.2</v>
      </c>
      <c r="DW5" s="19">
        <v>97375</v>
      </c>
      <c r="DX5" s="18">
        <v>99422.1</v>
      </c>
      <c r="DY5" s="18">
        <v>103183.1</v>
      </c>
      <c r="DZ5" s="18">
        <v>99304.9</v>
      </c>
      <c r="EA5" s="18">
        <v>92866.4</v>
      </c>
      <c r="EB5" s="18">
        <v>96181.9</v>
      </c>
      <c r="EC5" s="18">
        <v>99707.1</v>
      </c>
      <c r="ED5" s="18">
        <v>98192.5</v>
      </c>
      <c r="EE5" s="18">
        <v>139727.1</v>
      </c>
    </row>
    <row r="6" spans="1:135">
      <c r="B6" t="s">
        <v>202</v>
      </c>
      <c r="C6">
        <v>102.62</v>
      </c>
      <c r="D6" s="70">
        <v>103.85</v>
      </c>
      <c r="E6" s="70">
        <v>102.22</v>
      </c>
      <c r="F6" s="70">
        <v>101.21</v>
      </c>
      <c r="G6" s="70">
        <v>100.46</v>
      </c>
      <c r="H6" s="70">
        <v>100.35</v>
      </c>
      <c r="I6" s="70">
        <v>100.19</v>
      </c>
      <c r="J6" s="70">
        <v>100.8</v>
      </c>
      <c r="K6" s="70">
        <v>100.35</v>
      </c>
      <c r="L6" s="70">
        <v>100.57</v>
      </c>
      <c r="M6" s="70">
        <v>100.74</v>
      </c>
      <c r="N6" s="70">
        <v>100.75</v>
      </c>
      <c r="O6" s="70">
        <v>100.77</v>
      </c>
      <c r="P6" s="70">
        <v>100.96</v>
      </c>
      <c r="Q6" s="70">
        <v>100.63</v>
      </c>
      <c r="R6" s="70">
        <v>100.46</v>
      </c>
      <c r="S6" s="70">
        <v>100.44</v>
      </c>
      <c r="T6" s="70">
        <v>100.41</v>
      </c>
      <c r="U6" s="70">
        <v>100.36</v>
      </c>
      <c r="V6" s="70">
        <v>100.54</v>
      </c>
      <c r="W6" s="70">
        <v>100.01</v>
      </c>
      <c r="X6" s="70">
        <v>100.17</v>
      </c>
      <c r="Y6" s="70">
        <v>100.43</v>
      </c>
      <c r="Z6" s="70">
        <v>100.44</v>
      </c>
      <c r="AA6" s="70">
        <v>100.4</v>
      </c>
      <c r="AB6" s="71">
        <v>100.62</v>
      </c>
      <c r="AC6" s="71">
        <v>100.22</v>
      </c>
      <c r="AD6" s="71">
        <v>100.13</v>
      </c>
      <c r="AE6" s="71">
        <v>100.33</v>
      </c>
      <c r="AF6" s="71">
        <v>100.37</v>
      </c>
      <c r="AG6" s="71">
        <v>100.61</v>
      </c>
      <c r="AH6" s="71">
        <v>100.07</v>
      </c>
      <c r="AI6" s="71">
        <v>99.46</v>
      </c>
      <c r="AJ6" s="71">
        <v>99.85</v>
      </c>
      <c r="AK6" s="71">
        <v>100.2</v>
      </c>
      <c r="AL6" s="71">
        <v>100.22</v>
      </c>
      <c r="AM6" s="71">
        <v>100.42</v>
      </c>
      <c r="AN6" s="72">
        <v>100.31</v>
      </c>
      <c r="AO6" s="72">
        <v>100.21</v>
      </c>
      <c r="AP6" s="72">
        <v>100.29</v>
      </c>
      <c r="AQ6" s="72">
        <v>100.38</v>
      </c>
      <c r="AR6" s="72">
        <v>100.38</v>
      </c>
      <c r="AS6" s="72">
        <v>100.49</v>
      </c>
      <c r="AT6" s="72">
        <v>100.27</v>
      </c>
      <c r="AU6" s="72">
        <v>100.01</v>
      </c>
      <c r="AV6" s="72">
        <v>100.16</v>
      </c>
      <c r="AW6" s="72">
        <v>100.35</v>
      </c>
      <c r="AX6" s="72">
        <v>100.5</v>
      </c>
      <c r="AY6" s="72">
        <v>100.84</v>
      </c>
      <c r="AZ6" s="73">
        <v>101.01</v>
      </c>
      <c r="BA6" s="73">
        <v>100.44</v>
      </c>
      <c r="BB6" s="73">
        <v>100.32</v>
      </c>
      <c r="BC6" s="73">
        <v>100.29</v>
      </c>
      <c r="BD6" s="73">
        <v>100.34</v>
      </c>
      <c r="BE6" s="71">
        <v>100.04</v>
      </c>
      <c r="BF6" s="71">
        <v>100.2</v>
      </c>
      <c r="BG6" s="73">
        <v>99.76</v>
      </c>
      <c r="BH6" s="73">
        <v>99.84</v>
      </c>
      <c r="BI6" s="73">
        <v>100.13</v>
      </c>
      <c r="BJ6" s="73">
        <v>100.28</v>
      </c>
      <c r="BK6" s="73">
        <v>100.36</v>
      </c>
      <c r="BL6" s="72">
        <v>100.4</v>
      </c>
      <c r="BM6" s="74">
        <v>100.33</v>
      </c>
      <c r="BN6" s="74">
        <v>100.55</v>
      </c>
      <c r="BO6" s="74">
        <v>100.83</v>
      </c>
      <c r="BP6" s="74">
        <v>100.27</v>
      </c>
      <c r="BQ6" s="74">
        <v>100.22</v>
      </c>
      <c r="BR6" s="74">
        <v>100.35</v>
      </c>
      <c r="BS6" s="74">
        <v>99.96</v>
      </c>
      <c r="BT6" s="74">
        <v>99.93</v>
      </c>
      <c r="BU6" s="74">
        <v>100.43</v>
      </c>
      <c r="BV6" s="74">
        <v>100.71</v>
      </c>
      <c r="BW6" s="74">
        <v>100.83</v>
      </c>
      <c r="BX6" s="73">
        <v>100.67</v>
      </c>
      <c r="BY6" s="73">
        <v>100.78</v>
      </c>
      <c r="BZ6" s="73">
        <v>100.66</v>
      </c>
      <c r="CA6" s="73">
        <v>100.58</v>
      </c>
      <c r="CB6" s="73">
        <v>100.74</v>
      </c>
      <c r="CC6" s="73">
        <v>100.69</v>
      </c>
      <c r="CD6" s="73">
        <v>100.31</v>
      </c>
      <c r="CE6" s="73">
        <v>100.17</v>
      </c>
      <c r="CF6" s="71">
        <v>100.6</v>
      </c>
      <c r="CG6" s="73">
        <v>101.11</v>
      </c>
      <c r="CH6" s="73">
        <v>100.96</v>
      </c>
      <c r="CI6" s="73">
        <v>100.82</v>
      </c>
      <c r="CJ6" s="74">
        <v>100.99</v>
      </c>
      <c r="CK6" s="74">
        <v>101.17</v>
      </c>
      <c r="CL6" s="74">
        <v>107.61</v>
      </c>
      <c r="CM6" s="74">
        <v>101.56</v>
      </c>
      <c r="CN6" s="74">
        <v>100.12</v>
      </c>
      <c r="CO6" s="74">
        <v>99.65</v>
      </c>
      <c r="CP6" s="74">
        <v>99.61</v>
      </c>
      <c r="CQ6" s="74">
        <v>99.48</v>
      </c>
      <c r="CR6" s="74">
        <v>100.05</v>
      </c>
      <c r="CS6" s="74">
        <v>100.18</v>
      </c>
      <c r="CT6" s="74">
        <v>100.37</v>
      </c>
      <c r="CU6" s="74">
        <v>100.78</v>
      </c>
      <c r="CV6" s="73">
        <v>100.84</v>
      </c>
      <c r="CW6" s="73">
        <v>100.46</v>
      </c>
      <c r="CX6" s="73">
        <v>100.37</v>
      </c>
      <c r="CY6" s="73">
        <v>100.38</v>
      </c>
      <c r="CZ6" s="73">
        <v>100.31</v>
      </c>
      <c r="DA6" s="73">
        <v>100.37</v>
      </c>
      <c r="DB6" s="73">
        <v>100.63</v>
      </c>
      <c r="DC6" s="73">
        <v>100.28</v>
      </c>
      <c r="DD6" s="73">
        <v>100.87</v>
      </c>
      <c r="DE6" s="73">
        <v>100.83</v>
      </c>
      <c r="DF6" s="71">
        <v>101.11</v>
      </c>
      <c r="DG6" s="73">
        <v>100.73</v>
      </c>
      <c r="DH6" s="74">
        <v>100.86</v>
      </c>
      <c r="DI6" s="74">
        <v>100.68</v>
      </c>
      <c r="DJ6" s="74">
        <v>100.39</v>
      </c>
      <c r="DK6" s="72">
        <v>100.5</v>
      </c>
      <c r="DL6" s="74">
        <v>100.74</v>
      </c>
      <c r="DM6" s="74">
        <v>100.64</v>
      </c>
      <c r="DN6" s="74">
        <v>101.14</v>
      </c>
      <c r="DO6" s="72">
        <v>100.2</v>
      </c>
      <c r="DP6" s="74">
        <v>100.48</v>
      </c>
      <c r="DQ6" s="74">
        <v>100.75</v>
      </c>
      <c r="DR6" s="74">
        <v>101.43</v>
      </c>
      <c r="DS6" s="74">
        <v>101.32</v>
      </c>
      <c r="DT6" s="75">
        <v>101.23</v>
      </c>
      <c r="DU6" s="75">
        <v>100.81</v>
      </c>
      <c r="DV6" s="75">
        <v>100.65</v>
      </c>
      <c r="DW6" s="70">
        <v>100.4</v>
      </c>
      <c r="DX6" s="70">
        <v>100.43</v>
      </c>
      <c r="DY6" s="70">
        <v>100.2</v>
      </c>
      <c r="DZ6" s="75">
        <v>100.57</v>
      </c>
      <c r="EA6" s="70">
        <v>99.6</v>
      </c>
      <c r="EB6" s="75">
        <v>100.34</v>
      </c>
      <c r="EC6" s="70">
        <v>100.5</v>
      </c>
      <c r="ED6" s="75">
        <v>100.42</v>
      </c>
      <c r="EE6" s="75">
        <v>100.32</v>
      </c>
    </row>
    <row r="7" spans="1:135">
      <c r="B7" t="s">
        <v>204</v>
      </c>
      <c r="D7">
        <f>D5/C5*100</f>
        <v>73.392396471400744</v>
      </c>
      <c r="E7">
        <f t="shared" ref="E7:BP7" si="0">E5/D5*100</f>
        <v>101.28054222555652</v>
      </c>
      <c r="F7">
        <f t="shared" si="0"/>
        <v>104.22025261490913</v>
      </c>
      <c r="G7">
        <f t="shared" si="0"/>
        <v>105.31551182211984</v>
      </c>
      <c r="H7">
        <f t="shared" si="0"/>
        <v>100.00901757846019</v>
      </c>
      <c r="I7">
        <f t="shared" si="0"/>
        <v>102.94964572838012</v>
      </c>
      <c r="J7">
        <f t="shared" si="0"/>
        <v>95.779287742445845</v>
      </c>
      <c r="K7">
        <f t="shared" si="0"/>
        <v>94.91218444511307</v>
      </c>
      <c r="L7">
        <f t="shared" si="0"/>
        <v>102.28494707202307</v>
      </c>
      <c r="M7">
        <f t="shared" si="0"/>
        <v>101.35517000395005</v>
      </c>
      <c r="N7">
        <f t="shared" si="0"/>
        <v>99.969421710585493</v>
      </c>
      <c r="O7">
        <f t="shared" si="0"/>
        <v>130.17051111351012</v>
      </c>
      <c r="P7">
        <f t="shared" si="0"/>
        <v>75.239185674431027</v>
      </c>
      <c r="Q7">
        <f t="shared" si="0"/>
        <v>103.716518267217</v>
      </c>
      <c r="R7">
        <f t="shared" si="0"/>
        <v>104.80376932932624</v>
      </c>
      <c r="S7">
        <f t="shared" si="0"/>
        <v>102.8078398674952</v>
      </c>
      <c r="T7">
        <f t="shared" si="0"/>
        <v>102.11631513477673</v>
      </c>
      <c r="U7">
        <f t="shared" si="0"/>
        <v>103.15966278327224</v>
      </c>
      <c r="V7">
        <f t="shared" si="0"/>
        <v>93.342592737090158</v>
      </c>
      <c r="W7">
        <f t="shared" si="0"/>
        <v>98.654974671058113</v>
      </c>
      <c r="X7">
        <f t="shared" si="0"/>
        <v>101.23795724344799</v>
      </c>
      <c r="Y7">
        <f t="shared" si="0"/>
        <v>99.736632127532545</v>
      </c>
      <c r="Z7">
        <f t="shared" si="0"/>
        <v>101.24814680130912</v>
      </c>
      <c r="AA7">
        <f t="shared" si="0"/>
        <v>131.38123287065687</v>
      </c>
      <c r="AB7">
        <f t="shared" si="0"/>
        <v>72.384693514910509</v>
      </c>
      <c r="AC7">
        <f t="shared" si="0"/>
        <v>103.12452064982453</v>
      </c>
      <c r="AD7">
        <f t="shared" si="0"/>
        <v>106.76779039195023</v>
      </c>
      <c r="AE7">
        <f t="shared" si="0"/>
        <v>103.49775247575957</v>
      </c>
      <c r="AF7">
        <f t="shared" si="0"/>
        <v>101.15826316357048</v>
      </c>
      <c r="AG7">
        <f t="shared" si="0"/>
        <v>104.47178690021835</v>
      </c>
      <c r="AH7">
        <f t="shared" si="0"/>
        <v>91.844756406044141</v>
      </c>
      <c r="AI7">
        <f t="shared" si="0"/>
        <v>97.440532910848475</v>
      </c>
      <c r="AJ7">
        <f t="shared" si="0"/>
        <v>102.55561584519562</v>
      </c>
      <c r="AK7">
        <f t="shared" si="0"/>
        <v>100.7522579434428</v>
      </c>
      <c r="AL7">
        <f t="shared" si="0"/>
        <v>101.34348994339082</v>
      </c>
      <c r="AM7">
        <f t="shared" si="0"/>
        <v>131.78799423393738</v>
      </c>
      <c r="AN7">
        <f t="shared" si="0"/>
        <v>76.20891849131786</v>
      </c>
      <c r="AO7">
        <f t="shared" si="0"/>
        <v>103.65658995075952</v>
      </c>
      <c r="AP7">
        <f t="shared" si="0"/>
        <v>104.74789928433246</v>
      </c>
      <c r="AQ7">
        <f t="shared" si="0"/>
        <v>102.40178058648033</v>
      </c>
      <c r="AR7">
        <f t="shared" si="0"/>
        <v>101.60090638654435</v>
      </c>
      <c r="AS7">
        <f t="shared" si="0"/>
        <v>104.02159565146565</v>
      </c>
      <c r="AT7">
        <f t="shared" si="0"/>
        <v>92.508715741204426</v>
      </c>
      <c r="AU7">
        <f t="shared" si="0"/>
        <v>97.524677891245389</v>
      </c>
      <c r="AV7">
        <f t="shared" si="0"/>
        <v>100.99290197178196</v>
      </c>
      <c r="AW7">
        <f t="shared" si="0"/>
        <v>101.33424138764741</v>
      </c>
      <c r="AX7">
        <f t="shared" si="0"/>
        <v>100.62208743477402</v>
      </c>
      <c r="AY7">
        <f t="shared" si="0"/>
        <v>130.45971816886532</v>
      </c>
      <c r="AZ7">
        <f t="shared" si="0"/>
        <v>76.054902947363217</v>
      </c>
      <c r="BA7">
        <f t="shared" si="0"/>
        <v>101.89093584962805</v>
      </c>
      <c r="BB7">
        <f t="shared" si="0"/>
        <v>107.57461793208316</v>
      </c>
      <c r="BC7">
        <f t="shared" si="0"/>
        <v>103.68192162278966</v>
      </c>
      <c r="BD7">
        <f t="shared" si="0"/>
        <v>99.784217298427222</v>
      </c>
      <c r="BE7">
        <f t="shared" si="0"/>
        <v>102.96645923645875</v>
      </c>
      <c r="BF7">
        <f t="shared" si="0"/>
        <v>94.247998951119868</v>
      </c>
      <c r="BG7">
        <f t="shared" si="0"/>
        <v>96.67155313616307</v>
      </c>
      <c r="BH7">
        <f t="shared" si="0"/>
        <v>101.28908524523514</v>
      </c>
      <c r="BI7">
        <f t="shared" si="0"/>
        <v>102.21354724200846</v>
      </c>
      <c r="BJ7">
        <f t="shared" si="0"/>
        <v>99.431867494468193</v>
      </c>
      <c r="BK7">
        <f t="shared" si="0"/>
        <v>134.47075416542975</v>
      </c>
      <c r="BL7">
        <f t="shared" si="0"/>
        <v>74.991456344935187</v>
      </c>
      <c r="BM7">
        <f t="shared" si="0"/>
        <v>101.24790943834756</v>
      </c>
      <c r="BN7">
        <f t="shared" si="0"/>
        <v>107.81054292837113</v>
      </c>
      <c r="BO7">
        <f t="shared" si="0"/>
        <v>96.778055841797922</v>
      </c>
      <c r="BP7">
        <f t="shared" si="0"/>
        <v>102.92155112967995</v>
      </c>
      <c r="BQ7">
        <f t="shared" ref="BQ7:EB7" si="1">BQ5/BP5*100</f>
        <v>102.71269939798803</v>
      </c>
      <c r="BR7">
        <f t="shared" si="1"/>
        <v>96.205137453451542</v>
      </c>
      <c r="BS7">
        <f t="shared" si="1"/>
        <v>95.021248337325076</v>
      </c>
      <c r="BT7">
        <f t="shared" si="1"/>
        <v>103.37932988446646</v>
      </c>
      <c r="BU7">
        <f t="shared" si="1"/>
        <v>100.56802148655974</v>
      </c>
      <c r="BV7">
        <f t="shared" si="1"/>
        <v>99.466677432703861</v>
      </c>
      <c r="BW7">
        <f t="shared" si="1"/>
        <v>140.59580755079219</v>
      </c>
      <c r="BX7">
        <f t="shared" si="1"/>
        <v>71.47519544556971</v>
      </c>
      <c r="BY7">
        <f t="shared" si="1"/>
        <v>103.45845711412203</v>
      </c>
      <c r="BZ7">
        <f t="shared" si="1"/>
        <v>107.76692016990441</v>
      </c>
      <c r="CA7">
        <f t="shared" si="1"/>
        <v>102.5471084649424</v>
      </c>
      <c r="CB7">
        <f t="shared" si="1"/>
        <v>99.218213194992757</v>
      </c>
      <c r="CC7">
        <f t="shared" si="1"/>
        <v>104.64721307856502</v>
      </c>
      <c r="CD7">
        <f t="shared" si="1"/>
        <v>93.855400575349137</v>
      </c>
      <c r="CE7">
        <f t="shared" si="1"/>
        <v>94.898114548176721</v>
      </c>
      <c r="CF7">
        <f t="shared" si="1"/>
        <v>104.45419834934897</v>
      </c>
      <c r="CG7">
        <f t="shared" si="1"/>
        <v>99.930330918991871</v>
      </c>
      <c r="CH7">
        <f t="shared" si="1"/>
        <v>101.81229299712713</v>
      </c>
      <c r="CI7">
        <f t="shared" si="1"/>
        <v>140.1780033573331</v>
      </c>
      <c r="CJ7">
        <f t="shared" si="1"/>
        <v>71.437363291116512</v>
      </c>
      <c r="CK7">
        <f t="shared" si="1"/>
        <v>102.91939623454243</v>
      </c>
      <c r="CL7">
        <f t="shared" si="1"/>
        <v>116.41647890959059</v>
      </c>
      <c r="CM7">
        <f t="shared" si="1"/>
        <v>93.276400818486053</v>
      </c>
      <c r="CN7">
        <f t="shared" si="1"/>
        <v>100.30175577214308</v>
      </c>
      <c r="CO7">
        <f t="shared" si="1"/>
        <v>106.58919445120468</v>
      </c>
      <c r="CP7">
        <f t="shared" si="1"/>
        <v>93.431943063320716</v>
      </c>
      <c r="CQ7">
        <f t="shared" si="1"/>
        <v>96.313487042542008</v>
      </c>
      <c r="CR7">
        <f t="shared" si="1"/>
        <v>103.29178539295272</v>
      </c>
      <c r="CS7">
        <f t="shared" si="1"/>
        <v>100.95574082842724</v>
      </c>
      <c r="CT7">
        <f t="shared" si="1"/>
        <v>100.94461190233407</v>
      </c>
      <c r="CU7">
        <f t="shared" si="1"/>
        <v>140.2918163913213</v>
      </c>
      <c r="CV7">
        <f t="shared" si="1"/>
        <v>71.506177919096444</v>
      </c>
      <c r="CW7">
        <f t="shared" si="1"/>
        <v>102.89818416921828</v>
      </c>
      <c r="CX7">
        <f t="shared" si="1"/>
        <v>109.58725652405685</v>
      </c>
      <c r="CY7">
        <f t="shared" si="1"/>
        <v>99.816638255876569</v>
      </c>
      <c r="CZ7">
        <f t="shared" si="1"/>
        <v>102.31392794746333</v>
      </c>
      <c r="DA7">
        <f t="shared" si="1"/>
        <v>105.15159667925855</v>
      </c>
      <c r="DB7">
        <f t="shared" si="1"/>
        <v>93.231702700374129</v>
      </c>
      <c r="DC7">
        <f t="shared" si="1"/>
        <v>97.22736399353677</v>
      </c>
      <c r="DD7">
        <f t="shared" si="1"/>
        <v>102.13467321052086</v>
      </c>
      <c r="DE7">
        <f t="shared" si="1"/>
        <v>104.10030808711039</v>
      </c>
      <c r="DF7">
        <f t="shared" si="1"/>
        <v>99.395228194691825</v>
      </c>
      <c r="DG7">
        <f t="shared" si="1"/>
        <v>141.46995898232561</v>
      </c>
      <c r="DH7">
        <f t="shared" si="1"/>
        <v>72.276233951003192</v>
      </c>
      <c r="DI7">
        <f t="shared" si="1"/>
        <v>104.52931024142549</v>
      </c>
      <c r="DJ7">
        <f t="shared" si="1"/>
        <v>111.8670950632395</v>
      </c>
      <c r="DK7">
        <f t="shared" si="1"/>
        <v>95.595147459072066</v>
      </c>
      <c r="DL7">
        <f t="shared" si="1"/>
        <v>102.99124409238532</v>
      </c>
      <c r="DM7">
        <f t="shared" si="1"/>
        <v>103.19643636473084</v>
      </c>
      <c r="DN7">
        <f t="shared" si="1"/>
        <v>95.368888180927911</v>
      </c>
      <c r="DO7">
        <f t="shared" si="1"/>
        <v>96.708638911270171</v>
      </c>
      <c r="DP7">
        <f t="shared" si="1"/>
        <v>102.56147354056213</v>
      </c>
      <c r="DQ7">
        <f t="shared" si="1"/>
        <v>102.67752000313078</v>
      </c>
      <c r="DR7">
        <f t="shared" si="1"/>
        <v>99.788870909806988</v>
      </c>
      <c r="DS7">
        <f t="shared" si="1"/>
        <v>148.91949356071171</v>
      </c>
      <c r="DT7">
        <f t="shared" si="1"/>
        <v>69.156509830925799</v>
      </c>
      <c r="DU7">
        <f t="shared" si="1"/>
        <v>100.74746714167711</v>
      </c>
      <c r="DV7">
        <f t="shared" si="1"/>
        <v>108.92358353338032</v>
      </c>
      <c r="DW7">
        <f t="shared" si="1"/>
        <v>99.723283889018603</v>
      </c>
      <c r="DX7">
        <f t="shared" si="1"/>
        <v>102.10228498074454</v>
      </c>
      <c r="DY7">
        <f t="shared" si="1"/>
        <v>103.7828611546125</v>
      </c>
      <c r="DZ7">
        <f t="shared" si="1"/>
        <v>96.241438762743115</v>
      </c>
      <c r="EA7">
        <f t="shared" si="1"/>
        <v>93.516432723863574</v>
      </c>
      <c r="EB7">
        <f t="shared" si="1"/>
        <v>103.570182541802</v>
      </c>
      <c r="EC7">
        <f t="shared" ref="EC7:EE7" si="2">EC5/EB5*100</f>
        <v>103.66513865914482</v>
      </c>
      <c r="ED7">
        <f t="shared" si="2"/>
        <v>98.480950704613818</v>
      </c>
      <c r="EE7">
        <f t="shared" si="2"/>
        <v>142.29915726761209</v>
      </c>
    </row>
    <row r="8" spans="1:135">
      <c r="B8" t="s">
        <v>205</v>
      </c>
      <c r="D8">
        <f>D7/D6*100</f>
        <v>70.671542100530331</v>
      </c>
      <c r="E8">
        <f t="shared" ref="E8:BP8" si="3">E7/E6*100</f>
        <v>99.080945241201832</v>
      </c>
      <c r="F8">
        <f t="shared" si="3"/>
        <v>102.97426402026394</v>
      </c>
      <c r="G8">
        <f t="shared" si="3"/>
        <v>104.83327873991624</v>
      </c>
      <c r="H8">
        <f t="shared" si="3"/>
        <v>99.66020685446955</v>
      </c>
      <c r="I8">
        <f t="shared" si="3"/>
        <v>102.75441234492477</v>
      </c>
      <c r="J8">
        <f t="shared" si="3"/>
        <v>95.019134665124852</v>
      </c>
      <c r="K8">
        <f t="shared" si="3"/>
        <v>94.581150418647809</v>
      </c>
      <c r="L8">
        <f t="shared" si="3"/>
        <v>101.70522727654676</v>
      </c>
      <c r="M8">
        <f t="shared" si="3"/>
        <v>100.61065118517973</v>
      </c>
      <c r="N8">
        <f t="shared" si="3"/>
        <v>99.225232467082378</v>
      </c>
      <c r="O8">
        <f t="shared" si="3"/>
        <v>129.17585701449846</v>
      </c>
      <c r="P8">
        <f t="shared" si="3"/>
        <v>74.523757601457035</v>
      </c>
      <c r="Q8">
        <f t="shared" si="3"/>
        <v>103.06719493910066</v>
      </c>
      <c r="R8">
        <f t="shared" si="3"/>
        <v>104.32387948370123</v>
      </c>
      <c r="S8">
        <f t="shared" si="3"/>
        <v>102.35746701263959</v>
      </c>
      <c r="T8">
        <f t="shared" si="3"/>
        <v>101.69934780876082</v>
      </c>
      <c r="U8">
        <f t="shared" si="3"/>
        <v>102.7896201507296</v>
      </c>
      <c r="V8">
        <f t="shared" si="3"/>
        <v>92.841249987159486</v>
      </c>
      <c r="W8">
        <f t="shared" si="3"/>
        <v>98.645110160042108</v>
      </c>
      <c r="X8">
        <f t="shared" si="3"/>
        <v>101.06614479729259</v>
      </c>
      <c r="Y8">
        <f t="shared" si="3"/>
        <v>99.309600843903752</v>
      </c>
      <c r="Z8">
        <f t="shared" si="3"/>
        <v>100.80460653256583</v>
      </c>
      <c r="AA8">
        <f t="shared" si="3"/>
        <v>130.85780166400087</v>
      </c>
      <c r="AB8">
        <f t="shared" si="3"/>
        <v>71.938673737736536</v>
      </c>
      <c r="AC8">
        <f t="shared" si="3"/>
        <v>102.89814473141541</v>
      </c>
      <c r="AD8">
        <f t="shared" si="3"/>
        <v>106.62917246774217</v>
      </c>
      <c r="AE8">
        <f t="shared" si="3"/>
        <v>103.15733327594894</v>
      </c>
      <c r="AF8">
        <f t="shared" si="3"/>
        <v>100.78535734140728</v>
      </c>
      <c r="AG8">
        <f t="shared" si="3"/>
        <v>103.83837282597987</v>
      </c>
      <c r="AH8">
        <f t="shared" si="3"/>
        <v>91.780510049009848</v>
      </c>
      <c r="AI8">
        <f t="shared" si="3"/>
        <v>97.969568581186891</v>
      </c>
      <c r="AJ8">
        <f t="shared" si="3"/>
        <v>102.70968036574423</v>
      </c>
      <c r="AK8">
        <f t="shared" si="3"/>
        <v>100.55115563217845</v>
      </c>
      <c r="AL8">
        <f t="shared" si="3"/>
        <v>101.12102369127003</v>
      </c>
      <c r="AM8">
        <f t="shared" si="3"/>
        <v>131.23679967530111</v>
      </c>
      <c r="AN8">
        <f t="shared" si="3"/>
        <v>75.973400948377886</v>
      </c>
      <c r="AO8">
        <f t="shared" si="3"/>
        <v>103.43936727947265</v>
      </c>
      <c r="AP8">
        <f t="shared" si="3"/>
        <v>104.44500875893155</v>
      </c>
      <c r="AQ8">
        <f t="shared" si="3"/>
        <v>102.01412690424421</v>
      </c>
      <c r="AR8">
        <f t="shared" si="3"/>
        <v>101.21628450542374</v>
      </c>
      <c r="AS8">
        <f t="shared" si="3"/>
        <v>103.51437521292233</v>
      </c>
      <c r="AT8">
        <f t="shared" si="3"/>
        <v>92.259614781294928</v>
      </c>
      <c r="AU8">
        <f t="shared" si="3"/>
        <v>97.514926398605525</v>
      </c>
      <c r="AV8">
        <f t="shared" si="3"/>
        <v>100.83157145745005</v>
      </c>
      <c r="AW8">
        <f t="shared" si="3"/>
        <v>100.9808085576955</v>
      </c>
      <c r="AX8">
        <f t="shared" si="3"/>
        <v>100.12148003460102</v>
      </c>
      <c r="AY8">
        <f t="shared" si="3"/>
        <v>129.37298509407509</v>
      </c>
      <c r="AZ8">
        <f t="shared" si="3"/>
        <v>75.294429212318789</v>
      </c>
      <c r="BA8">
        <f t="shared" si="3"/>
        <v>101.44457969895267</v>
      </c>
      <c r="BB8">
        <f t="shared" si="3"/>
        <v>107.23147720502708</v>
      </c>
      <c r="BC8">
        <f t="shared" si="3"/>
        <v>103.38211349365804</v>
      </c>
      <c r="BD8">
        <f t="shared" si="3"/>
        <v>99.446100556535001</v>
      </c>
      <c r="BE8">
        <f t="shared" si="3"/>
        <v>102.92528912081042</v>
      </c>
      <c r="BF8">
        <f t="shared" si="3"/>
        <v>94.0598791927344</v>
      </c>
      <c r="BG8">
        <f t="shared" si="3"/>
        <v>96.904123031438516</v>
      </c>
      <c r="BH8">
        <f t="shared" si="3"/>
        <v>101.45140749723072</v>
      </c>
      <c r="BI8">
        <f t="shared" si="3"/>
        <v>102.08084214721708</v>
      </c>
      <c r="BJ8">
        <f t="shared" si="3"/>
        <v>99.154235634691062</v>
      </c>
      <c r="BK8">
        <f t="shared" si="3"/>
        <v>133.98839594004559</v>
      </c>
      <c r="BL8">
        <f t="shared" si="3"/>
        <v>74.692685602525074</v>
      </c>
      <c r="BM8">
        <f t="shared" si="3"/>
        <v>100.91489030035639</v>
      </c>
      <c r="BN8">
        <f t="shared" si="3"/>
        <v>107.22082837232337</v>
      </c>
      <c r="BO8">
        <f t="shared" si="3"/>
        <v>95.981410137655388</v>
      </c>
      <c r="BP8">
        <f t="shared" si="3"/>
        <v>102.64441121938761</v>
      </c>
      <c r="BQ8">
        <f t="shared" ref="BQ8:EB8" si="4">BQ7/BQ6*100</f>
        <v>102.48722749749355</v>
      </c>
      <c r="BR8">
        <f t="shared" si="4"/>
        <v>95.869593874889432</v>
      </c>
      <c r="BS8">
        <f t="shared" si="4"/>
        <v>95.059272046143533</v>
      </c>
      <c r="BT8">
        <f t="shared" si="4"/>
        <v>103.45174610674117</v>
      </c>
      <c r="BU8">
        <f t="shared" si="4"/>
        <v>100.13743053525812</v>
      </c>
      <c r="BV8">
        <f t="shared" si="4"/>
        <v>98.765442788902661</v>
      </c>
      <c r="BW8">
        <f t="shared" si="4"/>
        <v>139.43846826419934</v>
      </c>
      <c r="BX8">
        <f t="shared" si="4"/>
        <v>70.999498803585681</v>
      </c>
      <c r="BY8">
        <f t="shared" si="4"/>
        <v>102.65772684473311</v>
      </c>
      <c r="BZ8">
        <f t="shared" si="4"/>
        <v>107.06032204441129</v>
      </c>
      <c r="CA8">
        <f t="shared" si="4"/>
        <v>101.95576502778127</v>
      </c>
      <c r="CB8">
        <f t="shared" si="4"/>
        <v>98.489391696439114</v>
      </c>
      <c r="CC8">
        <f t="shared" si="4"/>
        <v>103.93009542016587</v>
      </c>
      <c r="CD8">
        <f t="shared" si="4"/>
        <v>93.565347996559794</v>
      </c>
      <c r="CE8">
        <f t="shared" si="4"/>
        <v>94.737061543552684</v>
      </c>
      <c r="CF8">
        <f t="shared" si="4"/>
        <v>103.83121108285187</v>
      </c>
      <c r="CG8">
        <f t="shared" si="4"/>
        <v>98.833281494403991</v>
      </c>
      <c r="CH8">
        <f t="shared" si="4"/>
        <v>100.84418878479313</v>
      </c>
      <c r="CI8">
        <f t="shared" si="4"/>
        <v>139.03789263770395</v>
      </c>
      <c r="CJ8">
        <f t="shared" si="4"/>
        <v>70.737066334405895</v>
      </c>
      <c r="CK8">
        <f t="shared" si="4"/>
        <v>101.72916500399569</v>
      </c>
      <c r="CL8">
        <f t="shared" si="4"/>
        <v>108.18369938629364</v>
      </c>
      <c r="CM8">
        <f t="shared" si="4"/>
        <v>91.843640033956333</v>
      </c>
      <c r="CN8">
        <f t="shared" si="4"/>
        <v>100.18153792663111</v>
      </c>
      <c r="CO8">
        <f t="shared" si="4"/>
        <v>106.96356693547884</v>
      </c>
      <c r="CP8">
        <f t="shared" si="4"/>
        <v>93.797754305110644</v>
      </c>
      <c r="CQ8">
        <f t="shared" si="4"/>
        <v>96.816935105088461</v>
      </c>
      <c r="CR8">
        <f t="shared" si="4"/>
        <v>103.24016531029758</v>
      </c>
      <c r="CS8">
        <f t="shared" si="4"/>
        <v>100.77434700382035</v>
      </c>
      <c r="CT8">
        <f t="shared" si="4"/>
        <v>100.57249367573387</v>
      </c>
      <c r="CU8">
        <f t="shared" si="4"/>
        <v>139.20600951708801</v>
      </c>
      <c r="CV8">
        <f t="shared" si="4"/>
        <v>70.91052947153554</v>
      </c>
      <c r="CW8">
        <f t="shared" si="4"/>
        <v>102.42701987778049</v>
      </c>
      <c r="CX8">
        <f t="shared" si="4"/>
        <v>109.18327839399906</v>
      </c>
      <c r="CY8">
        <f t="shared" si="4"/>
        <v>99.438770926356426</v>
      </c>
      <c r="CZ8">
        <f t="shared" si="4"/>
        <v>101.99773496905924</v>
      </c>
      <c r="DA8">
        <f t="shared" si="4"/>
        <v>104.76396999029444</v>
      </c>
      <c r="DB8">
        <f t="shared" si="4"/>
        <v>92.648020173282447</v>
      </c>
      <c r="DC8">
        <f t="shared" si="4"/>
        <v>96.95588750851293</v>
      </c>
      <c r="DD8">
        <f t="shared" si="4"/>
        <v>101.25376545109633</v>
      </c>
      <c r="DE8">
        <f t="shared" si="4"/>
        <v>103.24338796698443</v>
      </c>
      <c r="DF8">
        <f t="shared" si="4"/>
        <v>98.304053204126035</v>
      </c>
      <c r="DG8">
        <f t="shared" si="4"/>
        <v>140.44471258048802</v>
      </c>
      <c r="DH8">
        <f t="shared" si="4"/>
        <v>71.659958309541139</v>
      </c>
      <c r="DI8">
        <f t="shared" si="4"/>
        <v>103.82331172171779</v>
      </c>
      <c r="DJ8">
        <f t="shared" si="4"/>
        <v>111.43250828094382</v>
      </c>
      <c r="DK8">
        <f t="shared" si="4"/>
        <v>95.119549710519465</v>
      </c>
      <c r="DL8">
        <f t="shared" si="4"/>
        <v>102.23470725867116</v>
      </c>
      <c r="DM8">
        <f t="shared" si="4"/>
        <v>102.54017921773733</v>
      </c>
      <c r="DN8">
        <f t="shared" si="4"/>
        <v>94.293937295756294</v>
      </c>
      <c r="DO8">
        <f t="shared" si="4"/>
        <v>96.515607695878415</v>
      </c>
      <c r="DP8">
        <f t="shared" si="4"/>
        <v>102.07153019562314</v>
      </c>
      <c r="DQ8">
        <f t="shared" si="4"/>
        <v>101.91317121898837</v>
      </c>
      <c r="DR8">
        <f t="shared" si="4"/>
        <v>98.382008192652066</v>
      </c>
      <c r="DS8">
        <f t="shared" si="4"/>
        <v>146.97936593043005</v>
      </c>
      <c r="DT8">
        <f t="shared" si="4"/>
        <v>68.316220320977777</v>
      </c>
      <c r="DU8">
        <f t="shared" si="4"/>
        <v>99.937969588014184</v>
      </c>
      <c r="DV8">
        <f t="shared" si="4"/>
        <v>108.22015254185824</v>
      </c>
      <c r="DW8">
        <f t="shared" si="4"/>
        <v>99.325979969142026</v>
      </c>
      <c r="DX8">
        <f t="shared" si="4"/>
        <v>101.66512494348754</v>
      </c>
      <c r="DY8">
        <f t="shared" si="4"/>
        <v>103.57570973514221</v>
      </c>
      <c r="DZ8">
        <f t="shared" si="4"/>
        <v>95.695971723916799</v>
      </c>
      <c r="EA8">
        <f t="shared" si="4"/>
        <v>93.892000726770661</v>
      </c>
      <c r="EB8">
        <f t="shared" si="4"/>
        <v>103.21923713554115</v>
      </c>
      <c r="EC8">
        <f t="shared" ref="EC8:EE8" si="5">EC7/EC6*100</f>
        <v>103.14939170064162</v>
      </c>
      <c r="ED8">
        <f t="shared" si="5"/>
        <v>98.069060649884293</v>
      </c>
      <c r="EE8">
        <f t="shared" si="5"/>
        <v>141.84525245974095</v>
      </c>
    </row>
    <row r="9" spans="1:135">
      <c r="B9" t="s">
        <v>206</v>
      </c>
      <c r="D9">
        <f>D8-100</f>
        <v>-29.328457899469669</v>
      </c>
      <c r="E9">
        <f t="shared" ref="E9:BP9" si="6">E8-100</f>
        <v>-0.91905475879816834</v>
      </c>
      <c r="F9">
        <f t="shared" si="6"/>
        <v>2.974264020263945</v>
      </c>
      <c r="G9">
        <f t="shared" si="6"/>
        <v>4.8332787399162385</v>
      </c>
      <c r="H9">
        <f t="shared" si="6"/>
        <v>-0.33979314553045015</v>
      </c>
      <c r="I9">
        <f t="shared" si="6"/>
        <v>2.7544123449247735</v>
      </c>
      <c r="J9">
        <f t="shared" si="6"/>
        <v>-4.9808653348751477</v>
      </c>
      <c r="K9">
        <f t="shared" si="6"/>
        <v>-5.4188495813521911</v>
      </c>
      <c r="L9">
        <f t="shared" si="6"/>
        <v>1.7052272765467649</v>
      </c>
      <c r="M9">
        <f t="shared" si="6"/>
        <v>0.6106511851797336</v>
      </c>
      <c r="N9">
        <f t="shared" si="6"/>
        <v>-0.77476753291762179</v>
      </c>
      <c r="O9">
        <f t="shared" si="6"/>
        <v>29.175857014498462</v>
      </c>
      <c r="P9">
        <f t="shared" si="6"/>
        <v>-25.476242398542965</v>
      </c>
      <c r="Q9">
        <f t="shared" si="6"/>
        <v>3.0671949391006592</v>
      </c>
      <c r="R9">
        <f t="shared" si="6"/>
        <v>4.3238794837012335</v>
      </c>
      <c r="S9">
        <f t="shared" si="6"/>
        <v>2.3574670126395887</v>
      </c>
      <c r="T9">
        <f t="shared" si="6"/>
        <v>1.6993478087608196</v>
      </c>
      <c r="U9">
        <f t="shared" si="6"/>
        <v>2.7896201507296041</v>
      </c>
      <c r="V9">
        <f t="shared" si="6"/>
        <v>-7.1587500128405139</v>
      </c>
      <c r="W9">
        <f t="shared" si="6"/>
        <v>-1.3548898399578917</v>
      </c>
      <c r="X9">
        <f t="shared" si="6"/>
        <v>1.0661447972925941</v>
      </c>
      <c r="Y9">
        <f t="shared" si="6"/>
        <v>-0.69039915609624813</v>
      </c>
      <c r="Z9">
        <f t="shared" si="6"/>
        <v>0.80460653256582759</v>
      </c>
      <c r="AA9">
        <f t="shared" si="6"/>
        <v>30.857801664000874</v>
      </c>
      <c r="AB9">
        <f t="shared" si="6"/>
        <v>-28.061326262263464</v>
      </c>
      <c r="AC9">
        <f t="shared" si="6"/>
        <v>2.8981447314154138</v>
      </c>
      <c r="AD9">
        <f t="shared" si="6"/>
        <v>6.6291724677421655</v>
      </c>
      <c r="AE9">
        <f t="shared" si="6"/>
        <v>3.1573332759489432</v>
      </c>
      <c r="AF9">
        <f t="shared" si="6"/>
        <v>0.78535734140727698</v>
      </c>
      <c r="AG9">
        <f t="shared" si="6"/>
        <v>3.8383728259798744</v>
      </c>
      <c r="AH9">
        <f t="shared" si="6"/>
        <v>-8.2194899509901518</v>
      </c>
      <c r="AI9">
        <f t="shared" si="6"/>
        <v>-2.0304314188131087</v>
      </c>
      <c r="AJ9">
        <f t="shared" si="6"/>
        <v>2.7096803657442337</v>
      </c>
      <c r="AK9">
        <f t="shared" si="6"/>
        <v>0.55115563217844965</v>
      </c>
      <c r="AL9">
        <f t="shared" si="6"/>
        <v>1.1210236912700253</v>
      </c>
      <c r="AM9">
        <f t="shared" si="6"/>
        <v>31.236799675301114</v>
      </c>
      <c r="AN9">
        <f t="shared" si="6"/>
        <v>-24.026599051622114</v>
      </c>
      <c r="AO9">
        <f t="shared" si="6"/>
        <v>3.4393672794726484</v>
      </c>
      <c r="AP9">
        <f t="shared" si="6"/>
        <v>4.4450087589315501</v>
      </c>
      <c r="AQ9">
        <f t="shared" si="6"/>
        <v>2.0141269042442076</v>
      </c>
      <c r="AR9">
        <f t="shared" si="6"/>
        <v>1.2162845054237437</v>
      </c>
      <c r="AS9">
        <f t="shared" si="6"/>
        <v>3.5143752129223316</v>
      </c>
      <c r="AT9">
        <f t="shared" si="6"/>
        <v>-7.7403852187050717</v>
      </c>
      <c r="AU9">
        <f t="shared" si="6"/>
        <v>-2.4850736013944754</v>
      </c>
      <c r="AV9">
        <f t="shared" si="6"/>
        <v>0.83157145745005323</v>
      </c>
      <c r="AW9">
        <f t="shared" si="6"/>
        <v>0.98080855769549657</v>
      </c>
      <c r="AX9">
        <f t="shared" si="6"/>
        <v>0.12148003460102075</v>
      </c>
      <c r="AY9">
        <f t="shared" si="6"/>
        <v>29.372985094075091</v>
      </c>
      <c r="AZ9">
        <f t="shared" si="6"/>
        <v>-24.705570787681211</v>
      </c>
      <c r="BA9">
        <f t="shared" si="6"/>
        <v>1.4445796989526656</v>
      </c>
      <c r="BB9">
        <f t="shared" si="6"/>
        <v>7.2314772050270761</v>
      </c>
      <c r="BC9">
        <f t="shared" si="6"/>
        <v>3.3821134936580393</v>
      </c>
      <c r="BD9">
        <f t="shared" si="6"/>
        <v>-0.55389944346499931</v>
      </c>
      <c r="BE9">
        <f t="shared" si="6"/>
        <v>2.9252891208104188</v>
      </c>
      <c r="BF9">
        <f t="shared" si="6"/>
        <v>-5.9401208072656004</v>
      </c>
      <c r="BG9">
        <f t="shared" si="6"/>
        <v>-3.095876968561484</v>
      </c>
      <c r="BH9">
        <f t="shared" si="6"/>
        <v>1.4514074972307185</v>
      </c>
      <c r="BI9">
        <f t="shared" si="6"/>
        <v>2.0808421472170835</v>
      </c>
      <c r="BJ9">
        <f t="shared" si="6"/>
        <v>-0.84576436530893773</v>
      </c>
      <c r="BK9">
        <f t="shared" si="6"/>
        <v>33.988395940045592</v>
      </c>
      <c r="BL9">
        <f t="shared" si="6"/>
        <v>-25.307314397474926</v>
      </c>
      <c r="BM9">
        <f t="shared" si="6"/>
        <v>0.91489030035639018</v>
      </c>
      <c r="BN9">
        <f t="shared" si="6"/>
        <v>7.2208283723233677</v>
      </c>
      <c r="BO9">
        <f t="shared" si="6"/>
        <v>-4.0185898623446121</v>
      </c>
      <c r="BP9">
        <f t="shared" si="6"/>
        <v>2.6444112193876066</v>
      </c>
      <c r="BQ9">
        <f t="shared" ref="BQ9:EB9" si="7">BQ8-100</f>
        <v>2.4872274974935493</v>
      </c>
      <c r="BR9">
        <f t="shared" si="7"/>
        <v>-4.1304061251105679</v>
      </c>
      <c r="BS9">
        <f t="shared" si="7"/>
        <v>-4.9407279538564666</v>
      </c>
      <c r="BT9">
        <f t="shared" si="7"/>
        <v>3.4517461067411688</v>
      </c>
      <c r="BU9">
        <f t="shared" si="7"/>
        <v>0.13743053525811888</v>
      </c>
      <c r="BV9">
        <f t="shared" si="7"/>
        <v>-1.2345572110973393</v>
      </c>
      <c r="BW9">
        <f t="shared" si="7"/>
        <v>39.438468264199344</v>
      </c>
      <c r="BX9">
        <f t="shared" si="7"/>
        <v>-29.000501196414319</v>
      </c>
      <c r="BY9">
        <f t="shared" si="7"/>
        <v>2.6577268447331051</v>
      </c>
      <c r="BZ9">
        <f t="shared" si="7"/>
        <v>7.0603220444112935</v>
      </c>
      <c r="CA9">
        <f t="shared" si="7"/>
        <v>1.9557650277812684</v>
      </c>
      <c r="CB9">
        <f t="shared" si="7"/>
        <v>-1.5106083035608862</v>
      </c>
      <c r="CC9">
        <f t="shared" si="7"/>
        <v>3.9300954201658698</v>
      </c>
      <c r="CD9">
        <f t="shared" si="7"/>
        <v>-6.4346520034402062</v>
      </c>
      <c r="CE9">
        <f t="shared" si="7"/>
        <v>-5.2629384564473156</v>
      </c>
      <c r="CF9">
        <f t="shared" si="7"/>
        <v>3.8312110828518655</v>
      </c>
      <c r="CG9">
        <f t="shared" si="7"/>
        <v>-1.166718505596009</v>
      </c>
      <c r="CH9">
        <f t="shared" si="7"/>
        <v>0.84418878479313264</v>
      </c>
      <c r="CI9">
        <f t="shared" si="7"/>
        <v>39.037892637703948</v>
      </c>
      <c r="CJ9">
        <f t="shared" si="7"/>
        <v>-29.262933665594105</v>
      </c>
      <c r="CK9">
        <f t="shared" si="7"/>
        <v>1.7291650039956892</v>
      </c>
      <c r="CL9">
        <f t="shared" si="7"/>
        <v>8.1836993862936396</v>
      </c>
      <c r="CM9">
        <f t="shared" si="7"/>
        <v>-8.1563599660436665</v>
      </c>
      <c r="CN9">
        <f t="shared" si="7"/>
        <v>0.18153792663110835</v>
      </c>
      <c r="CO9">
        <f t="shared" si="7"/>
        <v>6.9635669354788376</v>
      </c>
      <c r="CP9">
        <f t="shared" si="7"/>
        <v>-6.2022456948893563</v>
      </c>
      <c r="CQ9">
        <f t="shared" si="7"/>
        <v>-3.1830648949115385</v>
      </c>
      <c r="CR9">
        <f t="shared" si="7"/>
        <v>3.2401653102975843</v>
      </c>
      <c r="CS9">
        <f t="shared" si="7"/>
        <v>0.7743470038203526</v>
      </c>
      <c r="CT9">
        <f t="shared" si="7"/>
        <v>0.57249367573386678</v>
      </c>
      <c r="CU9">
        <f t="shared" si="7"/>
        <v>39.206009517088006</v>
      </c>
      <c r="CV9">
        <f t="shared" si="7"/>
        <v>-29.08947052846446</v>
      </c>
      <c r="CW9">
        <f t="shared" si="7"/>
        <v>2.427019877780495</v>
      </c>
      <c r="CX9">
        <f t="shared" si="7"/>
        <v>9.1832783939990605</v>
      </c>
      <c r="CY9">
        <f t="shared" si="7"/>
        <v>-0.56122907364357388</v>
      </c>
      <c r="CZ9">
        <f t="shared" si="7"/>
        <v>1.9977349690592376</v>
      </c>
      <c r="DA9">
        <f t="shared" si="7"/>
        <v>4.7639699902944415</v>
      </c>
      <c r="DB9">
        <f t="shared" si="7"/>
        <v>-7.3519798267175531</v>
      </c>
      <c r="DC9">
        <f t="shared" si="7"/>
        <v>-3.0441124914870699</v>
      </c>
      <c r="DD9">
        <f t="shared" si="7"/>
        <v>1.2537654510963279</v>
      </c>
      <c r="DE9">
        <f t="shared" si="7"/>
        <v>3.2433879669844288</v>
      </c>
      <c r="DF9">
        <f t="shared" si="7"/>
        <v>-1.6959467958739651</v>
      </c>
      <c r="DG9">
        <f t="shared" si="7"/>
        <v>40.444712580488016</v>
      </c>
      <c r="DH9">
        <f t="shared" si="7"/>
        <v>-28.340041690458861</v>
      </c>
      <c r="DI9">
        <f t="shared" si="7"/>
        <v>3.8233117217177863</v>
      </c>
      <c r="DJ9">
        <f t="shared" si="7"/>
        <v>11.432508280943821</v>
      </c>
      <c r="DK9">
        <f t="shared" si="7"/>
        <v>-4.8804502894805353</v>
      </c>
      <c r="DL9">
        <f t="shared" si="7"/>
        <v>2.2347072586711647</v>
      </c>
      <c r="DM9">
        <f t="shared" si="7"/>
        <v>2.5401792177373324</v>
      </c>
      <c r="DN9">
        <f t="shared" si="7"/>
        <v>-5.7060627042437062</v>
      </c>
      <c r="DO9">
        <f t="shared" si="7"/>
        <v>-3.4843923041215845</v>
      </c>
      <c r="DP9">
        <f t="shared" si="7"/>
        <v>2.07153019562314</v>
      </c>
      <c r="DQ9">
        <f t="shared" si="7"/>
        <v>1.9131712189883672</v>
      </c>
      <c r="DR9">
        <f t="shared" si="7"/>
        <v>-1.6179918073479342</v>
      </c>
      <c r="DS9">
        <f t="shared" si="7"/>
        <v>46.979365930430049</v>
      </c>
      <c r="DT9">
        <f t="shared" si="7"/>
        <v>-31.683779679022223</v>
      </c>
      <c r="DU9">
        <f t="shared" si="7"/>
        <v>-6.2030411985816158E-2</v>
      </c>
      <c r="DV9">
        <f t="shared" si="7"/>
        <v>8.2201525418582406</v>
      </c>
      <c r="DW9">
        <f t="shared" si="7"/>
        <v>-0.67402003085797446</v>
      </c>
      <c r="DX9">
        <f t="shared" si="7"/>
        <v>1.665124943487541</v>
      </c>
      <c r="DY9">
        <f t="shared" si="7"/>
        <v>3.5757097351422118</v>
      </c>
      <c r="DZ9">
        <f t="shared" si="7"/>
        <v>-4.3040282760832014</v>
      </c>
      <c r="EA9">
        <f t="shared" si="7"/>
        <v>-6.1079992732293391</v>
      </c>
      <c r="EB9">
        <f t="shared" si="7"/>
        <v>3.2192371355411495</v>
      </c>
      <c r="EC9">
        <f t="shared" ref="EC9:EE9" si="8">EC8-100</f>
        <v>3.1493917006416154</v>
      </c>
      <c r="ED9">
        <f t="shared" si="8"/>
        <v>-1.9309393501157075</v>
      </c>
      <c r="EE9">
        <f t="shared" si="8"/>
        <v>41.845252459740948</v>
      </c>
    </row>
    <row r="10" spans="1:135">
      <c r="D10">
        <v>-29.328457899469669</v>
      </c>
      <c r="E10">
        <v>-0.91905475879816834</v>
      </c>
      <c r="F10">
        <v>2.974264020263945</v>
      </c>
      <c r="G10">
        <v>4.8332787399162385</v>
      </c>
      <c r="H10">
        <v>-0.33979314553045015</v>
      </c>
      <c r="I10">
        <v>2.7544123449247735</v>
      </c>
      <c r="J10">
        <v>-4.9808653348751477</v>
      </c>
      <c r="K10">
        <v>-5.4188495813521911</v>
      </c>
      <c r="L10">
        <v>1.7052272765467649</v>
      </c>
      <c r="M10">
        <v>0.6106511851797336</v>
      </c>
      <c r="N10">
        <v>-0.77476753291762179</v>
      </c>
      <c r="O10">
        <v>29.175857014498462</v>
      </c>
      <c r="P10">
        <v>-25.476242398542965</v>
      </c>
      <c r="Q10">
        <v>3.0671949391006592</v>
      </c>
      <c r="R10">
        <v>4.3238794837012335</v>
      </c>
      <c r="S10">
        <v>2.3574670126395887</v>
      </c>
      <c r="T10">
        <v>1.6993478087608196</v>
      </c>
      <c r="U10">
        <v>2.7896201507296041</v>
      </c>
      <c r="V10">
        <v>-7.1587500128405139</v>
      </c>
      <c r="W10">
        <v>-1.3548898399578917</v>
      </c>
      <c r="X10">
        <v>1.0661447972925941</v>
      </c>
      <c r="Y10">
        <v>-0.69039915609624813</v>
      </c>
      <c r="Z10">
        <v>0.80460653256582759</v>
      </c>
      <c r="AA10">
        <v>30.857801664000874</v>
      </c>
      <c r="AB10">
        <v>-28.061326262263464</v>
      </c>
      <c r="AC10">
        <v>2.8981447314154138</v>
      </c>
      <c r="AD10">
        <v>6.6291724677421655</v>
      </c>
      <c r="AE10">
        <v>3.1573332759489432</v>
      </c>
      <c r="AF10">
        <v>0.78535734140727698</v>
      </c>
      <c r="AG10">
        <v>3.8383728259798744</v>
      </c>
      <c r="AH10">
        <v>-8.2194899509901518</v>
      </c>
      <c r="AI10">
        <v>-2.0304314188131087</v>
      </c>
      <c r="AJ10">
        <v>2.7096803657442337</v>
      </c>
      <c r="AK10">
        <v>0.55115563217844965</v>
      </c>
      <c r="AL10">
        <v>1.1210236912700253</v>
      </c>
      <c r="AM10">
        <v>31.236799675301114</v>
      </c>
      <c r="AN10">
        <v>-24.026599051622114</v>
      </c>
      <c r="AO10">
        <v>3.4393672794726484</v>
      </c>
      <c r="AP10">
        <v>4.4450087589315501</v>
      </c>
      <c r="AQ10">
        <v>2.0141269042442076</v>
      </c>
      <c r="AR10">
        <v>1.2162845054237437</v>
      </c>
      <c r="AS10">
        <v>3.5143752129223316</v>
      </c>
      <c r="AT10">
        <v>-7.7403852187050717</v>
      </c>
      <c r="AU10">
        <v>-2.4850736013944754</v>
      </c>
      <c r="AV10">
        <v>0.83157145745005323</v>
      </c>
      <c r="AW10">
        <v>0.98080855769549657</v>
      </c>
      <c r="AX10">
        <v>0.12148003460102075</v>
      </c>
      <c r="AY10">
        <v>29.372985094075091</v>
      </c>
      <c r="AZ10">
        <v>-24.705570787681211</v>
      </c>
      <c r="BA10">
        <v>1.4445796989526656</v>
      </c>
      <c r="BB10">
        <v>7.2314772050270761</v>
      </c>
      <c r="BC10">
        <v>3.3821134936580393</v>
      </c>
      <c r="BD10">
        <v>-0.55389944346499931</v>
      </c>
      <c r="BE10">
        <v>2.9252891208104188</v>
      </c>
      <c r="BF10">
        <v>-5.9401208072656004</v>
      </c>
      <c r="BG10">
        <v>-3.095876968561484</v>
      </c>
      <c r="BH10">
        <v>1.4514074972307185</v>
      </c>
      <c r="BI10">
        <v>2.0808421472170835</v>
      </c>
      <c r="BJ10">
        <v>-0.84576436530893773</v>
      </c>
      <c r="BK10">
        <v>33.988395940045592</v>
      </c>
      <c r="BL10">
        <v>-25.307314397474926</v>
      </c>
      <c r="BM10">
        <v>0.91489030035639018</v>
      </c>
      <c r="BN10">
        <v>7.2208283723233677</v>
      </c>
      <c r="BO10">
        <v>-4.0185898623446121</v>
      </c>
      <c r="BP10">
        <v>2.6444112193876066</v>
      </c>
      <c r="BQ10">
        <v>2.4872274974935493</v>
      </c>
      <c r="BR10">
        <v>-4.1304061251105679</v>
      </c>
      <c r="BS10">
        <v>-4.9407279538564666</v>
      </c>
      <c r="BT10">
        <v>3.4517461067411688</v>
      </c>
      <c r="BU10">
        <v>0.13743053525811888</v>
      </c>
      <c r="BV10">
        <v>-1.2345572110973393</v>
      </c>
      <c r="BW10">
        <v>39.438468264199344</v>
      </c>
      <c r="BX10">
        <v>-29.000501196414319</v>
      </c>
      <c r="BY10">
        <v>2.6577268447331051</v>
      </c>
      <c r="BZ10">
        <v>7.0603220444112935</v>
      </c>
      <c r="CA10">
        <v>1.9557650277812684</v>
      </c>
      <c r="CB10">
        <v>-1.5106083035608862</v>
      </c>
      <c r="CC10">
        <v>3.9300954201658698</v>
      </c>
      <c r="CD10">
        <v>-6.4346520034402062</v>
      </c>
      <c r="CE10">
        <v>-5.2629384564473156</v>
      </c>
      <c r="CF10">
        <v>3.8312110828518655</v>
      </c>
      <c r="CG10">
        <v>-1.166718505596009</v>
      </c>
      <c r="CH10">
        <v>0.84418878479313264</v>
      </c>
      <c r="CI10">
        <v>39.037892637703948</v>
      </c>
      <c r="CJ10">
        <v>-29.262933665594105</v>
      </c>
      <c r="CK10">
        <v>1.7291650039956892</v>
      </c>
      <c r="CL10">
        <v>8.1836993862936396</v>
      </c>
      <c r="CM10">
        <v>-8.1563599660436665</v>
      </c>
      <c r="CN10">
        <v>0.18153792663110835</v>
      </c>
      <c r="CO10">
        <v>6.9635669354788376</v>
      </c>
      <c r="CP10">
        <v>-6.2022456948893563</v>
      </c>
      <c r="CQ10">
        <v>-3.1830648949115385</v>
      </c>
      <c r="CR10">
        <v>3.2401653102975843</v>
      </c>
      <c r="CS10">
        <v>0.7743470038203526</v>
      </c>
      <c r="CT10">
        <v>0.57249367573386678</v>
      </c>
      <c r="CU10">
        <v>39.206009517088006</v>
      </c>
      <c r="CV10">
        <v>-29.08947052846446</v>
      </c>
      <c r="CW10">
        <v>2.427019877780495</v>
      </c>
      <c r="CX10">
        <v>9.1832783939990605</v>
      </c>
      <c r="CY10">
        <v>-0.56122907364357388</v>
      </c>
      <c r="CZ10">
        <v>1.9977349690592376</v>
      </c>
      <c r="DA10">
        <v>4.7639699902944415</v>
      </c>
      <c r="DB10">
        <v>-7.3519798267175531</v>
      </c>
      <c r="DC10">
        <v>-3.0441124914870699</v>
      </c>
      <c r="DD10">
        <v>1.2537654510963279</v>
      </c>
      <c r="DE10">
        <v>3.2433879669844288</v>
      </c>
      <c r="DF10">
        <v>-1.6959467958739651</v>
      </c>
      <c r="DG10">
        <v>40.444712580488016</v>
      </c>
      <c r="DH10">
        <v>-28.340041690458861</v>
      </c>
      <c r="DI10">
        <v>3.8233117217177863</v>
      </c>
      <c r="DJ10">
        <v>11.432508280943821</v>
      </c>
      <c r="DK10">
        <v>-4.8804502894805353</v>
      </c>
      <c r="DL10">
        <v>2.2347072586711647</v>
      </c>
      <c r="DM10">
        <v>2.5401792177373324</v>
      </c>
      <c r="DN10">
        <v>-5.7060627042437062</v>
      </c>
      <c r="DO10">
        <v>-3.4843923041215845</v>
      </c>
      <c r="DP10">
        <v>2.07153019562314</v>
      </c>
      <c r="DQ10">
        <v>1.9131712189883672</v>
      </c>
      <c r="DR10">
        <v>-1.6179918073479342</v>
      </c>
      <c r="DS10">
        <v>46.979365930430049</v>
      </c>
      <c r="DT10">
        <v>-31.683779679022223</v>
      </c>
      <c r="DU10">
        <v>-6.2030411985816158E-2</v>
      </c>
      <c r="DV10">
        <v>8.2201525418582406</v>
      </c>
      <c r="DW10">
        <v>-0.67402003085797446</v>
      </c>
      <c r="DX10">
        <v>1.665124943487541</v>
      </c>
      <c r="DY10">
        <v>3.5757097351422118</v>
      </c>
      <c r="DZ10">
        <v>-4.3040282760832014</v>
      </c>
      <c r="EA10">
        <v>-6.1079992732293391</v>
      </c>
      <c r="EB10">
        <v>3.2192371355411495</v>
      </c>
      <c r="EC10">
        <v>3.1493917006416154</v>
      </c>
      <c r="ED10">
        <v>-1.9309393501157075</v>
      </c>
      <c r="EE10">
        <v>41.845252459740948</v>
      </c>
    </row>
    <row r="16" spans="1:135">
      <c r="C16" s="64">
        <v>0</v>
      </c>
      <c r="D16" s="66">
        <v>2014</v>
      </c>
      <c r="E16" s="65">
        <v>2015</v>
      </c>
      <c r="F16" s="65">
        <v>2016</v>
      </c>
      <c r="G16" s="65">
        <v>2017</v>
      </c>
      <c r="H16" s="65">
        <v>2018</v>
      </c>
      <c r="I16" s="65">
        <v>2019</v>
      </c>
      <c r="J16" s="65">
        <v>2020</v>
      </c>
      <c r="K16" s="65">
        <v>2021</v>
      </c>
      <c r="L16" s="65">
        <v>2022</v>
      </c>
      <c r="M16" s="65">
        <v>2023</v>
      </c>
      <c r="N16" s="65">
        <v>2024</v>
      </c>
      <c r="O16" s="65">
        <v>2025</v>
      </c>
      <c r="P16" s="65">
        <v>2026</v>
      </c>
      <c r="Q16" s="67"/>
    </row>
    <row r="17" spans="3:17">
      <c r="C17" s="68" t="s">
        <v>199</v>
      </c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6"/>
      <c r="Q17" s="67"/>
    </row>
    <row r="18" spans="3:17">
      <c r="C18" s="69" t="s">
        <v>41</v>
      </c>
      <c r="D18" s="70">
        <v>100.59</v>
      </c>
      <c r="E18" s="70">
        <v>103.85</v>
      </c>
      <c r="F18" s="70">
        <v>100.96</v>
      </c>
      <c r="G18" s="71">
        <v>100.62</v>
      </c>
      <c r="H18" s="72">
        <v>100.31</v>
      </c>
      <c r="I18" s="73">
        <v>101.01</v>
      </c>
      <c r="J18" s="72">
        <v>100.4</v>
      </c>
      <c r="K18" s="73">
        <v>100.67</v>
      </c>
      <c r="L18" s="74">
        <v>100.99</v>
      </c>
      <c r="M18" s="73">
        <v>100.84</v>
      </c>
      <c r="N18" s="74">
        <v>100.86</v>
      </c>
      <c r="O18" s="75">
        <v>101.23</v>
      </c>
      <c r="P18" s="75">
        <v>101.62</v>
      </c>
      <c r="Q18" s="67"/>
    </row>
    <row r="19" spans="3:17">
      <c r="C19" s="69" t="s">
        <v>42</v>
      </c>
      <c r="D19" s="70">
        <v>100.7</v>
      </c>
      <c r="E19" s="70">
        <v>102.22</v>
      </c>
      <c r="F19" s="70">
        <v>100.63</v>
      </c>
      <c r="G19" s="71">
        <v>100.22</v>
      </c>
      <c r="H19" s="72">
        <v>100.21</v>
      </c>
      <c r="I19" s="73">
        <v>100.44</v>
      </c>
      <c r="J19" s="74">
        <v>100.33</v>
      </c>
      <c r="K19" s="73">
        <v>100.78</v>
      </c>
      <c r="L19" s="74">
        <v>101.17</v>
      </c>
      <c r="M19" s="73">
        <v>100.46</v>
      </c>
      <c r="N19" s="74">
        <v>100.68</v>
      </c>
      <c r="O19" s="75">
        <v>100.81</v>
      </c>
      <c r="P19" s="75">
        <v>100.73</v>
      </c>
      <c r="Q19" s="67"/>
    </row>
    <row r="20" spans="3:17">
      <c r="C20" s="69" t="s">
        <v>43</v>
      </c>
      <c r="D20" s="70">
        <v>101.02</v>
      </c>
      <c r="E20" s="70">
        <v>101.21</v>
      </c>
      <c r="F20" s="70">
        <v>100.46</v>
      </c>
      <c r="G20" s="71">
        <v>100.13</v>
      </c>
      <c r="H20" s="72">
        <v>100.29</v>
      </c>
      <c r="I20" s="73">
        <v>100.32</v>
      </c>
      <c r="J20" s="74">
        <v>100.55</v>
      </c>
      <c r="K20" s="73">
        <v>100.66</v>
      </c>
      <c r="L20" s="74">
        <v>107.61</v>
      </c>
      <c r="M20" s="73">
        <v>100.37</v>
      </c>
      <c r="N20" s="74">
        <v>100.39</v>
      </c>
      <c r="O20" s="75">
        <v>100.65</v>
      </c>
      <c r="P20" s="70">
        <v>100.6</v>
      </c>
      <c r="Q20" s="67"/>
    </row>
    <row r="21" spans="3:17">
      <c r="C21" s="69" t="s">
        <v>44</v>
      </c>
      <c r="D21" s="70">
        <v>100.9</v>
      </c>
      <c r="E21" s="70">
        <v>100.46</v>
      </c>
      <c r="F21" s="70">
        <v>100.44</v>
      </c>
      <c r="G21" s="71">
        <v>100.33</v>
      </c>
      <c r="H21" s="72">
        <v>100.38</v>
      </c>
      <c r="I21" s="73">
        <v>100.29</v>
      </c>
      <c r="J21" s="74">
        <v>100.83</v>
      </c>
      <c r="K21" s="73">
        <v>100.58</v>
      </c>
      <c r="L21" s="74">
        <v>101.56</v>
      </c>
      <c r="M21" s="73">
        <v>100.38</v>
      </c>
      <c r="N21" s="72">
        <v>100.5</v>
      </c>
      <c r="O21" s="70">
        <v>100.4</v>
      </c>
      <c r="P21" s="75"/>
      <c r="Q21" s="67"/>
    </row>
    <row r="22" spans="3:17">
      <c r="C22" s="69" t="s">
        <v>45</v>
      </c>
      <c r="D22" s="70">
        <v>100.9</v>
      </c>
      <c r="E22" s="70">
        <v>100.35</v>
      </c>
      <c r="F22" s="70">
        <v>100.41</v>
      </c>
      <c r="G22" s="71">
        <v>100.37</v>
      </c>
      <c r="H22" s="72">
        <v>100.38</v>
      </c>
      <c r="I22" s="73">
        <v>100.34</v>
      </c>
      <c r="J22" s="74">
        <v>100.27</v>
      </c>
      <c r="K22" s="73">
        <v>100.74</v>
      </c>
      <c r="L22" s="74">
        <v>100.12</v>
      </c>
      <c r="M22" s="73">
        <v>100.31</v>
      </c>
      <c r="N22" s="74">
        <v>100.74</v>
      </c>
      <c r="O22" s="70">
        <v>100.43</v>
      </c>
      <c r="P22" s="75"/>
      <c r="Q22" s="67"/>
    </row>
    <row r="23" spans="3:17">
      <c r="C23" s="69" t="s">
        <v>46</v>
      </c>
      <c r="D23" s="70">
        <v>100.62</v>
      </c>
      <c r="E23" s="70">
        <v>100.19</v>
      </c>
      <c r="F23" s="70">
        <v>100.36</v>
      </c>
      <c r="G23" s="71">
        <v>100.61</v>
      </c>
      <c r="H23" s="72">
        <v>100.49</v>
      </c>
      <c r="I23" s="71">
        <v>100.04</v>
      </c>
      <c r="J23" s="74">
        <v>100.22</v>
      </c>
      <c r="K23" s="73">
        <v>100.69</v>
      </c>
      <c r="L23" s="74">
        <v>99.65</v>
      </c>
      <c r="M23" s="73">
        <v>100.37</v>
      </c>
      <c r="N23" s="74">
        <v>100.64</v>
      </c>
      <c r="O23" s="70">
        <v>100.2</v>
      </c>
      <c r="P23" s="75"/>
      <c r="Q23" s="67"/>
    </row>
    <row r="24" spans="3:17">
      <c r="C24" s="69" t="s">
        <v>47</v>
      </c>
      <c r="D24" s="70">
        <v>100.49</v>
      </c>
      <c r="E24" s="70">
        <v>100.8</v>
      </c>
      <c r="F24" s="70">
        <v>100.54</v>
      </c>
      <c r="G24" s="71">
        <v>100.07</v>
      </c>
      <c r="H24" s="72">
        <v>100.27</v>
      </c>
      <c r="I24" s="71">
        <v>100.2</v>
      </c>
      <c r="J24" s="74">
        <v>100.35</v>
      </c>
      <c r="K24" s="73">
        <v>100.31</v>
      </c>
      <c r="L24" s="74">
        <v>99.61</v>
      </c>
      <c r="M24" s="73">
        <v>100.63</v>
      </c>
      <c r="N24" s="74">
        <v>101.14</v>
      </c>
      <c r="O24" s="75">
        <v>100.57</v>
      </c>
      <c r="P24" s="75"/>
      <c r="Q24" s="67"/>
    </row>
    <row r="25" spans="3:17">
      <c r="C25" s="69" t="s">
        <v>48</v>
      </c>
      <c r="D25" s="70">
        <v>100.24</v>
      </c>
      <c r="E25" s="70">
        <v>100.35</v>
      </c>
      <c r="F25" s="70">
        <v>100.01</v>
      </c>
      <c r="G25" s="71">
        <v>99.46</v>
      </c>
      <c r="H25" s="72">
        <v>100.01</v>
      </c>
      <c r="I25" s="73">
        <v>99.76</v>
      </c>
      <c r="J25" s="74">
        <v>99.96</v>
      </c>
      <c r="K25" s="73">
        <v>100.17</v>
      </c>
      <c r="L25" s="74">
        <v>99.48</v>
      </c>
      <c r="M25" s="73">
        <v>100.28</v>
      </c>
      <c r="N25" s="72">
        <v>100.2</v>
      </c>
      <c r="O25" s="70">
        <v>99.6</v>
      </c>
      <c r="P25" s="75"/>
      <c r="Q25" s="76"/>
    </row>
    <row r="26" spans="3:17">
      <c r="C26" s="69" t="s">
        <v>49</v>
      </c>
      <c r="D26" s="70">
        <v>100.65</v>
      </c>
      <c r="E26" s="70">
        <v>100.57</v>
      </c>
      <c r="F26" s="70">
        <v>100.17</v>
      </c>
      <c r="G26" s="71">
        <v>99.85</v>
      </c>
      <c r="H26" s="72">
        <v>100.16</v>
      </c>
      <c r="I26" s="73">
        <v>99.84</v>
      </c>
      <c r="J26" s="74">
        <v>99.93</v>
      </c>
      <c r="K26" s="71">
        <v>100.6</v>
      </c>
      <c r="L26" s="74">
        <v>100.05</v>
      </c>
      <c r="M26" s="73">
        <v>100.87</v>
      </c>
      <c r="N26" s="74">
        <v>100.48</v>
      </c>
      <c r="O26" s="75">
        <v>100.34</v>
      </c>
      <c r="P26" s="75"/>
      <c r="Q26" s="67"/>
    </row>
    <row r="27" spans="3:17">
      <c r="C27" s="69" t="s">
        <v>50</v>
      </c>
      <c r="D27" s="70">
        <v>100.82</v>
      </c>
      <c r="E27" s="70">
        <v>100.74</v>
      </c>
      <c r="F27" s="70">
        <v>100.43</v>
      </c>
      <c r="G27" s="71">
        <v>100.2</v>
      </c>
      <c r="H27" s="72">
        <v>100.35</v>
      </c>
      <c r="I27" s="73">
        <v>100.13</v>
      </c>
      <c r="J27" s="74">
        <v>100.43</v>
      </c>
      <c r="K27" s="73">
        <v>101.11</v>
      </c>
      <c r="L27" s="74">
        <v>100.18</v>
      </c>
      <c r="M27" s="73">
        <v>100.83</v>
      </c>
      <c r="N27" s="74">
        <v>100.75</v>
      </c>
      <c r="O27" s="70">
        <v>100.5</v>
      </c>
      <c r="P27" s="75"/>
      <c r="Q27" s="67"/>
    </row>
    <row r="28" spans="3:17">
      <c r="C28" s="69" t="s">
        <v>51</v>
      </c>
      <c r="D28" s="70">
        <v>101.28</v>
      </c>
      <c r="E28" s="70">
        <v>100.75</v>
      </c>
      <c r="F28" s="70">
        <v>100.44</v>
      </c>
      <c r="G28" s="71">
        <v>100.22</v>
      </c>
      <c r="H28" s="72">
        <v>100.5</v>
      </c>
      <c r="I28" s="73">
        <v>100.28</v>
      </c>
      <c r="J28" s="74">
        <v>100.71</v>
      </c>
      <c r="K28" s="73">
        <v>100.96</v>
      </c>
      <c r="L28" s="74">
        <v>100.37</v>
      </c>
      <c r="M28" s="71">
        <v>101.11</v>
      </c>
      <c r="N28" s="74">
        <v>101.43</v>
      </c>
      <c r="O28" s="75">
        <v>100.42</v>
      </c>
      <c r="P28" s="75"/>
      <c r="Q28" s="67"/>
    </row>
    <row r="29" spans="3:17">
      <c r="C29" s="69" t="s">
        <v>52</v>
      </c>
      <c r="D29" s="70">
        <v>102.62</v>
      </c>
      <c r="E29" s="70">
        <v>100.77</v>
      </c>
      <c r="F29" s="70">
        <v>100.4</v>
      </c>
      <c r="G29" s="71">
        <v>100.42</v>
      </c>
      <c r="H29" s="72">
        <v>100.84</v>
      </c>
      <c r="I29" s="73">
        <v>100.36</v>
      </c>
      <c r="J29" s="74">
        <v>100.83</v>
      </c>
      <c r="K29" s="73">
        <v>100.82</v>
      </c>
      <c r="L29" s="74">
        <v>100.78</v>
      </c>
      <c r="M29" s="73">
        <v>100.73</v>
      </c>
      <c r="N29" s="74">
        <v>101.32</v>
      </c>
      <c r="O29" s="75">
        <v>100.32</v>
      </c>
      <c r="P29" s="75"/>
      <c r="Q29" s="67"/>
    </row>
    <row r="30" spans="3:17">
      <c r="C30" s="77" t="s">
        <v>200</v>
      </c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4"/>
      <c r="Q30" s="67"/>
    </row>
    <row r="31" spans="3:17">
      <c r="C31" s="78" t="s">
        <v>52</v>
      </c>
      <c r="D31" s="79">
        <v>111.35</v>
      </c>
      <c r="E31" s="79">
        <v>112.91</v>
      </c>
      <c r="F31" s="79">
        <v>105.39</v>
      </c>
      <c r="G31" s="79">
        <v>102.51</v>
      </c>
      <c r="H31" s="79">
        <v>104.26</v>
      </c>
      <c r="I31" s="80">
        <v>103.04</v>
      </c>
      <c r="J31" s="81">
        <v>104.91</v>
      </c>
      <c r="K31" s="79">
        <v>108.39</v>
      </c>
      <c r="L31" s="79">
        <v>111.94</v>
      </c>
      <c r="M31" s="79">
        <v>107.42</v>
      </c>
      <c r="N31" s="79">
        <v>109.52</v>
      </c>
      <c r="O31" s="82">
        <v>105.59</v>
      </c>
      <c r="P31" s="82" t="s">
        <v>201</v>
      </c>
      <c r="Q31" s="67"/>
    </row>
  </sheetData>
  <mergeCells count="12">
    <mergeCell ref="A3:B4"/>
    <mergeCell ref="D3:O3"/>
    <mergeCell ref="P3:AA3"/>
    <mergeCell ref="CV3:DG3"/>
    <mergeCell ref="DH3:DS3"/>
    <mergeCell ref="DT3:EE3"/>
    <mergeCell ref="AB3:AM3"/>
    <mergeCell ref="AN3:AY3"/>
    <mergeCell ref="AZ3:BK3"/>
    <mergeCell ref="BL3:BW3"/>
    <mergeCell ref="BX3:CI3"/>
    <mergeCell ref="CJ3:CU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2052-B900-474A-A390-A1286CB94BB1}">
  <dimension ref="A1:EE147"/>
  <sheetViews>
    <sheetView workbookViewId="0">
      <selection activeCell="E25" sqref="E25"/>
    </sheetView>
  </sheetViews>
  <sheetFormatPr baseColWidth="10" defaultRowHeight="16"/>
  <cols>
    <col min="2" max="30" width="10" bestFit="1" customWidth="1"/>
    <col min="31" max="31" width="11" bestFit="1" customWidth="1"/>
    <col min="32" max="135" width="10" bestFit="1" customWidth="1"/>
  </cols>
  <sheetData>
    <row r="1" spans="1:135">
      <c r="A1" s="6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</row>
    <row r="2" spans="1:135">
      <c r="A2" s="7" t="s">
        <v>74</v>
      </c>
      <c r="B2" s="7" t="s">
        <v>75</v>
      </c>
      <c r="C2" s="7" t="s">
        <v>76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</row>
    <row r="3" spans="1:135">
      <c r="A3" s="2"/>
      <c r="B3" s="103" t="s">
        <v>77</v>
      </c>
      <c r="C3" s="103" t="s">
        <v>77</v>
      </c>
      <c r="D3" s="103" t="s">
        <v>77</v>
      </c>
      <c r="E3" s="103" t="s">
        <v>77</v>
      </c>
      <c r="F3" s="103" t="s">
        <v>77</v>
      </c>
      <c r="G3" s="103" t="s">
        <v>77</v>
      </c>
      <c r="H3" s="103" t="s">
        <v>77</v>
      </c>
      <c r="I3" s="103" t="s">
        <v>77</v>
      </c>
      <c r="J3" s="103" t="s">
        <v>77</v>
      </c>
      <c r="K3" s="103" t="s">
        <v>77</v>
      </c>
      <c r="L3" s="103" t="s">
        <v>77</v>
      </c>
      <c r="M3" s="103" t="s">
        <v>77</v>
      </c>
      <c r="N3" s="103" t="s">
        <v>77</v>
      </c>
      <c r="O3" s="103" t="s">
        <v>77</v>
      </c>
      <c r="P3" s="103" t="s">
        <v>77</v>
      </c>
      <c r="Q3" s="103" t="s">
        <v>77</v>
      </c>
      <c r="R3" s="103" t="s">
        <v>77</v>
      </c>
      <c r="S3" s="103" t="s">
        <v>77</v>
      </c>
      <c r="T3" s="103" t="s">
        <v>77</v>
      </c>
      <c r="U3" s="103" t="s">
        <v>77</v>
      </c>
      <c r="V3" s="103" t="s">
        <v>77</v>
      </c>
      <c r="W3" s="103" t="s">
        <v>77</v>
      </c>
      <c r="X3" s="103" t="s">
        <v>77</v>
      </c>
      <c r="Y3" s="103" t="s">
        <v>77</v>
      </c>
      <c r="Z3" s="103" t="s">
        <v>77</v>
      </c>
      <c r="AA3" s="103" t="s">
        <v>77</v>
      </c>
      <c r="AB3" s="103" t="s">
        <v>77</v>
      </c>
      <c r="AC3" s="103" t="s">
        <v>77</v>
      </c>
      <c r="AD3" s="103" t="s">
        <v>77</v>
      </c>
      <c r="AE3" s="103" t="s">
        <v>77</v>
      </c>
      <c r="AF3" s="103" t="s">
        <v>77</v>
      </c>
      <c r="AG3" s="103" t="s">
        <v>77</v>
      </c>
      <c r="AH3" s="103" t="s">
        <v>77</v>
      </c>
      <c r="AI3" s="103" t="s">
        <v>77</v>
      </c>
      <c r="AJ3" s="103" t="s">
        <v>77</v>
      </c>
      <c r="AK3" s="103" t="s">
        <v>77</v>
      </c>
      <c r="AL3" s="103" t="s">
        <v>77</v>
      </c>
      <c r="AM3" s="103" t="s">
        <v>77</v>
      </c>
      <c r="AN3" s="103" t="s">
        <v>77</v>
      </c>
      <c r="AO3" s="103" t="s">
        <v>77</v>
      </c>
      <c r="AP3" s="103" t="s">
        <v>77</v>
      </c>
      <c r="AQ3" s="103" t="s">
        <v>77</v>
      </c>
      <c r="AR3" s="103" t="s">
        <v>77</v>
      </c>
      <c r="AS3" s="103" t="s">
        <v>77</v>
      </c>
      <c r="AT3" s="103" t="s">
        <v>77</v>
      </c>
      <c r="AU3" s="103" t="s">
        <v>77</v>
      </c>
      <c r="AV3" s="103" t="s">
        <v>77</v>
      </c>
      <c r="AW3" s="103" t="s">
        <v>77</v>
      </c>
      <c r="AX3" s="103" t="s">
        <v>77</v>
      </c>
      <c r="AY3" s="103" t="s">
        <v>77</v>
      </c>
      <c r="AZ3" s="103" t="s">
        <v>77</v>
      </c>
      <c r="BA3" s="103" t="s">
        <v>77</v>
      </c>
      <c r="BB3" s="103" t="s">
        <v>77</v>
      </c>
      <c r="BC3" s="103" t="s">
        <v>77</v>
      </c>
      <c r="BD3" s="103" t="s">
        <v>77</v>
      </c>
      <c r="BE3" s="103" t="s">
        <v>77</v>
      </c>
      <c r="BF3" s="103" t="s">
        <v>77</v>
      </c>
      <c r="BG3" s="103" t="s">
        <v>77</v>
      </c>
      <c r="BH3" s="103" t="s">
        <v>77</v>
      </c>
      <c r="BI3" s="103" t="s">
        <v>77</v>
      </c>
      <c r="BJ3" s="103" t="s">
        <v>77</v>
      </c>
      <c r="BK3" s="103" t="s">
        <v>77</v>
      </c>
      <c r="BL3" s="103" t="s">
        <v>77</v>
      </c>
      <c r="BM3" s="103" t="s">
        <v>77</v>
      </c>
      <c r="BN3" s="103" t="s">
        <v>77</v>
      </c>
      <c r="BO3" s="103" t="s">
        <v>77</v>
      </c>
      <c r="BP3" s="103" t="s">
        <v>77</v>
      </c>
      <c r="BQ3" s="103" t="s">
        <v>77</v>
      </c>
      <c r="BR3" s="103" t="s">
        <v>77</v>
      </c>
      <c r="BS3" s="103" t="s">
        <v>77</v>
      </c>
      <c r="BT3" s="103" t="s">
        <v>77</v>
      </c>
      <c r="BU3" s="103" t="s">
        <v>77</v>
      </c>
      <c r="BV3" s="103" t="s">
        <v>77</v>
      </c>
      <c r="BW3" s="103" t="s">
        <v>77</v>
      </c>
      <c r="BX3" s="103" t="s">
        <v>77</v>
      </c>
      <c r="BY3" s="103" t="s">
        <v>77</v>
      </c>
      <c r="BZ3" s="103" t="s">
        <v>77</v>
      </c>
      <c r="CA3" s="103" t="s">
        <v>77</v>
      </c>
      <c r="CB3" s="103" t="s">
        <v>77</v>
      </c>
      <c r="CC3" s="103" t="s">
        <v>77</v>
      </c>
      <c r="CD3" s="103" t="s">
        <v>77</v>
      </c>
      <c r="CE3" s="103" t="s">
        <v>77</v>
      </c>
      <c r="CF3" s="103" t="s">
        <v>77</v>
      </c>
      <c r="CG3" s="103" t="s">
        <v>77</v>
      </c>
      <c r="CH3" s="103" t="s">
        <v>77</v>
      </c>
      <c r="CI3" s="103" t="s">
        <v>77</v>
      </c>
      <c r="CJ3" s="103" t="s">
        <v>77</v>
      </c>
      <c r="CK3" s="103" t="s">
        <v>77</v>
      </c>
      <c r="CL3" s="103" t="s">
        <v>77</v>
      </c>
      <c r="CM3" s="103" t="s">
        <v>77</v>
      </c>
      <c r="CN3" s="103" t="s">
        <v>77</v>
      </c>
      <c r="CO3" s="103" t="s">
        <v>77</v>
      </c>
      <c r="CP3" s="103" t="s">
        <v>77</v>
      </c>
      <c r="CQ3" s="103" t="s">
        <v>77</v>
      </c>
      <c r="CR3" s="103" t="s">
        <v>77</v>
      </c>
      <c r="CS3" s="103" t="s">
        <v>77</v>
      </c>
      <c r="CT3" s="103" t="s">
        <v>77</v>
      </c>
      <c r="CU3" s="103" t="s">
        <v>77</v>
      </c>
      <c r="CV3" s="103" t="s">
        <v>77</v>
      </c>
      <c r="CW3" s="103" t="s">
        <v>77</v>
      </c>
      <c r="CX3" s="103" t="s">
        <v>77</v>
      </c>
      <c r="CY3" s="103" t="s">
        <v>77</v>
      </c>
      <c r="CZ3" s="103" t="s">
        <v>77</v>
      </c>
      <c r="DA3" s="103" t="s">
        <v>77</v>
      </c>
      <c r="DB3" s="103" t="s">
        <v>77</v>
      </c>
      <c r="DC3" s="103" t="s">
        <v>77</v>
      </c>
      <c r="DD3" s="103" t="s">
        <v>77</v>
      </c>
      <c r="DE3" s="103" t="s">
        <v>77</v>
      </c>
      <c r="DF3" s="103" t="s">
        <v>77</v>
      </c>
      <c r="DG3" s="103" t="s">
        <v>77</v>
      </c>
      <c r="DH3" s="103" t="s">
        <v>77</v>
      </c>
      <c r="DI3" s="103" t="s">
        <v>77</v>
      </c>
      <c r="DJ3" s="103" t="s">
        <v>77</v>
      </c>
      <c r="DK3" s="103" t="s">
        <v>77</v>
      </c>
      <c r="DL3" s="103" t="s">
        <v>77</v>
      </c>
      <c r="DM3" s="103" t="s">
        <v>77</v>
      </c>
      <c r="DN3" s="103" t="s">
        <v>77</v>
      </c>
      <c r="DO3" s="103" t="s">
        <v>77</v>
      </c>
      <c r="DP3" s="103" t="s">
        <v>77</v>
      </c>
      <c r="DQ3" s="103" t="s">
        <v>77</v>
      </c>
      <c r="DR3" s="103" t="s">
        <v>77</v>
      </c>
      <c r="DS3" s="103" t="s">
        <v>77</v>
      </c>
      <c r="DT3" s="103" t="s">
        <v>77</v>
      </c>
      <c r="DU3" s="103" t="s">
        <v>77</v>
      </c>
      <c r="DV3" s="103" t="s">
        <v>77</v>
      </c>
      <c r="DW3" s="103" t="s">
        <v>77</v>
      </c>
      <c r="DX3" s="103" t="s">
        <v>77</v>
      </c>
      <c r="DY3" s="103" t="s">
        <v>77</v>
      </c>
      <c r="DZ3" s="103" t="s">
        <v>77</v>
      </c>
      <c r="EA3" s="103" t="s">
        <v>77</v>
      </c>
      <c r="EB3" s="103" t="s">
        <v>77</v>
      </c>
      <c r="EC3" s="103" t="s">
        <v>77</v>
      </c>
      <c r="ED3" s="103" t="s">
        <v>77</v>
      </c>
      <c r="EE3" s="103" t="s">
        <v>77</v>
      </c>
    </row>
    <row r="4" spans="1:135" s="1" customFormat="1">
      <c r="A4" s="2" t="s">
        <v>93</v>
      </c>
      <c r="B4" s="102">
        <v>2015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>
        <v>2016</v>
      </c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>
        <v>2017</v>
      </c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>
        <v>2018</v>
      </c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>
        <v>2019</v>
      </c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>
        <v>2020</v>
      </c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>
        <v>2021</v>
      </c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102">
        <v>2022</v>
      </c>
      <c r="CI4" s="102"/>
      <c r="CJ4" s="102"/>
      <c r="CK4" s="102"/>
      <c r="CL4" s="102"/>
      <c r="CM4" s="102"/>
      <c r="CN4" s="102"/>
      <c r="CO4" s="102"/>
      <c r="CP4" s="102"/>
      <c r="CQ4" s="102"/>
      <c r="CR4" s="102"/>
      <c r="CS4" s="102"/>
      <c r="CT4" s="102">
        <v>2023</v>
      </c>
      <c r="CU4" s="102"/>
      <c r="CV4" s="102"/>
      <c r="CW4" s="102"/>
      <c r="CX4" s="102"/>
      <c r="CY4" s="102"/>
      <c r="CZ4" s="102"/>
      <c r="DA4" s="102"/>
      <c r="DB4" s="102"/>
      <c r="DC4" s="102"/>
      <c r="DD4" s="102"/>
      <c r="DE4" s="102"/>
      <c r="DF4" s="102">
        <v>2024</v>
      </c>
      <c r="DG4" s="102"/>
      <c r="DH4" s="102"/>
      <c r="DI4" s="102"/>
      <c r="DJ4" s="102"/>
      <c r="DK4" s="102"/>
      <c r="DL4" s="102"/>
      <c r="DM4" s="102"/>
      <c r="DN4" s="102"/>
      <c r="DO4" s="102"/>
      <c r="DP4" s="102"/>
      <c r="DQ4" s="102"/>
      <c r="DR4" s="102">
        <v>2025</v>
      </c>
      <c r="DS4" s="102"/>
      <c r="DT4" s="102"/>
      <c r="DU4" s="102"/>
      <c r="DV4" s="102"/>
      <c r="DW4" s="102"/>
      <c r="DX4" s="102"/>
      <c r="DY4" s="102"/>
      <c r="DZ4" s="102"/>
      <c r="EA4" s="102"/>
      <c r="EB4" s="102"/>
      <c r="EC4" s="102"/>
      <c r="ED4" s="2"/>
      <c r="EE4" s="2"/>
    </row>
    <row r="5" spans="1:135" s="1" customFormat="1">
      <c r="A5" s="2" t="s">
        <v>92</v>
      </c>
      <c r="B5" s="8" t="s">
        <v>79</v>
      </c>
      <c r="C5" s="8" t="s">
        <v>78</v>
      </c>
      <c r="D5" s="8" t="s">
        <v>89</v>
      </c>
      <c r="E5" s="8" t="s">
        <v>88</v>
      </c>
      <c r="F5" s="8" t="s">
        <v>87</v>
      </c>
      <c r="G5" s="8" t="s">
        <v>86</v>
      </c>
      <c r="H5" s="8" t="s">
        <v>85</v>
      </c>
      <c r="I5" s="8" t="s">
        <v>84</v>
      </c>
      <c r="J5" s="8" t="s">
        <v>83</v>
      </c>
      <c r="K5" s="8" t="s">
        <v>82</v>
      </c>
      <c r="L5" s="8" t="s">
        <v>81</v>
      </c>
      <c r="M5" s="8" t="s">
        <v>80</v>
      </c>
      <c r="N5" s="8" t="s">
        <v>79</v>
      </c>
      <c r="O5" s="8" t="s">
        <v>78</v>
      </c>
      <c r="P5" s="8" t="s">
        <v>89</v>
      </c>
      <c r="Q5" s="8" t="s">
        <v>88</v>
      </c>
      <c r="R5" s="8" t="s">
        <v>87</v>
      </c>
      <c r="S5" s="8" t="s">
        <v>86</v>
      </c>
      <c r="T5" s="8" t="s">
        <v>85</v>
      </c>
      <c r="U5" s="8" t="s">
        <v>84</v>
      </c>
      <c r="V5" s="8" t="s">
        <v>83</v>
      </c>
      <c r="W5" s="8" t="s">
        <v>82</v>
      </c>
      <c r="X5" s="8" t="s">
        <v>81</v>
      </c>
      <c r="Y5" s="8" t="s">
        <v>80</v>
      </c>
      <c r="Z5" s="8" t="s">
        <v>79</v>
      </c>
      <c r="AA5" s="8" t="s">
        <v>78</v>
      </c>
      <c r="AB5" s="8" t="s">
        <v>89</v>
      </c>
      <c r="AC5" s="8" t="s">
        <v>88</v>
      </c>
      <c r="AD5" s="8" t="s">
        <v>87</v>
      </c>
      <c r="AE5" s="8" t="s">
        <v>86</v>
      </c>
      <c r="AF5" s="8" t="s">
        <v>85</v>
      </c>
      <c r="AG5" s="8" t="s">
        <v>84</v>
      </c>
      <c r="AH5" s="8" t="s">
        <v>83</v>
      </c>
      <c r="AI5" s="8" t="s">
        <v>82</v>
      </c>
      <c r="AJ5" s="8" t="s">
        <v>81</v>
      </c>
      <c r="AK5" s="8" t="s">
        <v>80</v>
      </c>
      <c r="AL5" s="8" t="s">
        <v>79</v>
      </c>
      <c r="AM5" s="8" t="s">
        <v>78</v>
      </c>
      <c r="AN5" s="8" t="s">
        <v>89</v>
      </c>
      <c r="AO5" s="8" t="s">
        <v>88</v>
      </c>
      <c r="AP5" s="8" t="s">
        <v>87</v>
      </c>
      <c r="AQ5" s="8" t="s">
        <v>86</v>
      </c>
      <c r="AR5" s="8" t="s">
        <v>85</v>
      </c>
      <c r="AS5" s="8" t="s">
        <v>84</v>
      </c>
      <c r="AT5" s="8" t="s">
        <v>83</v>
      </c>
      <c r="AU5" s="8" t="s">
        <v>82</v>
      </c>
      <c r="AV5" s="8" t="s">
        <v>81</v>
      </c>
      <c r="AW5" s="8" t="s">
        <v>80</v>
      </c>
      <c r="AX5" s="8" t="s">
        <v>79</v>
      </c>
      <c r="AY5" s="8" t="s">
        <v>78</v>
      </c>
      <c r="AZ5" s="8" t="s">
        <v>89</v>
      </c>
      <c r="BA5" s="8" t="s">
        <v>88</v>
      </c>
      <c r="BB5" s="8" t="s">
        <v>87</v>
      </c>
      <c r="BC5" s="8" t="s">
        <v>86</v>
      </c>
      <c r="BD5" s="8" t="s">
        <v>85</v>
      </c>
      <c r="BE5" s="8" t="s">
        <v>84</v>
      </c>
      <c r="BF5" s="8" t="s">
        <v>83</v>
      </c>
      <c r="BG5" s="8" t="s">
        <v>82</v>
      </c>
      <c r="BH5" s="8" t="s">
        <v>81</v>
      </c>
      <c r="BI5" s="8" t="s">
        <v>80</v>
      </c>
      <c r="BJ5" s="8" t="s">
        <v>79</v>
      </c>
      <c r="BK5" s="8" t="s">
        <v>78</v>
      </c>
      <c r="BL5" s="8" t="s">
        <v>89</v>
      </c>
      <c r="BM5" s="8" t="s">
        <v>88</v>
      </c>
      <c r="BN5" s="8" t="s">
        <v>87</v>
      </c>
      <c r="BO5" s="8" t="s">
        <v>86</v>
      </c>
      <c r="BP5" s="8" t="s">
        <v>85</v>
      </c>
      <c r="BQ5" s="8" t="s">
        <v>84</v>
      </c>
      <c r="BR5" s="8" t="s">
        <v>83</v>
      </c>
      <c r="BS5" s="8" t="s">
        <v>82</v>
      </c>
      <c r="BT5" s="8" t="s">
        <v>81</v>
      </c>
      <c r="BU5" s="8" t="s">
        <v>80</v>
      </c>
      <c r="BV5" s="8" t="s">
        <v>79</v>
      </c>
      <c r="BW5" s="8" t="s">
        <v>78</v>
      </c>
      <c r="BX5" s="8" t="s">
        <v>89</v>
      </c>
      <c r="BY5" s="8" t="s">
        <v>88</v>
      </c>
      <c r="BZ5" s="8" t="s">
        <v>87</v>
      </c>
      <c r="CA5" s="8" t="s">
        <v>86</v>
      </c>
      <c r="CB5" s="8" t="s">
        <v>85</v>
      </c>
      <c r="CC5" s="8" t="s">
        <v>84</v>
      </c>
      <c r="CD5" s="8" t="s">
        <v>83</v>
      </c>
      <c r="CE5" s="8" t="s">
        <v>82</v>
      </c>
      <c r="CF5" s="8" t="s">
        <v>81</v>
      </c>
      <c r="CG5" s="8" t="s">
        <v>80</v>
      </c>
      <c r="CH5" s="8" t="s">
        <v>79</v>
      </c>
      <c r="CI5" s="8" t="s">
        <v>78</v>
      </c>
      <c r="CJ5" s="8" t="s">
        <v>89</v>
      </c>
      <c r="CK5" s="8" t="s">
        <v>88</v>
      </c>
      <c r="CL5" s="8" t="s">
        <v>87</v>
      </c>
      <c r="CM5" s="8" t="s">
        <v>86</v>
      </c>
      <c r="CN5" s="8" t="s">
        <v>85</v>
      </c>
      <c r="CO5" s="8" t="s">
        <v>84</v>
      </c>
      <c r="CP5" s="8" t="s">
        <v>83</v>
      </c>
      <c r="CQ5" s="8" t="s">
        <v>82</v>
      </c>
      <c r="CR5" s="8" t="s">
        <v>81</v>
      </c>
      <c r="CS5" s="8" t="s">
        <v>80</v>
      </c>
      <c r="CT5" s="8" t="s">
        <v>79</v>
      </c>
      <c r="CU5" s="8" t="s">
        <v>78</v>
      </c>
      <c r="CV5" s="8" t="s">
        <v>89</v>
      </c>
      <c r="CW5" s="8" t="s">
        <v>88</v>
      </c>
      <c r="CX5" s="8" t="s">
        <v>87</v>
      </c>
      <c r="CY5" s="8" t="s">
        <v>86</v>
      </c>
      <c r="CZ5" s="8" t="s">
        <v>85</v>
      </c>
      <c r="DA5" s="8" t="s">
        <v>84</v>
      </c>
      <c r="DB5" s="8" t="s">
        <v>83</v>
      </c>
      <c r="DC5" s="8" t="s">
        <v>82</v>
      </c>
      <c r="DD5" s="8" t="s">
        <v>81</v>
      </c>
      <c r="DE5" s="8" t="s">
        <v>80</v>
      </c>
      <c r="DF5" s="8" t="s">
        <v>79</v>
      </c>
      <c r="DG5" s="8" t="s">
        <v>78</v>
      </c>
      <c r="DH5" s="8" t="s">
        <v>89</v>
      </c>
      <c r="DI5" s="8" t="s">
        <v>88</v>
      </c>
      <c r="DJ5" s="8" t="s">
        <v>87</v>
      </c>
      <c r="DK5" s="8" t="s">
        <v>86</v>
      </c>
      <c r="DL5" s="8" t="s">
        <v>85</v>
      </c>
      <c r="DM5" s="8" t="s">
        <v>84</v>
      </c>
      <c r="DN5" s="8" t="s">
        <v>83</v>
      </c>
      <c r="DO5" s="8" t="s">
        <v>82</v>
      </c>
      <c r="DP5" s="8" t="s">
        <v>81</v>
      </c>
      <c r="DQ5" s="8" t="s">
        <v>80</v>
      </c>
      <c r="DR5" s="8" t="s">
        <v>79</v>
      </c>
      <c r="DS5" s="8" t="s">
        <v>78</v>
      </c>
      <c r="DT5" s="8" t="s">
        <v>89</v>
      </c>
      <c r="DU5" s="8" t="s">
        <v>88</v>
      </c>
      <c r="DV5" s="8" t="s">
        <v>87</v>
      </c>
      <c r="DW5" s="8" t="s">
        <v>86</v>
      </c>
      <c r="DX5" s="8" t="s">
        <v>85</v>
      </c>
      <c r="DY5" s="8" t="s">
        <v>84</v>
      </c>
      <c r="DZ5" s="8" t="s">
        <v>83</v>
      </c>
      <c r="EA5" s="8" t="s">
        <v>82</v>
      </c>
      <c r="EB5" s="8" t="s">
        <v>81</v>
      </c>
      <c r="EC5" s="8" t="s">
        <v>80</v>
      </c>
      <c r="ED5" s="8"/>
      <c r="EE5" s="8"/>
    </row>
    <row r="6" spans="1:135" s="1" customFormat="1" ht="30">
      <c r="A6" s="9" t="s">
        <v>90</v>
      </c>
      <c r="B6" s="10">
        <v>425501.68</v>
      </c>
      <c r="C6" s="10">
        <v>391723.48</v>
      </c>
      <c r="D6" s="10">
        <v>434914.72</v>
      </c>
      <c r="E6" s="10">
        <v>410349.02</v>
      </c>
      <c r="F6" s="10">
        <v>415492.54</v>
      </c>
      <c r="G6" s="10">
        <v>400031.86</v>
      </c>
      <c r="H6" s="10">
        <v>421287.2</v>
      </c>
      <c r="I6" s="10">
        <v>415301.96</v>
      </c>
      <c r="J6" s="10">
        <v>423836.34</v>
      </c>
      <c r="K6" s="10">
        <v>462463.36</v>
      </c>
      <c r="L6" s="10">
        <v>445990</v>
      </c>
      <c r="M6" s="10">
        <v>461216.68</v>
      </c>
      <c r="N6" s="10">
        <v>429600</v>
      </c>
      <c r="O6" s="10">
        <v>406960.6</v>
      </c>
      <c r="P6" s="10">
        <v>434045.3</v>
      </c>
      <c r="Q6" s="10">
        <v>413089.76</v>
      </c>
      <c r="R6" s="10">
        <v>418367.4</v>
      </c>
      <c r="S6" s="10">
        <v>407045.2</v>
      </c>
      <c r="T6" s="10">
        <v>427421.9</v>
      </c>
      <c r="U6" s="10">
        <v>427630.9</v>
      </c>
      <c r="V6" s="10">
        <v>441185.4</v>
      </c>
      <c r="W6" s="10">
        <v>459437</v>
      </c>
      <c r="X6" s="10">
        <v>457488.4</v>
      </c>
      <c r="Y6" s="10">
        <v>476100.1</v>
      </c>
      <c r="Z6" s="10">
        <v>464656.42</v>
      </c>
      <c r="AA6" s="10">
        <v>422297.92</v>
      </c>
      <c r="AB6" s="10">
        <v>462447.32</v>
      </c>
      <c r="AC6" s="10">
        <v>441947.82</v>
      </c>
      <c r="AD6" s="10">
        <v>459133.72</v>
      </c>
      <c r="AE6" s="10">
        <v>444059.04</v>
      </c>
      <c r="AF6" s="10">
        <v>453646.46</v>
      </c>
      <c r="AG6" s="10">
        <v>461130.42</v>
      </c>
      <c r="AH6" s="10">
        <v>454360.12</v>
      </c>
      <c r="AI6" s="10">
        <v>481621.9</v>
      </c>
      <c r="AJ6" s="10">
        <v>464241.1</v>
      </c>
      <c r="AK6" s="10">
        <v>478460.2</v>
      </c>
      <c r="AL6" s="10">
        <v>470532.38</v>
      </c>
      <c r="AM6" s="10">
        <v>431351.2</v>
      </c>
      <c r="AN6" s="10">
        <v>482709.88</v>
      </c>
      <c r="AO6" s="10">
        <v>463783.5</v>
      </c>
      <c r="AP6" s="10">
        <v>473076.86</v>
      </c>
      <c r="AQ6" s="10">
        <v>452960.26</v>
      </c>
      <c r="AR6" s="10">
        <v>472348.84</v>
      </c>
      <c r="AS6" s="10">
        <v>472051.3</v>
      </c>
      <c r="AT6" s="10">
        <v>462250.5</v>
      </c>
      <c r="AU6" s="10">
        <v>488230</v>
      </c>
      <c r="AV6" s="10">
        <v>474372.44</v>
      </c>
      <c r="AW6" s="10">
        <v>491784.4</v>
      </c>
      <c r="AX6" s="10">
        <v>481667.26</v>
      </c>
      <c r="AY6" s="10">
        <v>439374.9</v>
      </c>
      <c r="AZ6" s="10">
        <v>494909.66</v>
      </c>
      <c r="BA6" s="10">
        <v>476681.9</v>
      </c>
      <c r="BB6" s="10">
        <v>478712.12</v>
      </c>
      <c r="BC6" s="10">
        <v>456235.6</v>
      </c>
      <c r="BD6" s="10">
        <v>469138.03</v>
      </c>
      <c r="BE6" s="10">
        <v>471200.79</v>
      </c>
      <c r="BF6" s="10">
        <v>465209.46</v>
      </c>
      <c r="BG6" s="10">
        <v>490147.8</v>
      </c>
      <c r="BH6" s="10">
        <v>469044.35</v>
      </c>
      <c r="BI6" s="10">
        <v>485957.31</v>
      </c>
      <c r="BJ6" s="10">
        <v>462991.92</v>
      </c>
      <c r="BK6" s="10">
        <v>437280.49</v>
      </c>
      <c r="BL6" s="10">
        <v>461123.28</v>
      </c>
      <c r="BM6" s="10">
        <v>447717.6</v>
      </c>
      <c r="BN6" s="10">
        <v>434817.64</v>
      </c>
      <c r="BO6" s="10">
        <v>412997.62</v>
      </c>
      <c r="BP6" s="10">
        <v>432389.28</v>
      </c>
      <c r="BQ6" s="10">
        <v>450022.66</v>
      </c>
      <c r="BR6" s="10">
        <v>449643.87</v>
      </c>
      <c r="BS6" s="10">
        <v>472398.91</v>
      </c>
      <c r="BT6" s="10">
        <v>460633.8</v>
      </c>
      <c r="BU6" s="10">
        <v>479117.54</v>
      </c>
      <c r="BV6" s="10">
        <v>455557.4</v>
      </c>
      <c r="BW6" s="10">
        <v>437435.2</v>
      </c>
      <c r="BX6" s="10">
        <v>481794.5</v>
      </c>
      <c r="BY6" s="10">
        <v>476299.5</v>
      </c>
      <c r="BZ6" s="10">
        <v>484609.5</v>
      </c>
      <c r="CA6" s="10">
        <v>467493.9</v>
      </c>
      <c r="CB6" s="10">
        <v>475024.1</v>
      </c>
      <c r="CC6" s="10">
        <v>478849.7</v>
      </c>
      <c r="CD6" s="10">
        <v>474593</v>
      </c>
      <c r="CE6" s="10">
        <v>500653.1</v>
      </c>
      <c r="CF6" s="10">
        <v>487133.36200000002</v>
      </c>
      <c r="CG6" s="10">
        <v>493350.9</v>
      </c>
      <c r="CH6" s="10">
        <v>490146.5</v>
      </c>
      <c r="CI6" s="10">
        <v>442363.9</v>
      </c>
      <c r="CJ6" s="10">
        <v>500404.1</v>
      </c>
      <c r="CK6" s="10">
        <v>471143.1</v>
      </c>
      <c r="CL6" s="10">
        <v>477776</v>
      </c>
      <c r="CM6" s="10">
        <v>442401.3</v>
      </c>
      <c r="CN6" s="10">
        <v>452221.9</v>
      </c>
      <c r="CO6" s="10">
        <v>460997.6</v>
      </c>
      <c r="CP6" s="10">
        <v>442683.1</v>
      </c>
      <c r="CQ6" s="10">
        <v>468528.2</v>
      </c>
      <c r="CR6" s="10">
        <v>461185.9</v>
      </c>
      <c r="CS6" s="10">
        <v>472215.1</v>
      </c>
      <c r="CT6" s="10">
        <v>482607.4</v>
      </c>
      <c r="CU6" s="10">
        <v>442326.4</v>
      </c>
      <c r="CV6" s="10">
        <v>484414.5</v>
      </c>
      <c r="CW6" s="10">
        <v>459947.8</v>
      </c>
      <c r="CX6" s="10">
        <v>459285.7</v>
      </c>
      <c r="CY6" s="10">
        <v>437075</v>
      </c>
      <c r="CZ6" s="10">
        <v>449182.5</v>
      </c>
      <c r="DA6" s="10">
        <v>462010.2</v>
      </c>
      <c r="DB6" s="10">
        <v>445262.8</v>
      </c>
      <c r="DC6" s="10">
        <v>485804.2</v>
      </c>
      <c r="DD6" s="10">
        <v>468145</v>
      </c>
      <c r="DE6" s="10">
        <v>474884.5</v>
      </c>
      <c r="DF6" s="10">
        <v>477952.7</v>
      </c>
      <c r="DG6" s="10">
        <v>460857.3</v>
      </c>
      <c r="DH6" s="10">
        <v>492284.6</v>
      </c>
      <c r="DI6" s="10">
        <v>450579</v>
      </c>
      <c r="DJ6" s="10">
        <v>460381.9</v>
      </c>
      <c r="DK6" s="10">
        <v>432789.2</v>
      </c>
      <c r="DL6" s="10">
        <v>454757.1</v>
      </c>
      <c r="DM6" s="10">
        <v>465637.4</v>
      </c>
      <c r="DN6" s="10">
        <v>441563.3</v>
      </c>
      <c r="DO6" s="10">
        <v>468708.3</v>
      </c>
      <c r="DP6" s="10">
        <v>478487.9</v>
      </c>
      <c r="DQ6" s="10">
        <v>494962.8</v>
      </c>
      <c r="DR6" s="10">
        <v>479789.5</v>
      </c>
      <c r="DS6" s="10">
        <v>445463.9</v>
      </c>
      <c r="DT6" s="10">
        <v>486623.7</v>
      </c>
      <c r="DU6" s="10">
        <v>458577.4</v>
      </c>
      <c r="DV6" s="10">
        <v>455227.9</v>
      </c>
      <c r="DW6" s="10">
        <v>439035.4</v>
      </c>
      <c r="DX6" s="10">
        <v>447010.8</v>
      </c>
      <c r="DY6" s="10">
        <v>451256.4</v>
      </c>
      <c r="DZ6" s="10">
        <v>440531.9</v>
      </c>
      <c r="EA6" s="10">
        <v>481765.9</v>
      </c>
      <c r="EB6" s="10">
        <v>463976.8</v>
      </c>
      <c r="EC6" s="10">
        <v>488536.4</v>
      </c>
      <c r="ED6" s="10"/>
      <c r="EE6" s="10"/>
    </row>
    <row r="7" spans="1:135">
      <c r="A7" s="2"/>
      <c r="B7" s="57">
        <v>42005</v>
      </c>
      <c r="C7" s="57">
        <v>42036</v>
      </c>
      <c r="D7" s="57">
        <v>42064</v>
      </c>
      <c r="E7" s="57">
        <v>42095</v>
      </c>
      <c r="F7" s="57">
        <v>42125</v>
      </c>
      <c r="G7" s="57">
        <v>42156</v>
      </c>
      <c r="H7" s="57">
        <v>42186</v>
      </c>
      <c r="I7" s="57">
        <v>42217</v>
      </c>
      <c r="J7" s="57">
        <v>42248</v>
      </c>
      <c r="K7" s="57">
        <v>42278</v>
      </c>
      <c r="L7" s="57">
        <v>42309</v>
      </c>
      <c r="M7" s="57">
        <v>42339</v>
      </c>
      <c r="N7" s="57">
        <v>42370</v>
      </c>
      <c r="O7" s="57">
        <v>42401</v>
      </c>
      <c r="P7" s="57">
        <v>42430</v>
      </c>
      <c r="Q7" s="57">
        <v>42461</v>
      </c>
      <c r="R7" s="57">
        <v>42491</v>
      </c>
      <c r="S7" s="57">
        <v>42522</v>
      </c>
      <c r="T7" s="57">
        <v>42552</v>
      </c>
      <c r="U7" s="57">
        <v>42583</v>
      </c>
      <c r="V7" s="57">
        <v>42614</v>
      </c>
      <c r="W7" s="57">
        <v>42644</v>
      </c>
      <c r="X7" s="57">
        <v>42675</v>
      </c>
      <c r="Y7" s="57">
        <v>42705</v>
      </c>
      <c r="Z7" s="57">
        <v>42736</v>
      </c>
      <c r="AA7" s="57">
        <v>42767</v>
      </c>
      <c r="AB7" s="57">
        <v>42795</v>
      </c>
      <c r="AC7" s="57">
        <v>42826</v>
      </c>
      <c r="AD7" s="57">
        <v>42856</v>
      </c>
      <c r="AE7" s="57">
        <v>42887</v>
      </c>
      <c r="AF7" s="57">
        <v>42917</v>
      </c>
      <c r="AG7" s="57">
        <v>42948</v>
      </c>
      <c r="AH7" s="57">
        <v>42979</v>
      </c>
      <c r="AI7" s="57">
        <v>43009</v>
      </c>
      <c r="AJ7" s="57">
        <v>43040</v>
      </c>
      <c r="AK7" s="57">
        <v>43070</v>
      </c>
      <c r="AL7" s="57">
        <v>43101</v>
      </c>
      <c r="AM7" s="57">
        <v>43132</v>
      </c>
      <c r="AN7" s="57">
        <v>43160</v>
      </c>
      <c r="AO7" s="57">
        <v>43191</v>
      </c>
      <c r="AP7" s="57">
        <v>43221</v>
      </c>
      <c r="AQ7" s="57">
        <v>43252</v>
      </c>
      <c r="AR7" s="57">
        <v>43282</v>
      </c>
      <c r="AS7" s="57">
        <v>43313</v>
      </c>
      <c r="AT7" s="57">
        <v>43344</v>
      </c>
      <c r="AU7" s="57">
        <v>43374</v>
      </c>
      <c r="AV7" s="57">
        <v>43405</v>
      </c>
      <c r="AW7" s="57">
        <v>43435</v>
      </c>
      <c r="AX7" s="57">
        <v>43466</v>
      </c>
      <c r="AY7" s="57">
        <v>43497</v>
      </c>
      <c r="AZ7" s="57">
        <v>43525</v>
      </c>
      <c r="BA7" s="57">
        <v>43556</v>
      </c>
      <c r="BB7" s="57">
        <v>43586</v>
      </c>
      <c r="BC7" s="57">
        <v>43617</v>
      </c>
      <c r="BD7" s="57">
        <v>43647</v>
      </c>
      <c r="BE7" s="57">
        <v>43678</v>
      </c>
      <c r="BF7" s="57">
        <v>43709</v>
      </c>
      <c r="BG7" s="57">
        <v>43739</v>
      </c>
      <c r="BH7" s="57">
        <v>43770</v>
      </c>
      <c r="BI7" s="57">
        <v>43800</v>
      </c>
      <c r="BJ7" s="57">
        <v>43831</v>
      </c>
      <c r="BK7" s="57">
        <v>43862</v>
      </c>
      <c r="BL7" s="57">
        <v>43891</v>
      </c>
      <c r="BM7" s="57">
        <v>43922</v>
      </c>
      <c r="BN7" s="57">
        <v>43952</v>
      </c>
      <c r="BO7" s="57">
        <v>43983</v>
      </c>
      <c r="BP7" s="57">
        <v>44013</v>
      </c>
      <c r="BQ7" s="57">
        <v>44044</v>
      </c>
      <c r="BR7" s="57">
        <v>44075</v>
      </c>
      <c r="BS7" s="57">
        <v>44105</v>
      </c>
      <c r="BT7" s="57">
        <v>44136</v>
      </c>
      <c r="BU7" s="57">
        <v>44166</v>
      </c>
      <c r="BV7" s="57">
        <v>44197</v>
      </c>
      <c r="BW7" s="57">
        <v>44228</v>
      </c>
      <c r="BX7" s="57">
        <v>44256</v>
      </c>
      <c r="BY7" s="57">
        <v>44287</v>
      </c>
      <c r="BZ7" s="57">
        <v>44317</v>
      </c>
      <c r="CA7" s="57">
        <v>44348</v>
      </c>
      <c r="CB7" s="57">
        <v>44378</v>
      </c>
      <c r="CC7" s="57">
        <v>44409</v>
      </c>
      <c r="CD7" s="57">
        <v>44440</v>
      </c>
      <c r="CE7" s="57">
        <v>44470</v>
      </c>
      <c r="CF7" s="57">
        <v>44501</v>
      </c>
      <c r="CG7" s="57">
        <v>44531</v>
      </c>
      <c r="CH7" s="57">
        <v>44562</v>
      </c>
      <c r="CI7" s="57">
        <v>44593</v>
      </c>
      <c r="CJ7" s="57">
        <v>44621</v>
      </c>
      <c r="CK7" s="57">
        <v>44652</v>
      </c>
      <c r="CL7" s="57">
        <v>44682</v>
      </c>
      <c r="CM7" s="57">
        <v>44713</v>
      </c>
      <c r="CN7" s="57">
        <v>44743</v>
      </c>
      <c r="CO7" s="57">
        <v>44774</v>
      </c>
      <c r="CP7" s="57">
        <v>44805</v>
      </c>
      <c r="CQ7" s="57">
        <v>44835</v>
      </c>
      <c r="CR7" s="57">
        <v>44866</v>
      </c>
      <c r="CS7" s="57">
        <v>44896</v>
      </c>
      <c r="CT7" s="57">
        <v>44927</v>
      </c>
      <c r="CU7" s="57">
        <v>44958</v>
      </c>
      <c r="CV7" s="57">
        <v>44986</v>
      </c>
      <c r="CW7" s="57">
        <v>45017</v>
      </c>
      <c r="CX7" s="57">
        <v>45047</v>
      </c>
      <c r="CY7" s="57">
        <v>45078</v>
      </c>
      <c r="CZ7" s="57">
        <v>45108</v>
      </c>
      <c r="DA7" s="57">
        <v>45139</v>
      </c>
      <c r="DB7" s="57">
        <v>45170</v>
      </c>
      <c r="DC7" s="57">
        <v>45200</v>
      </c>
      <c r="DD7" s="57">
        <v>45231</v>
      </c>
      <c r="DE7" s="57">
        <v>45261</v>
      </c>
      <c r="DF7" s="57">
        <v>45292</v>
      </c>
      <c r="DG7" s="57">
        <v>45323</v>
      </c>
      <c r="DH7" s="57">
        <v>45352</v>
      </c>
      <c r="DI7" s="57">
        <v>45383</v>
      </c>
      <c r="DJ7" s="57">
        <v>45413</v>
      </c>
      <c r="DK7" s="57">
        <v>45444</v>
      </c>
      <c r="DL7" s="57">
        <v>45474</v>
      </c>
      <c r="DM7" s="57">
        <v>45505</v>
      </c>
      <c r="DN7" s="57">
        <v>45536</v>
      </c>
      <c r="DO7" s="57">
        <v>45566</v>
      </c>
      <c r="DP7" s="57">
        <v>45597</v>
      </c>
      <c r="DQ7" s="57">
        <v>45627</v>
      </c>
      <c r="DR7" s="57">
        <v>45658</v>
      </c>
      <c r="DS7" s="57">
        <v>45689</v>
      </c>
      <c r="DT7" s="57">
        <v>45717</v>
      </c>
      <c r="DU7" s="57">
        <v>45748</v>
      </c>
      <c r="DV7" s="57">
        <v>45778</v>
      </c>
      <c r="DW7" s="57">
        <v>45809</v>
      </c>
      <c r="DX7" s="57">
        <v>45839</v>
      </c>
      <c r="DY7" s="57">
        <v>45870</v>
      </c>
      <c r="DZ7" s="57">
        <v>45901</v>
      </c>
      <c r="EA7" s="57">
        <v>45931</v>
      </c>
      <c r="EB7" s="57">
        <v>45962</v>
      </c>
      <c r="EC7" s="57">
        <v>45992</v>
      </c>
      <c r="ED7" s="2"/>
      <c r="EE7" s="2"/>
    </row>
    <row r="8" spans="1:135">
      <c r="A8" s="1" t="s">
        <v>162</v>
      </c>
      <c r="B8">
        <f>LN(B6)</f>
        <v>12.961024175283894</v>
      </c>
      <c r="C8">
        <f>LN(C6)</f>
        <v>12.878311461691929</v>
      </c>
      <c r="D8">
        <f t="shared" ref="D8:BO8" si="0">LN(D6)</f>
        <v>12.982905244874285</v>
      </c>
      <c r="E8">
        <f t="shared" si="0"/>
        <v>12.924763344849815</v>
      </c>
      <c r="F8">
        <f t="shared" si="0"/>
        <v>12.937219938844498</v>
      </c>
      <c r="G8">
        <f t="shared" si="0"/>
        <v>12.899299472918226</v>
      </c>
      <c r="H8">
        <f t="shared" si="0"/>
        <v>12.951070065355074</v>
      </c>
      <c r="I8">
        <f t="shared" si="0"/>
        <v>12.936761149087602</v>
      </c>
      <c r="J8">
        <f t="shared" si="0"/>
        <v>12.957102669134523</v>
      </c>
      <c r="K8">
        <f t="shared" si="0"/>
        <v>13.044322611174797</v>
      </c>
      <c r="L8">
        <f t="shared" si="0"/>
        <v>13.008051809226171</v>
      </c>
      <c r="M8">
        <f t="shared" si="0"/>
        <v>13.041623233245165</v>
      </c>
      <c r="N8">
        <f t="shared" si="0"/>
        <v>12.970609822176792</v>
      </c>
      <c r="O8">
        <f t="shared" si="0"/>
        <v>12.916471653841933</v>
      </c>
      <c r="P8">
        <f t="shared" si="0"/>
        <v>12.980904185515735</v>
      </c>
      <c r="Q8">
        <f t="shared" si="0"/>
        <v>12.931420184890744</v>
      </c>
      <c r="R8">
        <f t="shared" si="0"/>
        <v>12.94411527282727</v>
      </c>
      <c r="S8">
        <f t="shared" si="0"/>
        <v>12.91667951476947</v>
      </c>
      <c r="T8">
        <f t="shared" si="0"/>
        <v>12.965526860610611</v>
      </c>
      <c r="U8">
        <f t="shared" si="0"/>
        <v>12.966015719320067</v>
      </c>
      <c r="V8">
        <f t="shared" si="0"/>
        <v>12.997220474245497</v>
      </c>
      <c r="W8">
        <f t="shared" si="0"/>
        <v>13.037757105828543</v>
      </c>
      <c r="X8">
        <f t="shared" si="0"/>
        <v>13.033506808185008</v>
      </c>
      <c r="Y8">
        <f t="shared" si="0"/>
        <v>13.073383405222495</v>
      </c>
      <c r="Z8">
        <f t="shared" si="0"/>
        <v>13.049053529741427</v>
      </c>
      <c r="AA8">
        <f t="shared" si="0"/>
        <v>12.953466315501428</v>
      </c>
      <c r="AB8">
        <f t="shared" si="0"/>
        <v>13.044287926744509</v>
      </c>
      <c r="AC8">
        <f t="shared" si="0"/>
        <v>12.998947099792236</v>
      </c>
      <c r="AD8">
        <f t="shared" si="0"/>
        <v>13.037096775590671</v>
      </c>
      <c r="AE8">
        <f t="shared" si="0"/>
        <v>13.003712805547213</v>
      </c>
      <c r="AF8">
        <f t="shared" si="0"/>
        <v>13.025073451194684</v>
      </c>
      <c r="AG8">
        <f t="shared" si="0"/>
        <v>13.041436188692735</v>
      </c>
      <c r="AH8">
        <f t="shared" si="0"/>
        <v>13.026645378453079</v>
      </c>
      <c r="AI8">
        <f t="shared" si="0"/>
        <v>13.08491464536479</v>
      </c>
      <c r="AJ8">
        <f t="shared" si="0"/>
        <v>13.048159308325753</v>
      </c>
      <c r="AK8">
        <f t="shared" si="0"/>
        <v>13.078328309822259</v>
      </c>
      <c r="AL8">
        <f t="shared" si="0"/>
        <v>13.061620056043381</v>
      </c>
      <c r="AM8">
        <f t="shared" si="0"/>
        <v>12.974677886464457</v>
      </c>
      <c r="AN8">
        <f t="shared" si="0"/>
        <v>13.087171089638824</v>
      </c>
      <c r="AO8">
        <f t="shared" si="0"/>
        <v>13.047173127491567</v>
      </c>
      <c r="AP8">
        <f t="shared" si="0"/>
        <v>13.067013148987822</v>
      </c>
      <c r="AQ8">
        <f t="shared" si="0"/>
        <v>13.02355967434768</v>
      </c>
      <c r="AR8">
        <f t="shared" si="0"/>
        <v>13.065473059388189</v>
      </c>
      <c r="AS8">
        <f t="shared" si="0"/>
        <v>13.064842945102427</v>
      </c>
      <c r="AT8">
        <f t="shared" si="0"/>
        <v>13.043862230914552</v>
      </c>
      <c r="AU8">
        <f t="shared" si="0"/>
        <v>13.098541885278326</v>
      </c>
      <c r="AV8">
        <f t="shared" si="0"/>
        <v>13.06974803054303</v>
      </c>
      <c r="AW8">
        <f t="shared" si="0"/>
        <v>13.105795688049664</v>
      </c>
      <c r="AX8">
        <f t="shared" si="0"/>
        <v>13.085008822693711</v>
      </c>
      <c r="AY8">
        <f t="shared" si="0"/>
        <v>12.993108313951023</v>
      </c>
      <c r="AZ8">
        <f t="shared" si="0"/>
        <v>13.112130519844248</v>
      </c>
      <c r="BA8">
        <f t="shared" si="0"/>
        <v>13.074604671099291</v>
      </c>
      <c r="BB8">
        <f t="shared" si="0"/>
        <v>13.078854693631222</v>
      </c>
      <c r="BC8">
        <f t="shared" si="0"/>
        <v>13.030764621736923</v>
      </c>
      <c r="BD8">
        <f t="shared" si="0"/>
        <v>13.058652311164844</v>
      </c>
      <c r="BE8">
        <f t="shared" si="0"/>
        <v>13.063039587888566</v>
      </c>
      <c r="BF8">
        <f t="shared" si="0"/>
        <v>13.050243034759525</v>
      </c>
      <c r="BG8">
        <f t="shared" si="0"/>
        <v>13.102462257257887</v>
      </c>
      <c r="BH8">
        <f t="shared" si="0"/>
        <v>13.058452605857415</v>
      </c>
      <c r="BI8">
        <f t="shared" si="0"/>
        <v>13.093876059518342</v>
      </c>
      <c r="BJ8">
        <f t="shared" si="0"/>
        <v>13.045464881512206</v>
      </c>
      <c r="BK8">
        <f t="shared" si="0"/>
        <v>12.988330121724751</v>
      </c>
      <c r="BL8">
        <f t="shared" si="0"/>
        <v>13.041420704883889</v>
      </c>
      <c r="BM8">
        <f t="shared" si="0"/>
        <v>13.011917955495671</v>
      </c>
      <c r="BN8">
        <f t="shared" si="0"/>
        <v>12.98268200378342</v>
      </c>
      <c r="BO8">
        <f t="shared" si="0"/>
        <v>12.9311971092147</v>
      </c>
      <c r="BP8">
        <f t="shared" ref="BP8:EA8" si="1">LN(BP6)</f>
        <v>12.977081572580477</v>
      </c>
      <c r="BQ8">
        <f t="shared" si="1"/>
        <v>13.01705321603426</v>
      </c>
      <c r="BR8">
        <f t="shared" si="1"/>
        <v>13.016211148424203</v>
      </c>
      <c r="BS8">
        <f t="shared" si="1"/>
        <v>13.065579055936043</v>
      </c>
      <c r="BT8">
        <f t="shared" si="1"/>
        <v>13.040358646220861</v>
      </c>
      <c r="BU8">
        <f t="shared" si="1"/>
        <v>13.079701232512072</v>
      </c>
      <c r="BV8">
        <f t="shared" si="1"/>
        <v>13.029277003110609</v>
      </c>
      <c r="BW8">
        <f t="shared" si="1"/>
        <v>12.988683859524087</v>
      </c>
      <c r="BX8">
        <f t="shared" si="1"/>
        <v>13.085272953572636</v>
      </c>
      <c r="BY8">
        <f t="shared" si="1"/>
        <v>13.073802137029846</v>
      </c>
      <c r="BZ8">
        <f t="shared" si="1"/>
        <v>13.091098690969357</v>
      </c>
      <c r="CA8">
        <f t="shared" si="1"/>
        <v>13.055141579497409</v>
      </c>
      <c r="CB8">
        <f t="shared" si="1"/>
        <v>13.071120818571814</v>
      </c>
      <c r="CC8">
        <f t="shared" si="1"/>
        <v>13.079142048448578</v>
      </c>
      <c r="CD8">
        <f t="shared" si="1"/>
        <v>13.070212873612492</v>
      </c>
      <c r="CE8">
        <f t="shared" si="1"/>
        <v>13.123668725067244</v>
      </c>
      <c r="CF8">
        <f t="shared" si="1"/>
        <v>13.096293208518823</v>
      </c>
      <c r="CG8">
        <f t="shared" si="1"/>
        <v>13.108975964546342</v>
      </c>
      <c r="CH8">
        <f t="shared" si="1"/>
        <v>13.102459604993154</v>
      </c>
      <c r="CI8">
        <f t="shared" si="1"/>
        <v>12.999888125499108</v>
      </c>
      <c r="CJ8">
        <f t="shared" si="1"/>
        <v>13.123171250986571</v>
      </c>
      <c r="CK8">
        <f t="shared" si="1"/>
        <v>13.062917148510152</v>
      </c>
      <c r="CL8">
        <f t="shared" si="1"/>
        <v>13.076897282390416</v>
      </c>
      <c r="CM8">
        <f t="shared" si="1"/>
        <v>12.999972667703124</v>
      </c>
      <c r="CN8">
        <f t="shared" si="1"/>
        <v>13.021928267551592</v>
      </c>
      <c r="CO8">
        <f t="shared" si="1"/>
        <v>13.041148115891481</v>
      </c>
      <c r="CP8">
        <f t="shared" si="1"/>
        <v>13.000609443155323</v>
      </c>
      <c r="CQ8">
        <f t="shared" si="1"/>
        <v>13.057351570951596</v>
      </c>
      <c r="CR8">
        <f t="shared" si="1"/>
        <v>13.041556494489921</v>
      </c>
      <c r="CS8">
        <f t="shared" si="1"/>
        <v>13.0651898810977</v>
      </c>
      <c r="CT8">
        <f t="shared" si="1"/>
        <v>13.086958765665125</v>
      </c>
      <c r="CU8">
        <f t="shared" si="1"/>
        <v>12.999803350069735</v>
      </c>
      <c r="CV8">
        <f t="shared" si="1"/>
        <v>13.090696224151957</v>
      </c>
      <c r="CW8">
        <f t="shared" si="1"/>
        <v>13.038868283765263</v>
      </c>
      <c r="CX8">
        <f t="shared" si="1"/>
        <v>13.037427735494344</v>
      </c>
      <c r="CY8">
        <f t="shared" si="1"/>
        <v>12.987860084065849</v>
      </c>
      <c r="CZ8">
        <f t="shared" si="1"/>
        <v>13.015184542939718</v>
      </c>
      <c r="DA8">
        <f t="shared" si="1"/>
        <v>13.04334224774224</v>
      </c>
      <c r="DB8">
        <f t="shared" si="1"/>
        <v>13.006419948633136</v>
      </c>
      <c r="DC8">
        <f t="shared" si="1"/>
        <v>13.093560941045977</v>
      </c>
      <c r="DD8">
        <f t="shared" si="1"/>
        <v>13.056533355972501</v>
      </c>
      <c r="DE8">
        <f t="shared" si="1"/>
        <v>13.070826895554367</v>
      </c>
      <c r="DF8">
        <f t="shared" si="1"/>
        <v>13.07726705260243</v>
      </c>
      <c r="DG8">
        <f t="shared" si="1"/>
        <v>13.040843729591462</v>
      </c>
      <c r="DH8">
        <f t="shared" si="1"/>
        <v>13.106812283518231</v>
      </c>
      <c r="DI8">
        <f t="shared" si="1"/>
        <v>13.018288701366959</v>
      </c>
      <c r="DJ8">
        <f t="shared" si="1"/>
        <v>13.039811641416751</v>
      </c>
      <c r="DK8">
        <f t="shared" si="1"/>
        <v>12.978006052413779</v>
      </c>
      <c r="DL8">
        <f t="shared" si="1"/>
        <v>13.027518709232648</v>
      </c>
      <c r="DM8">
        <f t="shared" si="1"/>
        <v>13.051162498633849</v>
      </c>
      <c r="DN8">
        <f t="shared" si="1"/>
        <v>12.998076663607396</v>
      </c>
      <c r="DO8">
        <f t="shared" si="1"/>
        <v>13.057735892309582</v>
      </c>
      <c r="DP8">
        <f t="shared" si="1"/>
        <v>13.078386202199093</v>
      </c>
      <c r="DQ8">
        <f t="shared" si="1"/>
        <v>13.112237887211659</v>
      </c>
      <c r="DR8">
        <f t="shared" si="1"/>
        <v>13.081102745029888</v>
      </c>
      <c r="DS8">
        <f t="shared" si="1"/>
        <v>13.006871490061988</v>
      </c>
      <c r="DT8">
        <f t="shared" si="1"/>
        <v>13.09524641344759</v>
      </c>
      <c r="DU8">
        <f t="shared" si="1"/>
        <v>13.035884367772956</v>
      </c>
      <c r="DV8">
        <f t="shared" si="1"/>
        <v>13.02855345165589</v>
      </c>
      <c r="DW8">
        <f t="shared" si="1"/>
        <v>12.992335326619466</v>
      </c>
      <c r="DX8">
        <f t="shared" si="1"/>
        <v>13.010338034377657</v>
      </c>
      <c r="DY8">
        <f t="shared" si="1"/>
        <v>13.019790971354137</v>
      </c>
      <c r="DZ8">
        <f t="shared" si="1"/>
        <v>12.995738139443487</v>
      </c>
      <c r="EA8">
        <f t="shared" si="1"/>
        <v>13.085213590402443</v>
      </c>
      <c r="EB8">
        <f t="shared" ref="EB8" si="2">LN(EB6)</f>
        <v>13.047589829958351</v>
      </c>
      <c r="EC8">
        <f>LN(EC6)</f>
        <v>13.099169261506768</v>
      </c>
    </row>
    <row r="9" spans="1:135">
      <c r="A9" s="1" t="s">
        <v>163</v>
      </c>
      <c r="B9" t="s">
        <v>164</v>
      </c>
      <c r="C9">
        <f>C8-B8</f>
        <v>-8.271271359196497E-2</v>
      </c>
      <c r="D9">
        <f t="shared" ref="D9:BO9" si="3">D8-C8</f>
        <v>0.10459378318235579</v>
      </c>
      <c r="E9">
        <f t="shared" si="3"/>
        <v>-5.8141900024470061E-2</v>
      </c>
      <c r="F9">
        <f t="shared" si="3"/>
        <v>1.2456593994683018E-2</v>
      </c>
      <c r="G9">
        <f t="shared" si="3"/>
        <v>-3.7920465926271518E-2</v>
      </c>
      <c r="H9">
        <f t="shared" si="3"/>
        <v>5.1770592436847451E-2</v>
      </c>
      <c r="I9">
        <f t="shared" si="3"/>
        <v>-1.4308916267472327E-2</v>
      </c>
      <c r="J9">
        <f t="shared" si="3"/>
        <v>2.0341520046921246E-2</v>
      </c>
      <c r="K9">
        <f t="shared" si="3"/>
        <v>8.721994204027439E-2</v>
      </c>
      <c r="L9">
        <f t="shared" si="3"/>
        <v>-3.6270801948626641E-2</v>
      </c>
      <c r="M9">
        <f t="shared" si="3"/>
        <v>3.3571424018994378E-2</v>
      </c>
      <c r="N9">
        <f t="shared" si="3"/>
        <v>-7.1013411068372889E-2</v>
      </c>
      <c r="O9">
        <f t="shared" si="3"/>
        <v>-5.413816833485896E-2</v>
      </c>
      <c r="P9">
        <f t="shared" si="3"/>
        <v>6.4432531673801918E-2</v>
      </c>
      <c r="Q9">
        <f t="shared" si="3"/>
        <v>-4.9484000624991253E-2</v>
      </c>
      <c r="R9">
        <f t="shared" si="3"/>
        <v>1.2695087936526406E-2</v>
      </c>
      <c r="S9">
        <f t="shared" si="3"/>
        <v>-2.7435758057800186E-2</v>
      </c>
      <c r="T9">
        <f t="shared" si="3"/>
        <v>4.8847345841140921E-2</v>
      </c>
      <c r="U9">
        <f t="shared" si="3"/>
        <v>4.8885870945625243E-4</v>
      </c>
      <c r="V9">
        <f t="shared" si="3"/>
        <v>3.1204754925429512E-2</v>
      </c>
      <c r="W9">
        <f t="shared" si="3"/>
        <v>4.0536631583046656E-2</v>
      </c>
      <c r="X9">
        <f t="shared" si="3"/>
        <v>-4.2502976435354611E-3</v>
      </c>
      <c r="Y9">
        <f t="shared" si="3"/>
        <v>3.9876597037487471E-2</v>
      </c>
      <c r="Z9">
        <f t="shared" si="3"/>
        <v>-2.4329875481068797E-2</v>
      </c>
      <c r="AA9">
        <f t="shared" si="3"/>
        <v>-9.5587214239998275E-2</v>
      </c>
      <c r="AB9">
        <f t="shared" si="3"/>
        <v>9.082161124308108E-2</v>
      </c>
      <c r="AC9">
        <f t="shared" si="3"/>
        <v>-4.5340826952273261E-2</v>
      </c>
      <c r="AD9">
        <f t="shared" si="3"/>
        <v>3.8149675798434757E-2</v>
      </c>
      <c r="AE9">
        <f t="shared" si="3"/>
        <v>-3.3383970043457722E-2</v>
      </c>
      <c r="AF9">
        <f t="shared" si="3"/>
        <v>2.1360645647471088E-2</v>
      </c>
      <c r="AG9">
        <f t="shared" si="3"/>
        <v>1.6362737498051061E-2</v>
      </c>
      <c r="AH9">
        <f t="shared" si="3"/>
        <v>-1.4790810239656338E-2</v>
      </c>
      <c r="AI9">
        <f t="shared" si="3"/>
        <v>5.8269266911711526E-2</v>
      </c>
      <c r="AJ9">
        <f t="shared" si="3"/>
        <v>-3.6755337039037883E-2</v>
      </c>
      <c r="AK9">
        <f t="shared" si="3"/>
        <v>3.0169001496506809E-2</v>
      </c>
      <c r="AL9">
        <f t="shared" si="3"/>
        <v>-1.6708253778878301E-2</v>
      </c>
      <c r="AM9">
        <f t="shared" si="3"/>
        <v>-8.6942169578923867E-2</v>
      </c>
      <c r="AN9">
        <f t="shared" si="3"/>
        <v>0.11249320317436684</v>
      </c>
      <c r="AO9">
        <f t="shared" si="3"/>
        <v>-3.9997962147257482E-2</v>
      </c>
      <c r="AP9">
        <f t="shared" si="3"/>
        <v>1.9840021496255744E-2</v>
      </c>
      <c r="AQ9">
        <f t="shared" si="3"/>
        <v>-4.345347464014182E-2</v>
      </c>
      <c r="AR9">
        <f t="shared" si="3"/>
        <v>4.1913385040508899E-2</v>
      </c>
      <c r="AS9">
        <f t="shared" si="3"/>
        <v>-6.3011428576231765E-4</v>
      </c>
      <c r="AT9">
        <f t="shared" si="3"/>
        <v>-2.0980714187874838E-2</v>
      </c>
      <c r="AU9">
        <f t="shared" si="3"/>
        <v>5.4679654363773977E-2</v>
      </c>
      <c r="AV9">
        <f t="shared" si="3"/>
        <v>-2.8793854735296165E-2</v>
      </c>
      <c r="AW9">
        <f t="shared" si="3"/>
        <v>3.6047657506633968E-2</v>
      </c>
      <c r="AX9">
        <f t="shared" si="3"/>
        <v>-2.078686535595331E-2</v>
      </c>
      <c r="AY9">
        <f t="shared" si="3"/>
        <v>-9.1900508742687848E-2</v>
      </c>
      <c r="AZ9">
        <f t="shared" si="3"/>
        <v>0.11902220589322532</v>
      </c>
      <c r="BA9">
        <f t="shared" si="3"/>
        <v>-3.7525848744957457E-2</v>
      </c>
      <c r="BB9">
        <f t="shared" si="3"/>
        <v>4.2500225319308527E-3</v>
      </c>
      <c r="BC9">
        <f t="shared" si="3"/>
        <v>-4.8090071894298703E-2</v>
      </c>
      <c r="BD9">
        <f t="shared" si="3"/>
        <v>2.7887689427920748E-2</v>
      </c>
      <c r="BE9">
        <f t="shared" si="3"/>
        <v>4.3872767237225219E-3</v>
      </c>
      <c r="BF9">
        <f t="shared" si="3"/>
        <v>-1.2796553129041044E-2</v>
      </c>
      <c r="BG9">
        <f t="shared" si="3"/>
        <v>5.2219222498361972E-2</v>
      </c>
      <c r="BH9">
        <f t="shared" si="3"/>
        <v>-4.4009651400472194E-2</v>
      </c>
      <c r="BI9">
        <f t="shared" si="3"/>
        <v>3.5423453660927251E-2</v>
      </c>
      <c r="BJ9">
        <f t="shared" si="3"/>
        <v>-4.8411178006135813E-2</v>
      </c>
      <c r="BK9">
        <f t="shared" si="3"/>
        <v>-5.7134759787455636E-2</v>
      </c>
      <c r="BL9">
        <f t="shared" si="3"/>
        <v>5.309058315913795E-2</v>
      </c>
      <c r="BM9">
        <f t="shared" si="3"/>
        <v>-2.9502749388218064E-2</v>
      </c>
      <c r="BN9">
        <f t="shared" si="3"/>
        <v>-2.9235951712250241E-2</v>
      </c>
      <c r="BO9">
        <f t="shared" si="3"/>
        <v>-5.1484894568719852E-2</v>
      </c>
      <c r="BP9">
        <f t="shared" ref="BP9:EA9" si="4">BP8-BO8</f>
        <v>4.5884463365776895E-2</v>
      </c>
      <c r="BQ9">
        <f t="shared" si="4"/>
        <v>3.9971643453782235E-2</v>
      </c>
      <c r="BR9">
        <f t="shared" si="4"/>
        <v>-8.4206761005667374E-4</v>
      </c>
      <c r="BS9">
        <f t="shared" si="4"/>
        <v>4.9367907511840059E-2</v>
      </c>
      <c r="BT9">
        <f t="shared" si="4"/>
        <v>-2.5220409715181802E-2</v>
      </c>
      <c r="BU9">
        <f t="shared" si="4"/>
        <v>3.9342586291210679E-2</v>
      </c>
      <c r="BV9">
        <f t="shared" si="4"/>
        <v>-5.0424229401462739E-2</v>
      </c>
      <c r="BW9">
        <f t="shared" si="4"/>
        <v>-4.0593143586521663E-2</v>
      </c>
      <c r="BX9">
        <f t="shared" si="4"/>
        <v>9.6589094048548318E-2</v>
      </c>
      <c r="BY9">
        <f t="shared" si="4"/>
        <v>-1.1470816542789919E-2</v>
      </c>
      <c r="BZ9">
        <f t="shared" si="4"/>
        <v>1.7296553939511128E-2</v>
      </c>
      <c r="CA9">
        <f t="shared" si="4"/>
        <v>-3.5957111471947911E-2</v>
      </c>
      <c r="CB9">
        <f t="shared" si="4"/>
        <v>1.5979239074404461E-2</v>
      </c>
      <c r="CC9">
        <f t="shared" si="4"/>
        <v>8.0212298767641244E-3</v>
      </c>
      <c r="CD9">
        <f t="shared" si="4"/>
        <v>-8.9291748360853518E-3</v>
      </c>
      <c r="CE9">
        <f t="shared" si="4"/>
        <v>5.3455851454751624E-2</v>
      </c>
      <c r="CF9">
        <f t="shared" si="4"/>
        <v>-2.7375516548421075E-2</v>
      </c>
      <c r="CG9">
        <f t="shared" si="4"/>
        <v>1.2682756027519559E-2</v>
      </c>
      <c r="CH9">
        <f t="shared" si="4"/>
        <v>-6.5163595531885221E-3</v>
      </c>
      <c r="CI9">
        <f t="shared" si="4"/>
        <v>-0.10257147949404555</v>
      </c>
      <c r="CJ9">
        <f t="shared" si="4"/>
        <v>0.1232831254874629</v>
      </c>
      <c r="CK9">
        <f t="shared" si="4"/>
        <v>-6.0254102476418936E-2</v>
      </c>
      <c r="CL9">
        <f t="shared" si="4"/>
        <v>1.3980133880263423E-2</v>
      </c>
      <c r="CM9">
        <f t="shared" si="4"/>
        <v>-7.6924614687291282E-2</v>
      </c>
      <c r="CN9">
        <f t="shared" si="4"/>
        <v>2.1955599848467955E-2</v>
      </c>
      <c r="CO9">
        <f t="shared" si="4"/>
        <v>1.9219848339888657E-2</v>
      </c>
      <c r="CP9">
        <f t="shared" si="4"/>
        <v>-4.0538672736158077E-2</v>
      </c>
      <c r="CQ9">
        <f t="shared" si="4"/>
        <v>5.6742127796272968E-2</v>
      </c>
      <c r="CR9">
        <f t="shared" si="4"/>
        <v>-1.5795076461674995E-2</v>
      </c>
      <c r="CS9">
        <f t="shared" si="4"/>
        <v>2.3633386607778917E-2</v>
      </c>
      <c r="CT9">
        <f t="shared" si="4"/>
        <v>2.1768884567425317E-2</v>
      </c>
      <c r="CU9">
        <f t="shared" si="4"/>
        <v>-8.7155415595390195E-2</v>
      </c>
      <c r="CV9">
        <f t="shared" si="4"/>
        <v>9.0892874082221908E-2</v>
      </c>
      <c r="CW9">
        <f t="shared" si="4"/>
        <v>-5.1827940386694138E-2</v>
      </c>
      <c r="CX9">
        <f t="shared" si="4"/>
        <v>-1.4405482709189954E-3</v>
      </c>
      <c r="CY9">
        <f t="shared" si="4"/>
        <v>-4.9567651428494841E-2</v>
      </c>
      <c r="CZ9">
        <f t="shared" si="4"/>
        <v>2.7324458873868807E-2</v>
      </c>
      <c r="DA9">
        <f t="shared" si="4"/>
        <v>2.8157704802522332E-2</v>
      </c>
      <c r="DB9">
        <f t="shared" si="4"/>
        <v>-3.6922299109104273E-2</v>
      </c>
      <c r="DC9">
        <f t="shared" si="4"/>
        <v>8.7140992412841456E-2</v>
      </c>
      <c r="DD9">
        <f t="shared" si="4"/>
        <v>-3.7027585073476033E-2</v>
      </c>
      <c r="DE9">
        <f t="shared" si="4"/>
        <v>1.4293539581865744E-2</v>
      </c>
      <c r="DF9">
        <f t="shared" si="4"/>
        <v>6.4401570480629999E-3</v>
      </c>
      <c r="DG9">
        <f t="shared" si="4"/>
        <v>-3.6423323010968289E-2</v>
      </c>
      <c r="DH9">
        <f t="shared" si="4"/>
        <v>6.5968553926769147E-2</v>
      </c>
      <c r="DI9">
        <f t="shared" si="4"/>
        <v>-8.852358215127154E-2</v>
      </c>
      <c r="DJ9">
        <f t="shared" si="4"/>
        <v>2.1522940049791828E-2</v>
      </c>
      <c r="DK9">
        <f t="shared" si="4"/>
        <v>-6.1805589002972283E-2</v>
      </c>
      <c r="DL9">
        <f t="shared" si="4"/>
        <v>4.9512656818869516E-2</v>
      </c>
      <c r="DM9">
        <f t="shared" si="4"/>
        <v>2.3643789401200266E-2</v>
      </c>
      <c r="DN9">
        <f t="shared" si="4"/>
        <v>-5.3085835026452699E-2</v>
      </c>
      <c r="DO9">
        <f t="shared" si="4"/>
        <v>5.9659228702185985E-2</v>
      </c>
      <c r="DP9">
        <f t="shared" si="4"/>
        <v>2.065030988951122E-2</v>
      </c>
      <c r="DQ9">
        <f t="shared" si="4"/>
        <v>3.385168501256608E-2</v>
      </c>
      <c r="DR9">
        <f t="shared" si="4"/>
        <v>-3.1135142181771158E-2</v>
      </c>
      <c r="DS9">
        <f t="shared" si="4"/>
        <v>-7.4231254967900284E-2</v>
      </c>
      <c r="DT9">
        <f t="shared" si="4"/>
        <v>8.83749233856026E-2</v>
      </c>
      <c r="DU9">
        <f t="shared" si="4"/>
        <v>-5.936204567463399E-2</v>
      </c>
      <c r="DV9">
        <f t="shared" si="4"/>
        <v>-7.3309161170662662E-3</v>
      </c>
      <c r="DW9">
        <f t="shared" si="4"/>
        <v>-3.6218125036423743E-2</v>
      </c>
      <c r="DX9">
        <f t="shared" si="4"/>
        <v>1.8002707758190795E-2</v>
      </c>
      <c r="DY9">
        <f t="shared" si="4"/>
        <v>9.4529369764799753E-3</v>
      </c>
      <c r="DZ9">
        <f t="shared" si="4"/>
        <v>-2.4052831910649886E-2</v>
      </c>
      <c r="EA9">
        <f t="shared" si="4"/>
        <v>8.9475450958955705E-2</v>
      </c>
      <c r="EB9">
        <f t="shared" ref="EB9:EC9" si="5">EB8-EA8</f>
        <v>-3.7623760444091658E-2</v>
      </c>
      <c r="EC9">
        <f t="shared" si="5"/>
        <v>5.1579431548416821E-2</v>
      </c>
    </row>
    <row r="10" spans="1:135"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35"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35"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4" spans="1:135">
      <c r="C14" s="4"/>
      <c r="D14" s="5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35">
      <c r="C15" s="4"/>
      <c r="D15" s="5"/>
    </row>
    <row r="16" spans="1:135">
      <c r="C16" s="4"/>
      <c r="D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3:4">
      <c r="C17" s="4"/>
      <c r="D17" s="5"/>
    </row>
    <row r="18" spans="3:4">
      <c r="C18" s="4"/>
      <c r="D18" s="5"/>
    </row>
    <row r="19" spans="3:4">
      <c r="C19" s="4"/>
      <c r="D19" s="5"/>
    </row>
    <row r="20" spans="3:4">
      <c r="C20" s="4"/>
      <c r="D20" s="5"/>
    </row>
    <row r="21" spans="3:4">
      <c r="C21" s="4"/>
      <c r="D21" s="5"/>
    </row>
    <row r="22" spans="3:4">
      <c r="C22" s="4"/>
      <c r="D22" s="5"/>
    </row>
    <row r="23" spans="3:4">
      <c r="C23" s="4"/>
      <c r="D23" s="5"/>
    </row>
    <row r="24" spans="3:4">
      <c r="C24" s="4"/>
      <c r="D24" s="5"/>
    </row>
    <row r="25" spans="3:4">
      <c r="C25" s="4"/>
      <c r="D25" s="5"/>
    </row>
    <row r="26" spans="3:4">
      <c r="C26" s="4"/>
      <c r="D26" s="5"/>
    </row>
    <row r="27" spans="3:4">
      <c r="C27" s="4"/>
      <c r="D27" s="5"/>
    </row>
    <row r="28" spans="3:4">
      <c r="C28" s="4"/>
      <c r="D28" s="5"/>
    </row>
    <row r="29" spans="3:4">
      <c r="C29" s="4"/>
      <c r="D29" s="5"/>
    </row>
    <row r="30" spans="3:4">
      <c r="C30" s="4"/>
      <c r="D30" s="5"/>
    </row>
    <row r="31" spans="3:4">
      <c r="C31" s="4"/>
      <c r="D31" s="5"/>
    </row>
    <row r="32" spans="3:4">
      <c r="C32" s="4"/>
      <c r="D32" s="5"/>
    </row>
    <row r="33" spans="3:4">
      <c r="C33" s="4"/>
      <c r="D33" s="5"/>
    </row>
    <row r="34" spans="3:4">
      <c r="C34" s="4"/>
      <c r="D34" s="5"/>
    </row>
    <row r="35" spans="3:4">
      <c r="C35" s="4"/>
      <c r="D35" s="5"/>
    </row>
    <row r="36" spans="3:4">
      <c r="C36" s="4"/>
      <c r="D36" s="5"/>
    </row>
    <row r="37" spans="3:4">
      <c r="C37" s="4"/>
      <c r="D37" s="5"/>
    </row>
    <row r="38" spans="3:4">
      <c r="C38" s="4"/>
      <c r="D38" s="5"/>
    </row>
    <row r="39" spans="3:4">
      <c r="C39" s="4"/>
      <c r="D39" s="5"/>
    </row>
    <row r="40" spans="3:4">
      <c r="C40" s="4"/>
      <c r="D40" s="5"/>
    </row>
    <row r="41" spans="3:4">
      <c r="C41" s="4"/>
      <c r="D41" s="5"/>
    </row>
    <row r="42" spans="3:4">
      <c r="C42" s="4"/>
      <c r="D42" s="5"/>
    </row>
    <row r="43" spans="3:4">
      <c r="C43" s="4"/>
      <c r="D43" s="5"/>
    </row>
    <row r="44" spans="3:4">
      <c r="C44" s="4"/>
      <c r="D44" s="5"/>
    </row>
    <row r="45" spans="3:4">
      <c r="C45" s="4"/>
      <c r="D45" s="5"/>
    </row>
    <row r="46" spans="3:4">
      <c r="C46" s="4"/>
      <c r="D46" s="5"/>
    </row>
    <row r="47" spans="3:4">
      <c r="C47" s="4"/>
      <c r="D47" s="5"/>
    </row>
    <row r="48" spans="3:4">
      <c r="C48" s="4"/>
      <c r="D48" s="5"/>
    </row>
    <row r="49" spans="3:4">
      <c r="C49" s="4"/>
      <c r="D49" s="5"/>
    </row>
    <row r="50" spans="3:4">
      <c r="C50" s="4"/>
      <c r="D50" s="5"/>
    </row>
    <row r="51" spans="3:4">
      <c r="C51" s="4"/>
      <c r="D51" s="5"/>
    </row>
    <row r="52" spans="3:4">
      <c r="C52" s="4"/>
      <c r="D52" s="5"/>
    </row>
    <row r="53" spans="3:4">
      <c r="C53" s="4"/>
      <c r="D53" s="5"/>
    </row>
    <row r="54" spans="3:4">
      <c r="C54" s="4"/>
      <c r="D54" s="5"/>
    </row>
    <row r="55" spans="3:4">
      <c r="C55" s="4"/>
      <c r="D55" s="5"/>
    </row>
    <row r="56" spans="3:4">
      <c r="C56" s="4"/>
      <c r="D56" s="5"/>
    </row>
    <row r="57" spans="3:4">
      <c r="C57" s="4"/>
      <c r="D57" s="5"/>
    </row>
    <row r="58" spans="3:4">
      <c r="C58" s="4"/>
      <c r="D58" s="5"/>
    </row>
    <row r="59" spans="3:4">
      <c r="C59" s="4"/>
      <c r="D59" s="5"/>
    </row>
    <row r="60" spans="3:4">
      <c r="C60" s="4"/>
      <c r="D60" s="5"/>
    </row>
    <row r="61" spans="3:4">
      <c r="C61" s="4"/>
      <c r="D61" s="5"/>
    </row>
    <row r="62" spans="3:4">
      <c r="C62" s="4"/>
      <c r="D62" s="5"/>
    </row>
    <row r="63" spans="3:4">
      <c r="C63" s="4"/>
      <c r="D63" s="5"/>
    </row>
    <row r="64" spans="3:4">
      <c r="C64" s="4"/>
      <c r="D64" s="5"/>
    </row>
    <row r="65" spans="3:4">
      <c r="C65" s="4"/>
      <c r="D65" s="5"/>
    </row>
    <row r="66" spans="3:4">
      <c r="C66" s="4"/>
      <c r="D66" s="5"/>
    </row>
    <row r="67" spans="3:4">
      <c r="C67" s="4"/>
      <c r="D67" s="5"/>
    </row>
    <row r="68" spans="3:4">
      <c r="C68" s="4"/>
      <c r="D68" s="5"/>
    </row>
    <row r="69" spans="3:4">
      <c r="C69" s="4"/>
      <c r="D69" s="5"/>
    </row>
    <row r="70" spans="3:4">
      <c r="C70" s="4"/>
      <c r="D70" s="5"/>
    </row>
    <row r="71" spans="3:4">
      <c r="C71" s="4"/>
      <c r="D71" s="5"/>
    </row>
    <row r="72" spans="3:4">
      <c r="C72" s="4"/>
      <c r="D72" s="5"/>
    </row>
    <row r="73" spans="3:4">
      <c r="C73" s="4"/>
      <c r="D73" s="5"/>
    </row>
    <row r="74" spans="3:4">
      <c r="C74" s="4"/>
      <c r="D74" s="5"/>
    </row>
    <row r="75" spans="3:4">
      <c r="C75" s="4"/>
      <c r="D75" s="5"/>
    </row>
    <row r="76" spans="3:4">
      <c r="C76" s="4"/>
      <c r="D76" s="5"/>
    </row>
    <row r="77" spans="3:4">
      <c r="C77" s="4"/>
      <c r="D77" s="5"/>
    </row>
    <row r="78" spans="3:4">
      <c r="C78" s="4"/>
      <c r="D78" s="5"/>
    </row>
    <row r="79" spans="3:4">
      <c r="C79" s="4"/>
      <c r="D79" s="5"/>
    </row>
    <row r="80" spans="3:4">
      <c r="C80" s="4"/>
      <c r="D80" s="5"/>
    </row>
    <row r="81" spans="3:4">
      <c r="C81" s="4"/>
      <c r="D81" s="5"/>
    </row>
    <row r="82" spans="3:4">
      <c r="C82" s="4"/>
      <c r="D82" s="5"/>
    </row>
    <row r="83" spans="3:4">
      <c r="C83" s="4"/>
      <c r="D83" s="5"/>
    </row>
    <row r="84" spans="3:4">
      <c r="C84" s="4"/>
      <c r="D84" s="5"/>
    </row>
    <row r="85" spans="3:4">
      <c r="C85" s="4"/>
      <c r="D85" s="5"/>
    </row>
    <row r="86" spans="3:4">
      <c r="C86" s="4"/>
      <c r="D86" s="5"/>
    </row>
    <row r="87" spans="3:4">
      <c r="C87" s="4"/>
      <c r="D87" s="5"/>
    </row>
    <row r="88" spans="3:4">
      <c r="C88" s="4"/>
      <c r="D88" s="5"/>
    </row>
    <row r="89" spans="3:4">
      <c r="C89" s="4"/>
      <c r="D89" s="5"/>
    </row>
    <row r="90" spans="3:4">
      <c r="C90" s="4"/>
      <c r="D90" s="5"/>
    </row>
    <row r="91" spans="3:4">
      <c r="C91" s="4"/>
      <c r="D91" s="5"/>
    </row>
    <row r="92" spans="3:4">
      <c r="C92" s="4"/>
      <c r="D92" s="5"/>
    </row>
    <row r="93" spans="3:4">
      <c r="C93" s="4"/>
      <c r="D93" s="5"/>
    </row>
    <row r="94" spans="3:4">
      <c r="C94" s="4"/>
      <c r="D94" s="5"/>
    </row>
    <row r="95" spans="3:4">
      <c r="C95" s="4"/>
      <c r="D95" s="5"/>
    </row>
    <row r="96" spans="3:4">
      <c r="C96" s="4"/>
      <c r="D96" s="5"/>
    </row>
    <row r="97" spans="3:4">
      <c r="C97" s="4"/>
      <c r="D97" s="5"/>
    </row>
    <row r="98" spans="3:4">
      <c r="C98" s="4"/>
      <c r="D98" s="5"/>
    </row>
    <row r="99" spans="3:4">
      <c r="C99" s="4"/>
      <c r="D99" s="5"/>
    </row>
    <row r="100" spans="3:4">
      <c r="C100" s="4"/>
      <c r="D100" s="5"/>
    </row>
    <row r="101" spans="3:4">
      <c r="C101" s="4"/>
      <c r="D101" s="5"/>
    </row>
    <row r="102" spans="3:4">
      <c r="C102" s="4"/>
      <c r="D102" s="5"/>
    </row>
    <row r="103" spans="3:4">
      <c r="C103" s="4"/>
      <c r="D103" s="5"/>
    </row>
    <row r="104" spans="3:4">
      <c r="C104" s="4"/>
      <c r="D104" s="5"/>
    </row>
    <row r="105" spans="3:4">
      <c r="C105" s="4"/>
      <c r="D105" s="5"/>
    </row>
    <row r="106" spans="3:4">
      <c r="C106" s="4"/>
      <c r="D106" s="5"/>
    </row>
    <row r="107" spans="3:4">
      <c r="C107" s="4"/>
      <c r="D107" s="5"/>
    </row>
    <row r="108" spans="3:4">
      <c r="C108" s="4"/>
      <c r="D108" s="5"/>
    </row>
    <row r="109" spans="3:4">
      <c r="C109" s="4"/>
      <c r="D109" s="5"/>
    </row>
    <row r="110" spans="3:4">
      <c r="C110" s="4"/>
      <c r="D110" s="5"/>
    </row>
    <row r="111" spans="3:4">
      <c r="C111" s="4"/>
      <c r="D111" s="5"/>
    </row>
    <row r="112" spans="3:4">
      <c r="C112" s="4"/>
      <c r="D112" s="5"/>
    </row>
    <row r="113" spans="3:4">
      <c r="C113" s="4"/>
      <c r="D113" s="5"/>
    </row>
    <row r="114" spans="3:4">
      <c r="C114" s="4"/>
      <c r="D114" s="5"/>
    </row>
    <row r="115" spans="3:4">
      <c r="C115" s="4"/>
      <c r="D115" s="5"/>
    </row>
    <row r="116" spans="3:4">
      <c r="C116" s="4"/>
      <c r="D116" s="5"/>
    </row>
    <row r="117" spans="3:4">
      <c r="C117" s="4"/>
      <c r="D117" s="5"/>
    </row>
    <row r="118" spans="3:4">
      <c r="C118" s="4"/>
      <c r="D118" s="5"/>
    </row>
    <row r="119" spans="3:4">
      <c r="C119" s="4"/>
      <c r="D119" s="5"/>
    </row>
    <row r="120" spans="3:4">
      <c r="C120" s="4"/>
      <c r="D120" s="5"/>
    </row>
    <row r="121" spans="3:4">
      <c r="C121" s="4"/>
      <c r="D121" s="5"/>
    </row>
    <row r="122" spans="3:4">
      <c r="C122" s="4"/>
      <c r="D122" s="5"/>
    </row>
    <row r="123" spans="3:4">
      <c r="C123" s="4"/>
      <c r="D123" s="5"/>
    </row>
    <row r="124" spans="3:4">
      <c r="C124" s="4"/>
      <c r="D124" s="5"/>
    </row>
    <row r="125" spans="3:4">
      <c r="C125" s="4"/>
      <c r="D125" s="5"/>
    </row>
    <row r="126" spans="3:4">
      <c r="C126" s="4"/>
      <c r="D126" s="5"/>
    </row>
    <row r="127" spans="3:4">
      <c r="C127" s="4"/>
      <c r="D127" s="5"/>
    </row>
    <row r="128" spans="3:4">
      <c r="C128" s="4"/>
      <c r="D128" s="5"/>
    </row>
    <row r="129" spans="3:4">
      <c r="C129" s="4"/>
      <c r="D129" s="5"/>
    </row>
    <row r="130" spans="3:4">
      <c r="C130" s="4"/>
      <c r="D130" s="5"/>
    </row>
    <row r="131" spans="3:4">
      <c r="C131" s="4"/>
      <c r="D131" s="5"/>
    </row>
    <row r="132" spans="3:4">
      <c r="C132" s="4"/>
      <c r="D132" s="5"/>
    </row>
    <row r="133" spans="3:4">
      <c r="C133" s="4"/>
      <c r="D133" s="5"/>
    </row>
    <row r="134" spans="3:4">
      <c r="C134" s="4"/>
      <c r="D134" s="5"/>
    </row>
    <row r="135" spans="3:4">
      <c r="C135" s="4"/>
      <c r="D135" s="5"/>
    </row>
    <row r="136" spans="3:4">
      <c r="C136" s="4"/>
      <c r="D136" s="5"/>
    </row>
    <row r="137" spans="3:4">
      <c r="C137" s="4"/>
      <c r="D137" s="5"/>
    </row>
    <row r="138" spans="3:4">
      <c r="C138" s="4"/>
      <c r="D138" s="5"/>
    </row>
    <row r="139" spans="3:4">
      <c r="C139" s="4"/>
      <c r="D139" s="5"/>
    </row>
    <row r="140" spans="3:4">
      <c r="C140" s="4"/>
      <c r="D140" s="5"/>
    </row>
    <row r="141" spans="3:4">
      <c r="C141" s="4"/>
      <c r="D141" s="5"/>
    </row>
    <row r="142" spans="3:4">
      <c r="C142" s="4"/>
      <c r="D142" s="5"/>
    </row>
    <row r="143" spans="3:4">
      <c r="C143" s="4"/>
      <c r="D143" s="5"/>
    </row>
    <row r="144" spans="3:4">
      <c r="C144" s="4"/>
      <c r="D144" s="5"/>
    </row>
    <row r="145" spans="3:4">
      <c r="C145" s="4"/>
      <c r="D145" s="5"/>
    </row>
    <row r="146" spans="3:4">
      <c r="C146" s="4"/>
      <c r="D146" s="5"/>
    </row>
    <row r="147" spans="3:4">
      <c r="C147" s="4"/>
      <c r="D147" s="5"/>
    </row>
  </sheetData>
  <sortState xmlns:xlrd2="http://schemas.microsoft.com/office/spreadsheetml/2017/richdata2" ref="B14:D147">
    <sortCondition descending="1" ref="B14:B147"/>
  </sortState>
  <mergeCells count="12">
    <mergeCell ref="BJ4:BU4"/>
    <mergeCell ref="B3:EE3"/>
    <mergeCell ref="B4:M4"/>
    <mergeCell ref="N4:Y4"/>
    <mergeCell ref="Z4:AK4"/>
    <mergeCell ref="AL4:AW4"/>
    <mergeCell ref="AX4:BI4"/>
    <mergeCell ref="BV4:CG4"/>
    <mergeCell ref="CH4:CS4"/>
    <mergeCell ref="CT4:DE4"/>
    <mergeCell ref="DF4:DQ4"/>
    <mergeCell ref="DR4:EC4"/>
  </mergeCells>
  <phoneticPr fontId="3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9D08-995B-624A-B8B0-480B8331B8E3}">
  <dimension ref="A1:EP17"/>
  <sheetViews>
    <sheetView topLeftCell="A2" workbookViewId="0">
      <selection activeCell="O7" sqref="O7:EP7"/>
    </sheetView>
  </sheetViews>
  <sheetFormatPr baseColWidth="10" defaultRowHeight="16"/>
  <cols>
    <col min="1" max="1" width="10.1640625" bestFit="1" customWidth="1"/>
    <col min="2" max="2" width="5.5" bestFit="1" customWidth="1"/>
    <col min="3" max="10" width="12.33203125" bestFit="1" customWidth="1"/>
    <col min="12" max="17" width="12.33203125" bestFit="1" customWidth="1"/>
    <col min="19" max="27" width="12.33203125" bestFit="1" customWidth="1"/>
    <col min="30" max="31" width="12.33203125" bestFit="1" customWidth="1"/>
    <col min="33" max="34" width="12.33203125" bestFit="1" customWidth="1"/>
    <col min="36" max="36" width="12.33203125" bestFit="1" customWidth="1"/>
    <col min="38" max="43" width="12.33203125" bestFit="1" customWidth="1"/>
    <col min="45" max="53" width="12.33203125" bestFit="1" customWidth="1"/>
    <col min="55" max="60" width="12.33203125" bestFit="1" customWidth="1"/>
    <col min="62" max="69" width="12.33203125" bestFit="1" customWidth="1"/>
    <col min="71" max="81" width="12.33203125" bestFit="1" customWidth="1"/>
    <col min="83" max="85" width="12.33203125" bestFit="1" customWidth="1"/>
    <col min="86" max="86" width="12.1640625" bestFit="1" customWidth="1"/>
    <col min="87" max="93" width="13.6640625" bestFit="1" customWidth="1"/>
    <col min="94" max="94" width="12.1640625" bestFit="1" customWidth="1"/>
    <col min="95" max="104" width="13.6640625" bestFit="1" customWidth="1"/>
    <col min="105" max="105" width="12.1640625" bestFit="1" customWidth="1"/>
    <col min="106" max="115" width="13.6640625" bestFit="1" customWidth="1"/>
    <col min="116" max="116" width="12.1640625" bestFit="1" customWidth="1"/>
    <col min="117" max="134" width="13.6640625" bestFit="1" customWidth="1"/>
  </cols>
  <sheetData>
    <row r="1" spans="1:146" s="2" customFormat="1" ht="14">
      <c r="A1" s="11" t="s">
        <v>94</v>
      </c>
    </row>
    <row r="2" spans="1:146" s="2" customFormat="1" ht="14">
      <c r="A2" s="2" t="s">
        <v>57</v>
      </c>
    </row>
    <row r="3" spans="1:146" s="2" customFormat="1" ht="14">
      <c r="A3" s="95" t="s">
        <v>57</v>
      </c>
      <c r="B3" s="95" t="s">
        <v>57</v>
      </c>
      <c r="C3" s="104" t="s">
        <v>166</v>
      </c>
      <c r="D3" s="104" t="s">
        <v>57</v>
      </c>
      <c r="E3" s="104" t="s">
        <v>57</v>
      </c>
      <c r="F3" s="104" t="s">
        <v>57</v>
      </c>
      <c r="G3" s="104" t="s">
        <v>57</v>
      </c>
      <c r="H3" s="104" t="s">
        <v>57</v>
      </c>
      <c r="I3" s="104" t="s">
        <v>57</v>
      </c>
      <c r="J3" s="104" t="s">
        <v>57</v>
      </c>
      <c r="K3" s="104" t="s">
        <v>57</v>
      </c>
      <c r="L3" s="104" t="s">
        <v>57</v>
      </c>
      <c r="M3" s="104" t="s">
        <v>57</v>
      </c>
      <c r="N3" s="104" t="s">
        <v>57</v>
      </c>
      <c r="O3" s="95" t="s">
        <v>58</v>
      </c>
      <c r="P3" s="95" t="s">
        <v>57</v>
      </c>
      <c r="Q3" s="95" t="s">
        <v>57</v>
      </c>
      <c r="R3" s="95" t="s">
        <v>57</v>
      </c>
      <c r="S3" s="95" t="s">
        <v>57</v>
      </c>
      <c r="T3" s="95" t="s">
        <v>57</v>
      </c>
      <c r="U3" s="95" t="s">
        <v>57</v>
      </c>
      <c r="V3" s="95" t="s">
        <v>57</v>
      </c>
      <c r="W3" s="95" t="s">
        <v>57</v>
      </c>
      <c r="X3" s="95" t="s">
        <v>57</v>
      </c>
      <c r="Y3" s="95" t="s">
        <v>57</v>
      </c>
      <c r="Z3" s="95" t="s">
        <v>57</v>
      </c>
      <c r="AA3" s="95" t="s">
        <v>59</v>
      </c>
      <c r="AB3" s="95" t="s">
        <v>57</v>
      </c>
      <c r="AC3" s="95" t="s">
        <v>57</v>
      </c>
      <c r="AD3" s="95" t="s">
        <v>57</v>
      </c>
      <c r="AE3" s="95" t="s">
        <v>57</v>
      </c>
      <c r="AF3" s="95" t="s">
        <v>57</v>
      </c>
      <c r="AG3" s="95" t="s">
        <v>57</v>
      </c>
      <c r="AH3" s="95" t="s">
        <v>57</v>
      </c>
      <c r="AI3" s="95" t="s">
        <v>57</v>
      </c>
      <c r="AJ3" s="95" t="s">
        <v>57</v>
      </c>
      <c r="AK3" s="95" t="s">
        <v>57</v>
      </c>
      <c r="AL3" s="95" t="s">
        <v>57</v>
      </c>
      <c r="AM3" s="95" t="s">
        <v>60</v>
      </c>
      <c r="AN3" s="95" t="s">
        <v>57</v>
      </c>
      <c r="AO3" s="95" t="s">
        <v>57</v>
      </c>
      <c r="AP3" s="95" t="s">
        <v>57</v>
      </c>
      <c r="AQ3" s="95" t="s">
        <v>57</v>
      </c>
      <c r="AR3" s="95" t="s">
        <v>57</v>
      </c>
      <c r="AS3" s="95" t="s">
        <v>57</v>
      </c>
      <c r="AT3" s="95" t="s">
        <v>57</v>
      </c>
      <c r="AU3" s="95" t="s">
        <v>57</v>
      </c>
      <c r="AV3" s="95" t="s">
        <v>57</v>
      </c>
      <c r="AW3" s="95" t="s">
        <v>57</v>
      </c>
      <c r="AX3" s="95" t="s">
        <v>57</v>
      </c>
      <c r="AY3" s="95" t="s">
        <v>61</v>
      </c>
      <c r="AZ3" s="95" t="s">
        <v>57</v>
      </c>
      <c r="BA3" s="95" t="s">
        <v>57</v>
      </c>
      <c r="BB3" s="95" t="s">
        <v>57</v>
      </c>
      <c r="BC3" s="95" t="s">
        <v>57</v>
      </c>
      <c r="BD3" s="95" t="s">
        <v>57</v>
      </c>
      <c r="BE3" s="95" t="s">
        <v>57</v>
      </c>
      <c r="BF3" s="95" t="s">
        <v>57</v>
      </c>
      <c r="BG3" s="95" t="s">
        <v>57</v>
      </c>
      <c r="BH3" s="95" t="s">
        <v>57</v>
      </c>
      <c r="BI3" s="95" t="s">
        <v>57</v>
      </c>
      <c r="BJ3" s="95" t="s">
        <v>57</v>
      </c>
      <c r="BK3" s="95" t="s">
        <v>62</v>
      </c>
      <c r="BL3" s="95" t="s">
        <v>57</v>
      </c>
      <c r="BM3" s="95" t="s">
        <v>57</v>
      </c>
      <c r="BN3" s="95" t="s">
        <v>57</v>
      </c>
      <c r="BO3" s="95" t="s">
        <v>57</v>
      </c>
      <c r="BP3" s="95" t="s">
        <v>57</v>
      </c>
      <c r="BQ3" s="95" t="s">
        <v>57</v>
      </c>
      <c r="BR3" s="95" t="s">
        <v>57</v>
      </c>
      <c r="BS3" s="95" t="s">
        <v>57</v>
      </c>
      <c r="BT3" s="95" t="s">
        <v>57</v>
      </c>
      <c r="BU3" s="95" t="s">
        <v>57</v>
      </c>
      <c r="BV3" s="95" t="s">
        <v>57</v>
      </c>
      <c r="BW3" s="95" t="s">
        <v>63</v>
      </c>
      <c r="BX3" s="95" t="s">
        <v>57</v>
      </c>
      <c r="BY3" s="95" t="s">
        <v>57</v>
      </c>
      <c r="BZ3" s="95" t="s">
        <v>57</v>
      </c>
      <c r="CA3" s="95" t="s">
        <v>57</v>
      </c>
      <c r="CB3" s="95" t="s">
        <v>57</v>
      </c>
      <c r="CC3" s="95" t="s">
        <v>57</v>
      </c>
      <c r="CD3" s="95" t="s">
        <v>57</v>
      </c>
      <c r="CE3" s="95" t="s">
        <v>57</v>
      </c>
      <c r="CF3" s="95" t="s">
        <v>57</v>
      </c>
      <c r="CG3" s="95" t="s">
        <v>57</v>
      </c>
      <c r="CH3" s="95" t="s">
        <v>57</v>
      </c>
      <c r="CI3" s="95" t="s">
        <v>64</v>
      </c>
      <c r="CJ3" s="95" t="s">
        <v>57</v>
      </c>
      <c r="CK3" s="95" t="s">
        <v>57</v>
      </c>
      <c r="CL3" s="95" t="s">
        <v>57</v>
      </c>
      <c r="CM3" s="95" t="s">
        <v>57</v>
      </c>
      <c r="CN3" s="95" t="s">
        <v>57</v>
      </c>
      <c r="CO3" s="95" t="s">
        <v>57</v>
      </c>
      <c r="CP3" s="95" t="s">
        <v>57</v>
      </c>
      <c r="CQ3" s="95" t="s">
        <v>57</v>
      </c>
      <c r="CR3" s="95" t="s">
        <v>57</v>
      </c>
      <c r="CS3" s="95" t="s">
        <v>57</v>
      </c>
      <c r="CT3" s="95" t="s">
        <v>57</v>
      </c>
      <c r="CU3" s="95" t="s">
        <v>65</v>
      </c>
      <c r="CV3" s="95" t="s">
        <v>57</v>
      </c>
      <c r="CW3" s="95" t="s">
        <v>57</v>
      </c>
      <c r="CX3" s="95" t="s">
        <v>57</v>
      </c>
      <c r="CY3" s="95" t="s">
        <v>57</v>
      </c>
      <c r="CZ3" s="95" t="s">
        <v>57</v>
      </c>
      <c r="DA3" s="95" t="s">
        <v>57</v>
      </c>
      <c r="DB3" s="95" t="s">
        <v>57</v>
      </c>
      <c r="DC3" s="95" t="s">
        <v>57</v>
      </c>
      <c r="DD3" s="95" t="s">
        <v>57</v>
      </c>
      <c r="DE3" s="95" t="s">
        <v>57</v>
      </c>
      <c r="DF3" s="95" t="s">
        <v>57</v>
      </c>
      <c r="DG3" s="95" t="s">
        <v>66</v>
      </c>
      <c r="DH3" s="95" t="s">
        <v>57</v>
      </c>
      <c r="DI3" s="95" t="s">
        <v>57</v>
      </c>
      <c r="DJ3" s="95" t="s">
        <v>57</v>
      </c>
      <c r="DK3" s="95" t="s">
        <v>57</v>
      </c>
      <c r="DL3" s="95" t="s">
        <v>57</v>
      </c>
      <c r="DM3" s="95" t="s">
        <v>57</v>
      </c>
      <c r="DN3" s="95" t="s">
        <v>57</v>
      </c>
      <c r="DO3" s="95" t="s">
        <v>57</v>
      </c>
      <c r="DP3" s="95" t="s">
        <v>57</v>
      </c>
      <c r="DQ3" s="95" t="s">
        <v>57</v>
      </c>
      <c r="DR3" s="95" t="s">
        <v>57</v>
      </c>
      <c r="DS3" s="95" t="s">
        <v>67</v>
      </c>
      <c r="DT3" s="95" t="s">
        <v>57</v>
      </c>
      <c r="DU3" s="95" t="s">
        <v>57</v>
      </c>
      <c r="DV3" s="95" t="s">
        <v>57</v>
      </c>
      <c r="DW3" s="95" t="s">
        <v>57</v>
      </c>
      <c r="DX3" s="95" t="s">
        <v>57</v>
      </c>
      <c r="DY3" s="95" t="s">
        <v>57</v>
      </c>
      <c r="DZ3" s="95" t="s">
        <v>57</v>
      </c>
      <c r="EA3" s="95" t="s">
        <v>57</v>
      </c>
      <c r="EB3" s="95" t="s">
        <v>57</v>
      </c>
      <c r="EC3" s="95" t="s">
        <v>57</v>
      </c>
      <c r="ED3" s="95" t="s">
        <v>57</v>
      </c>
      <c r="EE3" s="95" t="s">
        <v>68</v>
      </c>
      <c r="EF3" s="95" t="s">
        <v>57</v>
      </c>
      <c r="EG3" s="95" t="s">
        <v>57</v>
      </c>
      <c r="EH3" s="95" t="s">
        <v>57</v>
      </c>
      <c r="EI3" s="95" t="s">
        <v>57</v>
      </c>
      <c r="EJ3" s="95" t="s">
        <v>57</v>
      </c>
      <c r="EK3" s="95" t="s">
        <v>57</v>
      </c>
      <c r="EL3" s="95" t="s">
        <v>57</v>
      </c>
      <c r="EM3" s="95" t="s">
        <v>57</v>
      </c>
      <c r="EN3" s="95" t="s">
        <v>57</v>
      </c>
      <c r="EO3" s="95" t="s">
        <v>57</v>
      </c>
      <c r="EP3" s="95" t="s">
        <v>57</v>
      </c>
    </row>
    <row r="4" spans="1:146" s="2" customFormat="1" ht="15">
      <c r="A4" s="95" t="s">
        <v>57</v>
      </c>
      <c r="B4" s="95" t="s">
        <v>57</v>
      </c>
      <c r="C4" s="58" t="s">
        <v>41</v>
      </c>
      <c r="D4" s="58" t="s">
        <v>42</v>
      </c>
      <c r="E4" s="58" t="s">
        <v>43</v>
      </c>
      <c r="F4" s="58" t="s">
        <v>44</v>
      </c>
      <c r="G4" s="58" t="s">
        <v>45</v>
      </c>
      <c r="H4" s="58" t="s">
        <v>46</v>
      </c>
      <c r="I4" s="58" t="s">
        <v>47</v>
      </c>
      <c r="J4" s="58" t="s">
        <v>48</v>
      </c>
      <c r="K4" s="58" t="s">
        <v>49</v>
      </c>
      <c r="L4" s="58" t="s">
        <v>50</v>
      </c>
      <c r="M4" s="58" t="s">
        <v>51</v>
      </c>
      <c r="N4" s="58" t="s">
        <v>52</v>
      </c>
      <c r="O4" s="12" t="s">
        <v>41</v>
      </c>
      <c r="P4" s="12" t="s">
        <v>42</v>
      </c>
      <c r="Q4" s="12" t="s">
        <v>43</v>
      </c>
      <c r="R4" s="12" t="s">
        <v>44</v>
      </c>
      <c r="S4" s="12" t="s">
        <v>45</v>
      </c>
      <c r="T4" s="12" t="s">
        <v>46</v>
      </c>
      <c r="U4" s="12" t="s">
        <v>47</v>
      </c>
      <c r="V4" s="12" t="s">
        <v>48</v>
      </c>
      <c r="W4" s="12" t="s">
        <v>49</v>
      </c>
      <c r="X4" s="12" t="s">
        <v>50</v>
      </c>
      <c r="Y4" s="12" t="s">
        <v>51</v>
      </c>
      <c r="Z4" s="12" t="s">
        <v>52</v>
      </c>
      <c r="AA4" s="12" t="s">
        <v>41</v>
      </c>
      <c r="AB4" s="12" t="s">
        <v>42</v>
      </c>
      <c r="AC4" s="12" t="s">
        <v>43</v>
      </c>
      <c r="AD4" s="12" t="s">
        <v>44</v>
      </c>
      <c r="AE4" s="12" t="s">
        <v>45</v>
      </c>
      <c r="AF4" s="12" t="s">
        <v>46</v>
      </c>
      <c r="AG4" s="12" t="s">
        <v>47</v>
      </c>
      <c r="AH4" s="12" t="s">
        <v>48</v>
      </c>
      <c r="AI4" s="12" t="s">
        <v>49</v>
      </c>
      <c r="AJ4" s="12" t="s">
        <v>50</v>
      </c>
      <c r="AK4" s="12" t="s">
        <v>51</v>
      </c>
      <c r="AL4" s="12" t="s">
        <v>52</v>
      </c>
      <c r="AM4" s="12" t="s">
        <v>41</v>
      </c>
      <c r="AN4" s="12" t="s">
        <v>42</v>
      </c>
      <c r="AO4" s="12" t="s">
        <v>43</v>
      </c>
      <c r="AP4" s="12" t="s">
        <v>44</v>
      </c>
      <c r="AQ4" s="12" t="s">
        <v>45</v>
      </c>
      <c r="AR4" s="12" t="s">
        <v>46</v>
      </c>
      <c r="AS4" s="12" t="s">
        <v>47</v>
      </c>
      <c r="AT4" s="12" t="s">
        <v>48</v>
      </c>
      <c r="AU4" s="12" t="s">
        <v>49</v>
      </c>
      <c r="AV4" s="12" t="s">
        <v>50</v>
      </c>
      <c r="AW4" s="12" t="s">
        <v>51</v>
      </c>
      <c r="AX4" s="12" t="s">
        <v>52</v>
      </c>
      <c r="AY4" s="12" t="s">
        <v>41</v>
      </c>
      <c r="AZ4" s="12" t="s">
        <v>42</v>
      </c>
      <c r="BA4" s="12" t="s">
        <v>43</v>
      </c>
      <c r="BB4" s="12" t="s">
        <v>44</v>
      </c>
      <c r="BC4" s="12" t="s">
        <v>45</v>
      </c>
      <c r="BD4" s="12" t="s">
        <v>46</v>
      </c>
      <c r="BE4" s="12" t="s">
        <v>47</v>
      </c>
      <c r="BF4" s="12" t="s">
        <v>48</v>
      </c>
      <c r="BG4" s="12" t="s">
        <v>49</v>
      </c>
      <c r="BH4" s="12" t="s">
        <v>50</v>
      </c>
      <c r="BI4" s="12" t="s">
        <v>51</v>
      </c>
      <c r="BJ4" s="12" t="s">
        <v>52</v>
      </c>
      <c r="BK4" s="12" t="s">
        <v>41</v>
      </c>
      <c r="BL4" s="12" t="s">
        <v>42</v>
      </c>
      <c r="BM4" s="12" t="s">
        <v>43</v>
      </c>
      <c r="BN4" s="12" t="s">
        <v>44</v>
      </c>
      <c r="BO4" s="12" t="s">
        <v>45</v>
      </c>
      <c r="BP4" s="12" t="s">
        <v>46</v>
      </c>
      <c r="BQ4" s="12" t="s">
        <v>47</v>
      </c>
      <c r="BR4" s="12" t="s">
        <v>48</v>
      </c>
      <c r="BS4" s="12" t="s">
        <v>49</v>
      </c>
      <c r="BT4" s="12" t="s">
        <v>50</v>
      </c>
      <c r="BU4" s="12" t="s">
        <v>51</v>
      </c>
      <c r="BV4" s="12" t="s">
        <v>52</v>
      </c>
      <c r="BW4" s="12" t="s">
        <v>41</v>
      </c>
      <c r="BX4" s="12" t="s">
        <v>42</v>
      </c>
      <c r="BY4" s="12" t="s">
        <v>43</v>
      </c>
      <c r="BZ4" s="12" t="s">
        <v>44</v>
      </c>
      <c r="CA4" s="12" t="s">
        <v>45</v>
      </c>
      <c r="CB4" s="12" t="s">
        <v>46</v>
      </c>
      <c r="CC4" s="12" t="s">
        <v>47</v>
      </c>
      <c r="CD4" s="12" t="s">
        <v>48</v>
      </c>
      <c r="CE4" s="12" t="s">
        <v>49</v>
      </c>
      <c r="CF4" s="12" t="s">
        <v>50</v>
      </c>
      <c r="CG4" s="12" t="s">
        <v>51</v>
      </c>
      <c r="CH4" s="12" t="s">
        <v>52</v>
      </c>
      <c r="CI4" s="12" t="s">
        <v>41</v>
      </c>
      <c r="CJ4" s="12" t="s">
        <v>42</v>
      </c>
      <c r="CK4" s="12" t="s">
        <v>43</v>
      </c>
      <c r="CL4" s="12" t="s">
        <v>44</v>
      </c>
      <c r="CM4" s="12" t="s">
        <v>45</v>
      </c>
      <c r="CN4" s="12" t="s">
        <v>46</v>
      </c>
      <c r="CO4" s="12" t="s">
        <v>47</v>
      </c>
      <c r="CP4" s="12" t="s">
        <v>48</v>
      </c>
      <c r="CQ4" s="12" t="s">
        <v>49</v>
      </c>
      <c r="CR4" s="12" t="s">
        <v>50</v>
      </c>
      <c r="CS4" s="12" t="s">
        <v>51</v>
      </c>
      <c r="CT4" s="12" t="s">
        <v>52</v>
      </c>
      <c r="CU4" s="12" t="s">
        <v>41</v>
      </c>
      <c r="CV4" s="12" t="s">
        <v>42</v>
      </c>
      <c r="CW4" s="12" t="s">
        <v>43</v>
      </c>
      <c r="CX4" s="12" t="s">
        <v>44</v>
      </c>
      <c r="CY4" s="12" t="s">
        <v>45</v>
      </c>
      <c r="CZ4" s="12" t="s">
        <v>46</v>
      </c>
      <c r="DA4" s="12" t="s">
        <v>47</v>
      </c>
      <c r="DB4" s="12" t="s">
        <v>48</v>
      </c>
      <c r="DC4" s="12" t="s">
        <v>49</v>
      </c>
      <c r="DD4" s="12" t="s">
        <v>50</v>
      </c>
      <c r="DE4" s="12" t="s">
        <v>51</v>
      </c>
      <c r="DF4" s="12" t="s">
        <v>52</v>
      </c>
      <c r="DG4" s="12" t="s">
        <v>41</v>
      </c>
      <c r="DH4" s="12" t="s">
        <v>42</v>
      </c>
      <c r="DI4" s="12" t="s">
        <v>43</v>
      </c>
      <c r="DJ4" s="12" t="s">
        <v>44</v>
      </c>
      <c r="DK4" s="12" t="s">
        <v>45</v>
      </c>
      <c r="DL4" s="12" t="s">
        <v>46</v>
      </c>
      <c r="DM4" s="12" t="s">
        <v>47</v>
      </c>
      <c r="DN4" s="12" t="s">
        <v>48</v>
      </c>
      <c r="DO4" s="12" t="s">
        <v>49</v>
      </c>
      <c r="DP4" s="12" t="s">
        <v>50</v>
      </c>
      <c r="DQ4" s="12" t="s">
        <v>51</v>
      </c>
      <c r="DR4" s="12" t="s">
        <v>52</v>
      </c>
      <c r="DS4" s="12" t="s">
        <v>41</v>
      </c>
      <c r="DT4" s="12" t="s">
        <v>42</v>
      </c>
      <c r="DU4" s="12" t="s">
        <v>43</v>
      </c>
      <c r="DV4" s="12" t="s">
        <v>44</v>
      </c>
      <c r="DW4" s="12" t="s">
        <v>45</v>
      </c>
      <c r="DX4" s="12" t="s">
        <v>46</v>
      </c>
      <c r="DY4" s="12" t="s">
        <v>47</v>
      </c>
      <c r="DZ4" s="12" t="s">
        <v>48</v>
      </c>
      <c r="EA4" s="12" t="s">
        <v>49</v>
      </c>
      <c r="EB4" s="12" t="s">
        <v>50</v>
      </c>
      <c r="EC4" s="12" t="s">
        <v>51</v>
      </c>
      <c r="ED4" s="12" t="s">
        <v>52</v>
      </c>
      <c r="EE4" s="12" t="s">
        <v>41</v>
      </c>
      <c r="EF4" s="12" t="s">
        <v>42</v>
      </c>
      <c r="EG4" s="12" t="s">
        <v>43</v>
      </c>
      <c r="EH4" s="12" t="s">
        <v>44</v>
      </c>
      <c r="EI4" s="12" t="s">
        <v>45</v>
      </c>
      <c r="EJ4" s="12" t="s">
        <v>46</v>
      </c>
      <c r="EK4" s="12" t="s">
        <v>47</v>
      </c>
      <c r="EL4" s="12" t="s">
        <v>48</v>
      </c>
      <c r="EM4" s="12" t="s">
        <v>49</v>
      </c>
      <c r="EN4" s="12" t="s">
        <v>50</v>
      </c>
      <c r="EO4" s="12" t="s">
        <v>51</v>
      </c>
      <c r="EP4" s="12" t="s">
        <v>52</v>
      </c>
    </row>
    <row r="5" spans="1:146" s="2" customFormat="1" ht="30">
      <c r="A5" s="12" t="s">
        <v>70</v>
      </c>
      <c r="B5" s="12" t="s">
        <v>71</v>
      </c>
      <c r="C5" s="59">
        <v>559456677.89999998</v>
      </c>
      <c r="D5" s="59">
        <v>571950883.79999995</v>
      </c>
      <c r="E5" s="59">
        <v>591568267.20000005</v>
      </c>
      <c r="F5" s="59">
        <v>599205733.79999995</v>
      </c>
      <c r="G5" s="59">
        <v>585407816.10000002</v>
      </c>
      <c r="H5" s="59">
        <v>601907572.10000002</v>
      </c>
      <c r="I5" s="59">
        <v>611889359.70000005</v>
      </c>
      <c r="J5" s="59">
        <v>618569287.89999998</v>
      </c>
      <c r="K5" s="60">
        <v>621512527</v>
      </c>
      <c r="L5" s="59">
        <v>628585058.39999998</v>
      </c>
      <c r="M5" s="59">
        <v>632018128.39999998</v>
      </c>
      <c r="N5" s="59">
        <v>680264032.60000002</v>
      </c>
      <c r="O5" s="18">
        <v>610769518.5</v>
      </c>
      <c r="P5" s="18">
        <v>617824090.70000005</v>
      </c>
      <c r="Q5" s="18">
        <v>644484213.20000005</v>
      </c>
      <c r="R5" s="18">
        <v>638300205.79999995</v>
      </c>
      <c r="S5" s="18">
        <v>621963396.10000002</v>
      </c>
      <c r="T5" s="18">
        <v>652020210.60000002</v>
      </c>
      <c r="U5" s="19">
        <v>667792726</v>
      </c>
      <c r="V5" s="18">
        <v>670376134.10000002</v>
      </c>
      <c r="W5" s="19">
        <v>674754601</v>
      </c>
      <c r="X5" s="18">
        <v>679750120.20000005</v>
      </c>
      <c r="Y5" s="18">
        <v>679805654.5</v>
      </c>
      <c r="Z5" s="18">
        <v>724408413.20000005</v>
      </c>
      <c r="AA5" s="18">
        <v>638260721.70000005</v>
      </c>
      <c r="AB5" s="18">
        <v>666050680.10000002</v>
      </c>
      <c r="AC5" s="18">
        <v>684546916.89999998</v>
      </c>
      <c r="AD5" s="19">
        <v>682373473</v>
      </c>
      <c r="AE5" s="18">
        <v>672525437.5</v>
      </c>
      <c r="AF5" s="18">
        <v>688598433.89999998</v>
      </c>
      <c r="AG5" s="18">
        <v>701986675.20000005</v>
      </c>
      <c r="AH5" s="18">
        <v>724680333.70000005</v>
      </c>
      <c r="AI5" s="18">
        <v>711909344.29999995</v>
      </c>
      <c r="AJ5" s="18">
        <v>713037776.60000002</v>
      </c>
      <c r="AK5" s="18">
        <v>729820563.70000005</v>
      </c>
      <c r="AL5" s="18">
        <v>763972946.39999998</v>
      </c>
      <c r="AM5" s="18">
        <v>691591341.5</v>
      </c>
      <c r="AN5" s="19">
        <v>689147928</v>
      </c>
      <c r="AO5" s="19">
        <v>722422674</v>
      </c>
      <c r="AP5" s="18">
        <v>712515090.29999995</v>
      </c>
      <c r="AQ5" s="18">
        <v>713976762.70000005</v>
      </c>
      <c r="AR5" s="19">
        <v>728907016</v>
      </c>
      <c r="AS5" s="18">
        <v>744887025.60000002</v>
      </c>
      <c r="AT5" s="18">
        <v>756940879.79999995</v>
      </c>
      <c r="AU5" s="19">
        <v>748452033</v>
      </c>
      <c r="AV5" s="18">
        <v>757016553.79999995</v>
      </c>
      <c r="AW5" s="19">
        <v>763392476</v>
      </c>
      <c r="AX5" s="18">
        <v>809770798.29999995</v>
      </c>
      <c r="AY5" s="18">
        <v>779789883.20000005</v>
      </c>
      <c r="AZ5" s="18">
        <v>764899285.39999998</v>
      </c>
      <c r="BA5" s="18">
        <v>803751209.20000005</v>
      </c>
      <c r="BB5" s="18">
        <v>806971346.70000005</v>
      </c>
      <c r="BC5" s="18">
        <v>804412252.60000002</v>
      </c>
      <c r="BD5" s="19">
        <v>828280640</v>
      </c>
      <c r="BE5" s="18">
        <v>841027372.10000002</v>
      </c>
      <c r="BF5" s="18">
        <v>844150440.89999998</v>
      </c>
      <c r="BG5" s="18">
        <v>827662189.5</v>
      </c>
      <c r="BH5" s="18">
        <v>833619469.79999995</v>
      </c>
      <c r="BI5" s="18">
        <v>844809635.5</v>
      </c>
      <c r="BJ5" s="18">
        <v>891211001.60000002</v>
      </c>
      <c r="BK5" s="18">
        <v>828094995.10000002</v>
      </c>
      <c r="BL5" s="18">
        <v>827206407.39999998</v>
      </c>
      <c r="BM5" s="18">
        <v>860485892.70000005</v>
      </c>
      <c r="BN5" s="19">
        <v>865857385</v>
      </c>
      <c r="BO5" s="18">
        <v>859459906.29999995</v>
      </c>
      <c r="BP5" s="18">
        <v>874203206.89999998</v>
      </c>
      <c r="BQ5" s="18">
        <v>892346353.89999998</v>
      </c>
      <c r="BR5" s="18">
        <v>900290542.10000002</v>
      </c>
      <c r="BS5" s="18">
        <v>886418097.89999998</v>
      </c>
      <c r="BT5" s="18">
        <v>892539759.39999998</v>
      </c>
      <c r="BU5" s="19">
        <v>897063728</v>
      </c>
      <c r="BV5" s="18">
        <v>951667999.20000005</v>
      </c>
      <c r="BW5" s="18">
        <v>886418911.39999998</v>
      </c>
      <c r="BX5" s="18">
        <v>881444663.5</v>
      </c>
      <c r="BY5" s="18">
        <v>851421813.60000002</v>
      </c>
      <c r="BZ5" s="18">
        <v>564405328.79999995</v>
      </c>
      <c r="CA5" s="18">
        <v>553000577.20000005</v>
      </c>
      <c r="CB5" s="18">
        <v>635621341.70000005</v>
      </c>
      <c r="CC5" s="18">
        <v>734479822.29999995</v>
      </c>
      <c r="CD5" s="19">
        <v>808496891</v>
      </c>
      <c r="CE5" s="18">
        <v>835156256.5</v>
      </c>
      <c r="CF5" s="18">
        <v>826505882.79999995</v>
      </c>
      <c r="CG5" s="18">
        <v>819947678.60000002</v>
      </c>
      <c r="CH5" s="18">
        <v>897298354.60000002</v>
      </c>
      <c r="CI5" s="18">
        <v>835500313.39999998</v>
      </c>
      <c r="CJ5" s="18">
        <v>863826930.79999995</v>
      </c>
      <c r="CK5" s="18">
        <v>926471889.39999998</v>
      </c>
      <c r="CL5" s="18">
        <v>939881122.10000002</v>
      </c>
      <c r="CM5" s="18">
        <v>923334836.39999998</v>
      </c>
      <c r="CN5" s="18">
        <v>942655573.29999995</v>
      </c>
      <c r="CO5" s="18">
        <v>939153808.79999995</v>
      </c>
      <c r="CP5" s="19">
        <v>977188420</v>
      </c>
      <c r="CQ5" s="18">
        <v>990349737.20000005</v>
      </c>
      <c r="CR5" s="18">
        <v>987814487.89999998</v>
      </c>
      <c r="CS5" s="18">
        <v>987503323.70000005</v>
      </c>
      <c r="CT5" s="19">
        <v>1057253713</v>
      </c>
      <c r="CU5" s="18">
        <v>1015872906.9</v>
      </c>
      <c r="CV5" s="18">
        <v>1021246655.1</v>
      </c>
      <c r="CW5" s="18">
        <v>1063616636.9</v>
      </c>
      <c r="CX5" s="18">
        <v>1045726823.4</v>
      </c>
      <c r="CY5" s="18">
        <v>1030479001.8</v>
      </c>
      <c r="CZ5" s="18">
        <v>1052647642.3</v>
      </c>
      <c r="DA5" s="18">
        <v>1067754880.9</v>
      </c>
      <c r="DB5" s="19">
        <v>1111174016</v>
      </c>
      <c r="DC5" s="18">
        <v>1101819849.0999999</v>
      </c>
      <c r="DD5" s="18">
        <v>1095798740.4000001</v>
      </c>
      <c r="DE5" s="18">
        <v>1111315893.9000001</v>
      </c>
      <c r="DF5" s="18">
        <v>1201246436.4000001</v>
      </c>
      <c r="DG5" s="18">
        <v>1166857498.7</v>
      </c>
      <c r="DH5" s="18">
        <v>1190299687.2</v>
      </c>
      <c r="DI5" s="18">
        <v>1241971312.5</v>
      </c>
      <c r="DJ5" s="18">
        <v>1222035251.8</v>
      </c>
      <c r="DK5" s="18">
        <v>1226774146.8</v>
      </c>
      <c r="DL5" s="18">
        <v>1244101447.9000001</v>
      </c>
      <c r="DM5" s="19">
        <v>1253908470</v>
      </c>
      <c r="DN5" s="18">
        <v>1299032302.7</v>
      </c>
      <c r="DO5" s="18">
        <v>1287968879.3</v>
      </c>
      <c r="DP5" s="18">
        <v>1294161890.3</v>
      </c>
      <c r="DQ5" s="18">
        <v>1305152985.4000001</v>
      </c>
      <c r="DR5" s="18">
        <v>1386113594.7</v>
      </c>
      <c r="DS5" s="18">
        <v>1326115132.7</v>
      </c>
      <c r="DT5" s="18">
        <v>1367181277.5</v>
      </c>
      <c r="DU5" s="18">
        <v>1392677027.4000001</v>
      </c>
      <c r="DV5" s="18">
        <v>1395424197.7</v>
      </c>
      <c r="DW5" s="18">
        <v>1408281798.8</v>
      </c>
      <c r="DX5" s="19">
        <v>1425106987</v>
      </c>
      <c r="DY5" s="18">
        <v>1467361793.3</v>
      </c>
      <c r="DZ5" s="18">
        <v>1507456401.9000001</v>
      </c>
      <c r="EA5" s="18">
        <v>1487239373.5999999</v>
      </c>
      <c r="EB5" s="18">
        <v>1495966576.0999999</v>
      </c>
      <c r="EC5" s="18">
        <v>1505101239.7</v>
      </c>
      <c r="ED5" s="18">
        <v>1605112617.5</v>
      </c>
      <c r="EE5" s="18">
        <v>1530194728.9000001</v>
      </c>
      <c r="EF5" s="18">
        <v>1564227153.3</v>
      </c>
      <c r="EG5" s="18">
        <v>1611126791.9000001</v>
      </c>
      <c r="EH5" s="18">
        <v>1631849398.2</v>
      </c>
      <c r="EI5" s="18">
        <v>1621917165.2</v>
      </c>
      <c r="EJ5" s="18">
        <v>1646910797.5</v>
      </c>
      <c r="EK5" s="18">
        <v>1665436866.5</v>
      </c>
      <c r="EL5" s="18">
        <v>1712971567.3</v>
      </c>
      <c r="EM5" s="18">
        <v>1706913481.4000001</v>
      </c>
      <c r="EN5" s="18">
        <v>1714645362.5999999</v>
      </c>
      <c r="EO5" s="18">
        <v>1712850102.5</v>
      </c>
      <c r="EP5" s="18">
        <v>1832692193.5999999</v>
      </c>
    </row>
    <row r="6" spans="1:146">
      <c r="O6">
        <f>O5/C5-1</f>
        <v>9.1719059986217433E-2</v>
      </c>
      <c r="P6">
        <f>P5/D5-1</f>
        <v>8.0204801145199456E-2</v>
      </c>
      <c r="Q6">
        <f t="shared" ref="Q6:CB6" si="0">Q5/E5-1</f>
        <v>8.9450278072657152E-2</v>
      </c>
      <c r="R6">
        <f t="shared" si="0"/>
        <v>6.5243821603764518E-2</v>
      </c>
      <c r="S6">
        <f t="shared" si="0"/>
        <v>6.2444639437057914E-2</v>
      </c>
      <c r="T6">
        <f t="shared" si="0"/>
        <v>8.3256368291167338E-2</v>
      </c>
      <c r="U6">
        <f t="shared" si="0"/>
        <v>9.1361886611998733E-2</v>
      </c>
      <c r="V6">
        <f t="shared" si="0"/>
        <v>8.3752697092157158E-2</v>
      </c>
      <c r="W6">
        <f t="shared" si="0"/>
        <v>8.5665327225174392E-2</v>
      </c>
      <c r="X6">
        <f t="shared" si="0"/>
        <v>8.1397196952526452E-2</v>
      </c>
      <c r="Y6">
        <f t="shared" si="0"/>
        <v>7.5611005369383255E-2</v>
      </c>
      <c r="Z6">
        <f t="shared" si="0"/>
        <v>6.4893009896875187E-2</v>
      </c>
      <c r="AA6">
        <f t="shared" si="0"/>
        <v>4.5010764891339372E-2</v>
      </c>
      <c r="AB6">
        <f t="shared" si="0"/>
        <v>7.8058771300676844E-2</v>
      </c>
      <c r="AC6">
        <f t="shared" si="0"/>
        <v>6.2162428310043705E-2</v>
      </c>
      <c r="AD6">
        <f t="shared" si="0"/>
        <v>6.9047866191366492E-2</v>
      </c>
      <c r="AE6">
        <f t="shared" si="0"/>
        <v>8.1294239688456837E-2</v>
      </c>
      <c r="AF6">
        <f t="shared" si="0"/>
        <v>5.6099830504241721E-2</v>
      </c>
      <c r="AG6">
        <f t="shared" si="0"/>
        <v>5.1204434952171196E-2</v>
      </c>
      <c r="AH6">
        <f t="shared" si="0"/>
        <v>8.100556812468418E-2</v>
      </c>
      <c r="AI6">
        <f t="shared" si="0"/>
        <v>5.5064082919828783E-2</v>
      </c>
      <c r="AJ6">
        <f t="shared" si="0"/>
        <v>4.8970431061057917E-2</v>
      </c>
      <c r="AK6">
        <f t="shared" si="0"/>
        <v>7.3572364202804774E-2</v>
      </c>
      <c r="AL6">
        <f t="shared" si="0"/>
        <v>5.4616335866707555E-2</v>
      </c>
      <c r="AM6">
        <f t="shared" si="0"/>
        <v>8.3556167545379312E-2</v>
      </c>
      <c r="AN6">
        <f t="shared" si="0"/>
        <v>3.4677913543354144E-2</v>
      </c>
      <c r="AO6">
        <f t="shared" si="0"/>
        <v>5.5329673050785289E-2</v>
      </c>
      <c r="AP6">
        <f t="shared" si="0"/>
        <v>4.4171730720253155E-2</v>
      </c>
      <c r="AQ6">
        <f t="shared" si="0"/>
        <v>6.1635326916537725E-2</v>
      </c>
      <c r="AR6">
        <f t="shared" si="0"/>
        <v>5.8537138796127097E-2</v>
      </c>
      <c r="AS6">
        <f t="shared" si="0"/>
        <v>6.1112770249915904E-2</v>
      </c>
      <c r="AT6">
        <f t="shared" si="0"/>
        <v>4.4516933328778485E-2</v>
      </c>
      <c r="AU6">
        <f t="shared" si="0"/>
        <v>5.1330536665355142E-2</v>
      </c>
      <c r="AV6">
        <f t="shared" si="0"/>
        <v>6.1678046582195556E-2</v>
      </c>
      <c r="AW6">
        <f t="shared" si="0"/>
        <v>4.60002279598688E-2</v>
      </c>
      <c r="AX6">
        <f t="shared" si="0"/>
        <v>5.9946955079769548E-2</v>
      </c>
      <c r="AY6">
        <f t="shared" si="0"/>
        <v>0.12752985239622183</v>
      </c>
      <c r="AZ6">
        <f t="shared" si="0"/>
        <v>0.10992031510540934</v>
      </c>
      <c r="BA6">
        <f t="shared" si="0"/>
        <v>0.11257749531820482</v>
      </c>
      <c r="BB6">
        <f t="shared" si="0"/>
        <v>0.13256737672774044</v>
      </c>
      <c r="BC6">
        <f t="shared" si="0"/>
        <v>0.12666447232541</v>
      </c>
      <c r="BD6">
        <f t="shared" si="0"/>
        <v>0.13633237411450572</v>
      </c>
      <c r="BE6">
        <f t="shared" si="0"/>
        <v>0.12906701713935709</v>
      </c>
      <c r="BF6">
        <f t="shared" si="0"/>
        <v>0.11521317374620144</v>
      </c>
      <c r="BG6">
        <f t="shared" si="0"/>
        <v>0.10583197453884119</v>
      </c>
      <c r="BH6">
        <f t="shared" si="0"/>
        <v>0.10119054281637041</v>
      </c>
      <c r="BI6">
        <f t="shared" si="0"/>
        <v>0.10665177095614964</v>
      </c>
      <c r="BJ6">
        <f t="shared" si="0"/>
        <v>0.10057191920352326</v>
      </c>
      <c r="BK6">
        <f t="shared" si="0"/>
        <v>6.1946317771874426E-2</v>
      </c>
      <c r="BL6">
        <f t="shared" si="0"/>
        <v>8.1457942489012503E-2</v>
      </c>
      <c r="BM6">
        <f t="shared" si="0"/>
        <v>7.0587369388183996E-2</v>
      </c>
      <c r="BN6">
        <f t="shared" si="0"/>
        <v>7.2971659453345383E-2</v>
      </c>
      <c r="BO6">
        <f t="shared" si="0"/>
        <v>6.843214225302563E-2</v>
      </c>
      <c r="BP6">
        <f t="shared" si="0"/>
        <v>5.5443245540545361E-2</v>
      </c>
      <c r="BQ6">
        <f t="shared" si="0"/>
        <v>6.1019395447093672E-2</v>
      </c>
      <c r="BR6">
        <f t="shared" si="0"/>
        <v>6.650485325831923E-2</v>
      </c>
      <c r="BS6">
        <f t="shared" si="0"/>
        <v>7.099020487512564E-2</v>
      </c>
      <c r="BT6">
        <f t="shared" si="0"/>
        <v>7.06800785424746E-2</v>
      </c>
      <c r="BU6">
        <f t="shared" si="0"/>
        <v>6.1853097199907614E-2</v>
      </c>
      <c r="BV6">
        <f t="shared" si="0"/>
        <v>6.783690673865217E-2</v>
      </c>
      <c r="BW6">
        <f t="shared" si="0"/>
        <v>7.0431431955408463E-2</v>
      </c>
      <c r="BX6">
        <f t="shared" si="0"/>
        <v>6.5567983534456475E-2</v>
      </c>
      <c r="BY6">
        <f t="shared" si="0"/>
        <v>-1.0533675423264777E-2</v>
      </c>
      <c r="BZ6">
        <f t="shared" si="0"/>
        <v>-0.34815439750508115</v>
      </c>
      <c r="CA6">
        <f t="shared" si="0"/>
        <v>-0.35657198998300721</v>
      </c>
      <c r="CB6">
        <f t="shared" si="0"/>
        <v>-0.27291350948714976</v>
      </c>
      <c r="CC6">
        <f t="shared" ref="CC6:EN6" si="1">CC5/BQ5-1</f>
        <v>-0.176911723693434</v>
      </c>
      <c r="CD6">
        <f t="shared" si="1"/>
        <v>-0.10196003046514734</v>
      </c>
      <c r="CE6">
        <f t="shared" si="1"/>
        <v>-5.783031903505087E-2</v>
      </c>
      <c r="CF6">
        <f t="shared" si="1"/>
        <v>-7.3984240931060152E-2</v>
      </c>
      <c r="CG6">
        <f t="shared" si="1"/>
        <v>-8.5964962123627364E-2</v>
      </c>
      <c r="CH6">
        <f t="shared" si="1"/>
        <v>-5.7130895066036413E-2</v>
      </c>
      <c r="CI6">
        <f t="shared" si="1"/>
        <v>-5.744304114583898E-2</v>
      </c>
      <c r="CJ6">
        <f t="shared" si="1"/>
        <v>-1.9987338320302861E-2</v>
      </c>
      <c r="CK6">
        <f t="shared" si="1"/>
        <v>8.8146761806197516E-2</v>
      </c>
      <c r="CL6">
        <f t="shared" si="1"/>
        <v>0.66525912166405488</v>
      </c>
      <c r="CM6">
        <f t="shared" si="1"/>
        <v>0.66968150571398688</v>
      </c>
      <c r="CN6">
        <f t="shared" si="1"/>
        <v>0.48304581903877231</v>
      </c>
      <c r="CO6">
        <f t="shared" si="1"/>
        <v>0.27866522712505559</v>
      </c>
      <c r="CP6">
        <f t="shared" si="1"/>
        <v>0.20864833356545343</v>
      </c>
      <c r="CQ6">
        <f t="shared" si="1"/>
        <v>0.18582568171181513</v>
      </c>
      <c r="CR6">
        <f t="shared" si="1"/>
        <v>0.19516933691206884</v>
      </c>
      <c r="CS6">
        <f t="shared" si="1"/>
        <v>0.2043491913851001</v>
      </c>
      <c r="CT6">
        <f t="shared" si="1"/>
        <v>0.17826329178025224</v>
      </c>
      <c r="CU6">
        <f t="shared" si="1"/>
        <v>0.21588572811659223</v>
      </c>
      <c r="CV6">
        <f t="shared" si="1"/>
        <v>0.18223525880839575</v>
      </c>
      <c r="CW6">
        <f t="shared" si="1"/>
        <v>0.14802904337315348</v>
      </c>
      <c r="CX6">
        <f t="shared" si="1"/>
        <v>0.1126160519784738</v>
      </c>
      <c r="CY6">
        <f t="shared" si="1"/>
        <v>0.11604042344784204</v>
      </c>
      <c r="CZ6">
        <f t="shared" si="1"/>
        <v>0.1166832002222673</v>
      </c>
      <c r="DA6">
        <f t="shared" si="1"/>
        <v>0.13693291864973589</v>
      </c>
      <c r="DB6">
        <f t="shared" si="1"/>
        <v>0.13711336857634882</v>
      </c>
      <c r="DC6">
        <f t="shared" si="1"/>
        <v>0.11255630987004395</v>
      </c>
      <c r="DD6">
        <f t="shared" si="1"/>
        <v>0.10931632793680168</v>
      </c>
      <c r="DE6">
        <f t="shared" si="1"/>
        <v>0.12537939592557135</v>
      </c>
      <c r="DF6">
        <f t="shared" si="1"/>
        <v>0.13619505103596641</v>
      </c>
      <c r="DG6">
        <f t="shared" si="1"/>
        <v>0.14862547349622601</v>
      </c>
      <c r="DH6">
        <f t="shared" si="1"/>
        <v>0.1655359469289488</v>
      </c>
      <c r="DI6">
        <f t="shared" si="1"/>
        <v>0.16768699305026824</v>
      </c>
      <c r="DJ6">
        <f t="shared" si="1"/>
        <v>0.16859893468808962</v>
      </c>
      <c r="DK6">
        <f t="shared" si="1"/>
        <v>0.19048922361068921</v>
      </c>
      <c r="DL6">
        <f t="shared" si="1"/>
        <v>0.18187833982288693</v>
      </c>
      <c r="DM6">
        <f t="shared" si="1"/>
        <v>0.17434112681657132</v>
      </c>
      <c r="DN6">
        <f t="shared" si="1"/>
        <v>0.1690628866361108</v>
      </c>
      <c r="DO6">
        <f t="shared" si="1"/>
        <v>0.16894688396842028</v>
      </c>
      <c r="DP6">
        <f t="shared" si="1"/>
        <v>0.18102151662228705</v>
      </c>
      <c r="DQ6">
        <f t="shared" si="1"/>
        <v>0.17442123572961532</v>
      </c>
      <c r="DR6">
        <f t="shared" si="1"/>
        <v>0.15389611381826529</v>
      </c>
      <c r="DS6">
        <f t="shared" si="1"/>
        <v>0.13648421866202987</v>
      </c>
      <c r="DT6">
        <f t="shared" si="1"/>
        <v>0.14860256807769745</v>
      </c>
      <c r="DU6">
        <f t="shared" si="1"/>
        <v>0.12134395809565057</v>
      </c>
      <c r="DV6">
        <f t="shared" si="1"/>
        <v>0.14188538803983475</v>
      </c>
      <c r="DW6">
        <f t="shared" si="1"/>
        <v>0.14795523077614314</v>
      </c>
      <c r="DX6">
        <f t="shared" si="1"/>
        <v>0.14549098018134377</v>
      </c>
      <c r="DY6">
        <f t="shared" si="1"/>
        <v>0.17023038635347909</v>
      </c>
      <c r="DZ6">
        <f t="shared" si="1"/>
        <v>0.16044566310383246</v>
      </c>
      <c r="EA6">
        <f t="shared" si="1"/>
        <v>0.15471685496648169</v>
      </c>
      <c r="EB6">
        <f t="shared" si="1"/>
        <v>0.15593465339426715</v>
      </c>
      <c r="EC6">
        <f t="shared" si="1"/>
        <v>0.15319909354436345</v>
      </c>
      <c r="ED6">
        <f t="shared" si="1"/>
        <v>0.15799500389966115</v>
      </c>
      <c r="EE6">
        <f t="shared" si="1"/>
        <v>0.15389281908312857</v>
      </c>
      <c r="EF6">
        <f t="shared" si="1"/>
        <v>0.1441256394033672</v>
      </c>
      <c r="EG6">
        <f t="shared" si="1"/>
        <v>0.15685601198421839</v>
      </c>
      <c r="EH6">
        <f t="shared" si="1"/>
        <v>0.16942890978219127</v>
      </c>
      <c r="EI6">
        <f t="shared" si="1"/>
        <v>0.15169930235698503</v>
      </c>
      <c r="EJ6">
        <f t="shared" si="1"/>
        <v>0.15564011160096847</v>
      </c>
      <c r="EK6">
        <f t="shared" si="1"/>
        <v>0.13498720908804795</v>
      </c>
      <c r="EL6">
        <f t="shared" si="1"/>
        <v>0.13633241076887415</v>
      </c>
      <c r="EM6">
        <f t="shared" si="1"/>
        <v>0.14770595218189975</v>
      </c>
      <c r="EN6">
        <f t="shared" si="1"/>
        <v>0.14617892538087163</v>
      </c>
      <c r="EO6">
        <f>EO5/EC5-1</f>
        <v>0.13802982637992445</v>
      </c>
      <c r="EP6">
        <f>EP5/ED5-1</f>
        <v>0.14178417988792602</v>
      </c>
    </row>
    <row r="7" spans="1:146">
      <c r="O7">
        <v>9.1719059986217433E-2</v>
      </c>
      <c r="P7">
        <v>8.0204801145199456E-2</v>
      </c>
      <c r="Q7">
        <v>8.9450278072657152E-2</v>
      </c>
      <c r="R7">
        <v>6.5243821603764518E-2</v>
      </c>
      <c r="S7">
        <v>6.2444639437057914E-2</v>
      </c>
      <c r="T7">
        <v>8.3256368291167338E-2</v>
      </c>
      <c r="U7">
        <v>9.1361886611998733E-2</v>
      </c>
      <c r="V7">
        <v>8.3752697092157158E-2</v>
      </c>
      <c r="W7">
        <v>8.5665327225174392E-2</v>
      </c>
      <c r="X7">
        <v>8.1397196952526452E-2</v>
      </c>
      <c r="Y7">
        <v>7.5611005369383255E-2</v>
      </c>
      <c r="Z7">
        <v>6.4893009896875187E-2</v>
      </c>
      <c r="AA7">
        <v>4.5010764891339372E-2</v>
      </c>
      <c r="AB7">
        <v>7.8058771300676844E-2</v>
      </c>
      <c r="AC7">
        <v>6.2162428310043705E-2</v>
      </c>
      <c r="AD7">
        <v>6.9047866191366492E-2</v>
      </c>
      <c r="AE7">
        <v>8.1294239688456837E-2</v>
      </c>
      <c r="AF7">
        <v>5.6099830504241721E-2</v>
      </c>
      <c r="AG7">
        <v>5.1204434952171196E-2</v>
      </c>
      <c r="AH7">
        <v>8.100556812468418E-2</v>
      </c>
      <c r="AI7">
        <v>5.5064082919828783E-2</v>
      </c>
      <c r="AJ7">
        <v>4.8970431061057917E-2</v>
      </c>
      <c r="AK7">
        <v>7.3572364202804774E-2</v>
      </c>
      <c r="AL7">
        <v>5.4616335866707555E-2</v>
      </c>
      <c r="AM7">
        <v>8.3556167545379312E-2</v>
      </c>
      <c r="AN7">
        <v>3.4677913543354144E-2</v>
      </c>
      <c r="AO7">
        <v>5.5329673050785289E-2</v>
      </c>
      <c r="AP7">
        <v>4.4171730720253155E-2</v>
      </c>
      <c r="AQ7">
        <v>6.1635326916537725E-2</v>
      </c>
      <c r="AR7">
        <v>5.8537138796127097E-2</v>
      </c>
      <c r="AS7">
        <v>6.1112770249915904E-2</v>
      </c>
      <c r="AT7">
        <v>4.4516933328778485E-2</v>
      </c>
      <c r="AU7">
        <v>5.1330536665355142E-2</v>
      </c>
      <c r="AV7">
        <v>6.1678046582195556E-2</v>
      </c>
      <c r="AW7">
        <v>4.60002279598688E-2</v>
      </c>
      <c r="AX7">
        <v>5.9946955079769548E-2</v>
      </c>
      <c r="AY7">
        <v>0.12752985239622183</v>
      </c>
      <c r="AZ7">
        <v>0.10992031510540934</v>
      </c>
      <c r="BA7">
        <v>0.11257749531820482</v>
      </c>
      <c r="BB7">
        <v>0.13256737672774044</v>
      </c>
      <c r="BC7">
        <v>0.12666447232541</v>
      </c>
      <c r="BD7">
        <v>0.13633237411450572</v>
      </c>
      <c r="BE7">
        <v>0.12906701713935709</v>
      </c>
      <c r="BF7">
        <v>0.11521317374620144</v>
      </c>
      <c r="BG7">
        <v>0.10583197453884119</v>
      </c>
      <c r="BH7">
        <v>0.10119054281637041</v>
      </c>
      <c r="BI7">
        <v>0.10665177095614964</v>
      </c>
      <c r="BJ7">
        <v>0.10057191920352326</v>
      </c>
      <c r="BK7">
        <v>6.1946317771874426E-2</v>
      </c>
      <c r="BL7">
        <v>8.1457942489012503E-2</v>
      </c>
      <c r="BM7">
        <v>7.0587369388183996E-2</v>
      </c>
      <c r="BN7">
        <v>7.2971659453345383E-2</v>
      </c>
      <c r="BO7">
        <v>6.843214225302563E-2</v>
      </c>
      <c r="BP7">
        <v>5.5443245540545361E-2</v>
      </c>
      <c r="BQ7">
        <v>6.1019395447093672E-2</v>
      </c>
      <c r="BR7">
        <v>6.650485325831923E-2</v>
      </c>
      <c r="BS7">
        <v>7.099020487512564E-2</v>
      </c>
      <c r="BT7">
        <v>7.06800785424746E-2</v>
      </c>
      <c r="BU7">
        <v>6.1853097199907614E-2</v>
      </c>
      <c r="BV7">
        <v>6.783690673865217E-2</v>
      </c>
      <c r="BW7">
        <v>7.0431431955408463E-2</v>
      </c>
      <c r="BX7">
        <v>6.5567983534456475E-2</v>
      </c>
      <c r="BY7">
        <v>-1.0533675423264777E-2</v>
      </c>
      <c r="BZ7">
        <v>-0.34815439750508115</v>
      </c>
      <c r="CA7">
        <v>-0.35657198998300721</v>
      </c>
      <c r="CB7">
        <v>-0.27291350948714976</v>
      </c>
      <c r="CC7">
        <v>-0.176911723693434</v>
      </c>
      <c r="CD7">
        <v>-0.10196003046514734</v>
      </c>
      <c r="CE7">
        <v>-5.783031903505087E-2</v>
      </c>
      <c r="CF7">
        <v>-7.3984240931060152E-2</v>
      </c>
      <c r="CG7">
        <v>-8.5964962123627364E-2</v>
      </c>
      <c r="CH7">
        <v>-5.7130895066036413E-2</v>
      </c>
      <c r="CI7">
        <v>-5.744304114583898E-2</v>
      </c>
      <c r="CJ7">
        <v>-1.9987338320302861E-2</v>
      </c>
      <c r="CK7">
        <v>8.8146761806197516E-2</v>
      </c>
      <c r="CL7">
        <v>0.66525912166405488</v>
      </c>
      <c r="CM7">
        <v>0.66968150571398688</v>
      </c>
      <c r="CN7">
        <v>0.48304581903877231</v>
      </c>
      <c r="CO7">
        <v>0.27866522712505559</v>
      </c>
      <c r="CP7">
        <v>0.20864833356545343</v>
      </c>
      <c r="CQ7">
        <v>0.18582568171181513</v>
      </c>
      <c r="CR7">
        <v>0.19516933691206884</v>
      </c>
      <c r="CS7">
        <v>0.2043491913851001</v>
      </c>
      <c r="CT7">
        <v>0.17826329178025224</v>
      </c>
      <c r="CU7">
        <v>0.21588572811659223</v>
      </c>
      <c r="CV7">
        <v>0.18223525880839575</v>
      </c>
      <c r="CW7">
        <v>0.14802904337315348</v>
      </c>
      <c r="CX7">
        <v>0.1126160519784738</v>
      </c>
      <c r="CY7">
        <v>0.11604042344784204</v>
      </c>
      <c r="CZ7">
        <v>0.1166832002222673</v>
      </c>
      <c r="DA7">
        <v>0.13693291864973589</v>
      </c>
      <c r="DB7">
        <v>0.13711336857634882</v>
      </c>
      <c r="DC7">
        <v>0.11255630987004395</v>
      </c>
      <c r="DD7">
        <v>0.10931632793680168</v>
      </c>
      <c r="DE7">
        <v>0.12537939592557135</v>
      </c>
      <c r="DF7">
        <v>0.13619505103596641</v>
      </c>
      <c r="DG7">
        <v>0.14862547349622601</v>
      </c>
      <c r="DH7">
        <v>0.1655359469289488</v>
      </c>
      <c r="DI7">
        <v>0.16768699305026824</v>
      </c>
      <c r="DJ7">
        <v>0.16859893468808962</v>
      </c>
      <c r="DK7">
        <v>0.19048922361068921</v>
      </c>
      <c r="DL7">
        <v>0.18187833982288693</v>
      </c>
      <c r="DM7">
        <v>0.17434112681657132</v>
      </c>
      <c r="DN7">
        <v>0.1690628866361108</v>
      </c>
      <c r="DO7">
        <v>0.16894688396842028</v>
      </c>
      <c r="DP7">
        <v>0.18102151662228705</v>
      </c>
      <c r="DQ7">
        <v>0.17442123572961532</v>
      </c>
      <c r="DR7">
        <v>0.15389611381826529</v>
      </c>
      <c r="DS7">
        <v>0.13648421866202987</v>
      </c>
      <c r="DT7">
        <v>0.14860256807769745</v>
      </c>
      <c r="DU7">
        <v>0.12134395809565057</v>
      </c>
      <c r="DV7">
        <v>0.14188538803983475</v>
      </c>
      <c r="DW7">
        <v>0.14795523077614314</v>
      </c>
      <c r="DX7">
        <v>0.14549098018134377</v>
      </c>
      <c r="DY7">
        <v>0.17023038635347909</v>
      </c>
      <c r="DZ7">
        <v>0.16044566310383246</v>
      </c>
      <c r="EA7">
        <v>0.15471685496648169</v>
      </c>
      <c r="EB7">
        <v>0.15593465339426715</v>
      </c>
      <c r="EC7">
        <v>0.15319909354436345</v>
      </c>
      <c r="ED7">
        <v>0.15799500389966115</v>
      </c>
      <c r="EE7">
        <v>0.15389281908312857</v>
      </c>
      <c r="EF7">
        <v>0.1441256394033672</v>
      </c>
      <c r="EG7">
        <v>0.15685601198421839</v>
      </c>
      <c r="EH7">
        <v>0.16942890978219127</v>
      </c>
      <c r="EI7">
        <v>0.15169930235698503</v>
      </c>
      <c r="EJ7">
        <v>0.15564011160096847</v>
      </c>
      <c r="EK7">
        <v>0.13498720908804795</v>
      </c>
      <c r="EL7">
        <v>0.13633241076887415</v>
      </c>
      <c r="EM7">
        <v>0.14770595218189975</v>
      </c>
      <c r="EN7">
        <v>0.14617892538087163</v>
      </c>
      <c r="EO7">
        <v>0.13802982637992445</v>
      </c>
      <c r="EP7">
        <v>0.14178417988792602</v>
      </c>
    </row>
    <row r="17" spans="7:7">
      <c r="G17" t="s">
        <v>91</v>
      </c>
    </row>
  </sheetData>
  <mergeCells count="13">
    <mergeCell ref="C3:N3"/>
    <mergeCell ref="A3:B4"/>
    <mergeCell ref="EE3:EP3"/>
    <mergeCell ref="O3:Z3"/>
    <mergeCell ref="AA3:AL3"/>
    <mergeCell ref="AM3:AX3"/>
    <mergeCell ref="AY3:BJ3"/>
    <mergeCell ref="BK3:BV3"/>
    <mergeCell ref="BW3:CH3"/>
    <mergeCell ref="CI3:CT3"/>
    <mergeCell ref="CU3:DF3"/>
    <mergeCell ref="DG3:DR3"/>
    <mergeCell ref="DS3:E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D871-A7B1-3046-ADCB-8545D72FD287}">
  <dimension ref="A1:EC25"/>
  <sheetViews>
    <sheetView workbookViewId="0">
      <selection activeCell="B6" sqref="B6"/>
    </sheetView>
  </sheetViews>
  <sheetFormatPr baseColWidth="10" defaultRowHeight="16"/>
  <cols>
    <col min="1" max="1" width="13.1640625" customWidth="1"/>
    <col min="2" max="2" width="6.1640625" bestFit="1" customWidth="1"/>
    <col min="3" max="3" width="7.1640625" bestFit="1" customWidth="1"/>
    <col min="4" max="4" width="4.6640625" bestFit="1" customWidth="1"/>
    <col min="5" max="5" width="6.1640625" bestFit="1" customWidth="1"/>
    <col min="6" max="6" width="4.6640625" bestFit="1" customWidth="1"/>
    <col min="7" max="8" width="5" bestFit="1" customWidth="1"/>
    <col min="9" max="9" width="5.5" bestFit="1" customWidth="1"/>
    <col min="10" max="10" width="7.6640625" bestFit="1" customWidth="1"/>
    <col min="11" max="11" width="6.83203125" bestFit="1" customWidth="1"/>
    <col min="12" max="12" width="6.33203125" bestFit="1" customWidth="1"/>
    <col min="13" max="13" width="7" bestFit="1" customWidth="1"/>
    <col min="14" max="14" width="6.1640625" bestFit="1" customWidth="1"/>
    <col min="15" max="15" width="7.1640625" bestFit="1" customWidth="1"/>
    <col min="16" max="16" width="4.6640625" bestFit="1" customWidth="1"/>
    <col min="17" max="17" width="6.1640625" bestFit="1" customWidth="1"/>
    <col min="18" max="18" width="4" bestFit="1" customWidth="1"/>
    <col min="19" max="20" width="5" bestFit="1" customWidth="1"/>
    <col min="21" max="21" width="5.5" bestFit="1" customWidth="1"/>
    <col min="22" max="22" width="7.6640625" bestFit="1" customWidth="1"/>
    <col min="23" max="23" width="6.83203125" bestFit="1" customWidth="1"/>
    <col min="24" max="24" width="6.33203125" bestFit="1" customWidth="1"/>
    <col min="25" max="25" width="7" bestFit="1" customWidth="1"/>
    <col min="26" max="26" width="6.1640625" bestFit="1" customWidth="1"/>
    <col min="27" max="27" width="7.1640625" bestFit="1" customWidth="1"/>
    <col min="28" max="28" width="4.6640625" bestFit="1" customWidth="1"/>
    <col min="29" max="29" width="6.1640625" bestFit="1" customWidth="1"/>
    <col min="30" max="30" width="4" bestFit="1" customWidth="1"/>
    <col min="31" max="32" width="5" bestFit="1" customWidth="1"/>
    <col min="33" max="33" width="5.5" bestFit="1" customWidth="1"/>
    <col min="34" max="34" width="7.6640625" bestFit="1" customWidth="1"/>
    <col min="35" max="35" width="6.83203125" bestFit="1" customWidth="1"/>
    <col min="36" max="36" width="6.33203125" bestFit="1" customWidth="1"/>
    <col min="37" max="37" width="7" bestFit="1" customWidth="1"/>
    <col min="38" max="38" width="6.1640625" bestFit="1" customWidth="1"/>
    <col min="39" max="39" width="7.1640625" bestFit="1" customWidth="1"/>
    <col min="40" max="40" width="4.6640625" bestFit="1" customWidth="1"/>
    <col min="41" max="41" width="6.1640625" bestFit="1" customWidth="1"/>
    <col min="42" max="42" width="4" bestFit="1" customWidth="1"/>
    <col min="43" max="44" width="5" bestFit="1" customWidth="1"/>
    <col min="45" max="45" width="5.5" bestFit="1" customWidth="1"/>
    <col min="46" max="46" width="7.6640625" bestFit="1" customWidth="1"/>
    <col min="47" max="47" width="6.83203125" bestFit="1" customWidth="1"/>
    <col min="48" max="48" width="6.33203125" bestFit="1" customWidth="1"/>
    <col min="49" max="49" width="7" bestFit="1" customWidth="1"/>
    <col min="50" max="50" width="6.1640625" bestFit="1" customWidth="1"/>
    <col min="51" max="51" width="7.1640625" bestFit="1" customWidth="1"/>
    <col min="52" max="52" width="4.6640625" bestFit="1" customWidth="1"/>
    <col min="53" max="53" width="6.1640625" bestFit="1" customWidth="1"/>
    <col min="54" max="54" width="4" bestFit="1" customWidth="1"/>
    <col min="55" max="56" width="5" bestFit="1" customWidth="1"/>
    <col min="57" max="57" width="5.5" bestFit="1" customWidth="1"/>
    <col min="58" max="58" width="7.6640625" bestFit="1" customWidth="1"/>
    <col min="59" max="59" width="6.83203125" bestFit="1" customWidth="1"/>
    <col min="60" max="60" width="6.33203125" bestFit="1" customWidth="1"/>
    <col min="61" max="61" width="7" bestFit="1" customWidth="1"/>
    <col min="62" max="62" width="6.1640625" bestFit="1" customWidth="1"/>
    <col min="63" max="63" width="7.1640625" bestFit="1" customWidth="1"/>
    <col min="64" max="64" width="4.6640625" bestFit="1" customWidth="1"/>
    <col min="65" max="65" width="6.1640625" bestFit="1" customWidth="1"/>
    <col min="66" max="66" width="4" bestFit="1" customWidth="1"/>
    <col min="67" max="68" width="5" bestFit="1" customWidth="1"/>
    <col min="69" max="69" width="5.5" bestFit="1" customWidth="1"/>
    <col min="70" max="70" width="7.6640625" bestFit="1" customWidth="1"/>
    <col min="71" max="71" width="6.83203125" bestFit="1" customWidth="1"/>
    <col min="72" max="72" width="6.33203125" bestFit="1" customWidth="1"/>
    <col min="73" max="73" width="7" bestFit="1" customWidth="1"/>
    <col min="74" max="74" width="6.1640625" bestFit="1" customWidth="1"/>
    <col min="75" max="75" width="7.1640625" bestFit="1" customWidth="1"/>
    <col min="76" max="76" width="4.6640625" bestFit="1" customWidth="1"/>
    <col min="77" max="77" width="6.1640625" bestFit="1" customWidth="1"/>
    <col min="78" max="78" width="4" bestFit="1" customWidth="1"/>
    <col min="79" max="80" width="5" bestFit="1" customWidth="1"/>
    <col min="81" max="81" width="5.5" bestFit="1" customWidth="1"/>
    <col min="82" max="82" width="7.6640625" bestFit="1" customWidth="1"/>
    <col min="83" max="83" width="6.83203125" bestFit="1" customWidth="1"/>
    <col min="84" max="84" width="6.33203125" bestFit="1" customWidth="1"/>
    <col min="85" max="85" width="7" bestFit="1" customWidth="1"/>
    <col min="86" max="86" width="6.1640625" bestFit="1" customWidth="1"/>
    <col min="87" max="87" width="7.1640625" bestFit="1" customWidth="1"/>
    <col min="88" max="88" width="4.6640625" bestFit="1" customWidth="1"/>
    <col min="89" max="89" width="6.1640625" bestFit="1" customWidth="1"/>
    <col min="90" max="90" width="4" bestFit="1" customWidth="1"/>
    <col min="91" max="92" width="5" bestFit="1" customWidth="1"/>
    <col min="93" max="93" width="5.5" bestFit="1" customWidth="1"/>
    <col min="94" max="94" width="7.6640625" bestFit="1" customWidth="1"/>
    <col min="95" max="95" width="6.83203125" bestFit="1" customWidth="1"/>
    <col min="96" max="96" width="6.33203125" bestFit="1" customWidth="1"/>
    <col min="97" max="97" width="7" bestFit="1" customWidth="1"/>
    <col min="98" max="98" width="6.1640625" bestFit="1" customWidth="1"/>
    <col min="99" max="99" width="7.1640625" bestFit="1" customWidth="1"/>
    <col min="100" max="100" width="4.6640625" bestFit="1" customWidth="1"/>
    <col min="101" max="101" width="6.1640625" bestFit="1" customWidth="1"/>
    <col min="102" max="102" width="4.6640625" bestFit="1" customWidth="1"/>
    <col min="103" max="104" width="5" bestFit="1" customWidth="1"/>
    <col min="105" max="105" width="5.5" bestFit="1" customWidth="1"/>
    <col min="106" max="106" width="7.6640625" bestFit="1" customWidth="1"/>
    <col min="107" max="107" width="6.83203125" bestFit="1" customWidth="1"/>
    <col min="108" max="108" width="6.33203125" bestFit="1" customWidth="1"/>
    <col min="109" max="109" width="7" bestFit="1" customWidth="1"/>
    <col min="110" max="110" width="6.1640625" bestFit="1" customWidth="1"/>
    <col min="111" max="113" width="7.33203125" bestFit="1" customWidth="1"/>
    <col min="114" max="114" width="6.6640625" bestFit="1" customWidth="1"/>
    <col min="115" max="116" width="7.33203125" bestFit="1" customWidth="1"/>
    <col min="117" max="117" width="6.6640625" bestFit="1" customWidth="1"/>
    <col min="118" max="118" width="7.6640625" bestFit="1" customWidth="1"/>
    <col min="119" max="119" width="7.33203125" bestFit="1" customWidth="1"/>
    <col min="120" max="120" width="6.6640625" bestFit="1" customWidth="1"/>
    <col min="121" max="121" width="7" bestFit="1" customWidth="1"/>
    <col min="122" max="122" width="6.6640625" bestFit="1" customWidth="1"/>
    <col min="123" max="123" width="7.1640625" bestFit="1" customWidth="1"/>
    <col min="124" max="124" width="7.33203125" bestFit="1" customWidth="1"/>
    <col min="125" max="125" width="6.6640625" bestFit="1" customWidth="1"/>
    <col min="126" max="126" width="7.33203125" bestFit="1" customWidth="1"/>
    <col min="127" max="127" width="10.6640625" customWidth="1"/>
    <col min="128" max="128" width="11.33203125" customWidth="1"/>
    <col min="129" max="129" width="7.33203125" bestFit="1" customWidth="1"/>
    <col min="130" max="130" width="7.6640625" bestFit="1" customWidth="1"/>
    <col min="131" max="131" width="6.83203125" bestFit="1" customWidth="1"/>
    <col min="132" max="132" width="7.33203125" bestFit="1" customWidth="1"/>
    <col min="133" max="133" width="7" bestFit="1" customWidth="1"/>
  </cols>
  <sheetData>
    <row r="1" spans="1:133" s="2" customFormat="1" ht="14">
      <c r="A1" s="2" t="s">
        <v>95</v>
      </c>
    </row>
    <row r="2" spans="1:133" s="2" customFormat="1" ht="14">
      <c r="A2" s="2" t="s">
        <v>93</v>
      </c>
      <c r="B2" s="102">
        <v>2015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>
        <v>2016</v>
      </c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>
        <v>2017</v>
      </c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>
        <v>2018</v>
      </c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>
        <v>2019</v>
      </c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>
        <v>2020</v>
      </c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>
        <v>2021</v>
      </c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>
        <v>2022</v>
      </c>
      <c r="CI2" s="102"/>
      <c r="CJ2" s="102"/>
      <c r="CK2" s="102"/>
      <c r="CL2" s="102"/>
      <c r="CM2" s="102"/>
      <c r="CN2" s="102"/>
      <c r="CO2" s="102"/>
      <c r="CP2" s="102"/>
      <c r="CQ2" s="102"/>
      <c r="CR2" s="102"/>
      <c r="CS2" s="102"/>
      <c r="CT2" s="102">
        <v>2023</v>
      </c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>
        <v>2024</v>
      </c>
      <c r="DG2" s="102"/>
      <c r="DH2" s="102"/>
      <c r="DI2" s="102"/>
      <c r="DJ2" s="102"/>
      <c r="DK2" s="102"/>
      <c r="DL2" s="102"/>
      <c r="DM2" s="102"/>
      <c r="DN2" s="102"/>
      <c r="DO2" s="102"/>
      <c r="DP2" s="102"/>
      <c r="DQ2" s="102"/>
      <c r="DR2" s="102">
        <v>2025</v>
      </c>
      <c r="DS2" s="102"/>
      <c r="DT2" s="102"/>
      <c r="DU2" s="102"/>
      <c r="DV2" s="102"/>
      <c r="DW2" s="102"/>
      <c r="DX2" s="102"/>
      <c r="DY2" s="102"/>
      <c r="DZ2" s="102"/>
      <c r="EA2" s="102"/>
      <c r="EB2" s="102"/>
      <c r="EC2" s="102"/>
    </row>
    <row r="3" spans="1:133" s="2" customFormat="1" ht="30">
      <c r="A3" s="2" t="s">
        <v>92</v>
      </c>
      <c r="B3" s="8" t="s">
        <v>79</v>
      </c>
      <c r="C3" s="8" t="s">
        <v>78</v>
      </c>
      <c r="D3" s="8" t="s">
        <v>89</v>
      </c>
      <c r="E3" s="8" t="s">
        <v>88</v>
      </c>
      <c r="F3" s="8" t="s">
        <v>87</v>
      </c>
      <c r="G3" s="8" t="s">
        <v>86</v>
      </c>
      <c r="H3" s="8" t="s">
        <v>85</v>
      </c>
      <c r="I3" s="8" t="s">
        <v>84</v>
      </c>
      <c r="J3" s="8" t="s">
        <v>83</v>
      </c>
      <c r="K3" s="8" t="s">
        <v>82</v>
      </c>
      <c r="L3" s="8" t="s">
        <v>81</v>
      </c>
      <c r="M3" s="8" t="s">
        <v>80</v>
      </c>
      <c r="N3" s="8" t="s">
        <v>79</v>
      </c>
      <c r="O3" s="8" t="s">
        <v>78</v>
      </c>
      <c r="P3" s="8" t="s">
        <v>89</v>
      </c>
      <c r="Q3" s="8" t="s">
        <v>88</v>
      </c>
      <c r="R3" s="8" t="s">
        <v>87</v>
      </c>
      <c r="S3" s="8" t="s">
        <v>86</v>
      </c>
      <c r="T3" s="8" t="s">
        <v>85</v>
      </c>
      <c r="U3" s="8" t="s">
        <v>84</v>
      </c>
      <c r="V3" s="8" t="s">
        <v>83</v>
      </c>
      <c r="W3" s="8" t="s">
        <v>82</v>
      </c>
      <c r="X3" s="8" t="s">
        <v>81</v>
      </c>
      <c r="Y3" s="8" t="s">
        <v>80</v>
      </c>
      <c r="Z3" s="8" t="s">
        <v>79</v>
      </c>
      <c r="AA3" s="8" t="s">
        <v>78</v>
      </c>
      <c r="AB3" s="8" t="s">
        <v>89</v>
      </c>
      <c r="AC3" s="8" t="s">
        <v>88</v>
      </c>
      <c r="AD3" s="8" t="s">
        <v>87</v>
      </c>
      <c r="AE3" s="8" t="s">
        <v>86</v>
      </c>
      <c r="AF3" s="8" t="s">
        <v>85</v>
      </c>
      <c r="AG3" s="8" t="s">
        <v>84</v>
      </c>
      <c r="AH3" s="8" t="s">
        <v>83</v>
      </c>
      <c r="AI3" s="8" t="s">
        <v>82</v>
      </c>
      <c r="AJ3" s="8" t="s">
        <v>81</v>
      </c>
      <c r="AK3" s="8" t="s">
        <v>80</v>
      </c>
      <c r="AL3" s="8" t="s">
        <v>79</v>
      </c>
      <c r="AM3" s="8" t="s">
        <v>78</v>
      </c>
      <c r="AN3" s="8" t="s">
        <v>89</v>
      </c>
      <c r="AO3" s="8" t="s">
        <v>88</v>
      </c>
      <c r="AP3" s="8" t="s">
        <v>87</v>
      </c>
      <c r="AQ3" s="8" t="s">
        <v>86</v>
      </c>
      <c r="AR3" s="8" t="s">
        <v>85</v>
      </c>
      <c r="AS3" s="8" t="s">
        <v>84</v>
      </c>
      <c r="AT3" s="8" t="s">
        <v>83</v>
      </c>
      <c r="AU3" s="8" t="s">
        <v>82</v>
      </c>
      <c r="AV3" s="8" t="s">
        <v>81</v>
      </c>
      <c r="AW3" s="8" t="s">
        <v>80</v>
      </c>
      <c r="AX3" s="8" t="s">
        <v>79</v>
      </c>
      <c r="AY3" s="8" t="s">
        <v>78</v>
      </c>
      <c r="AZ3" s="8" t="s">
        <v>89</v>
      </c>
      <c r="BA3" s="8" t="s">
        <v>88</v>
      </c>
      <c r="BB3" s="8" t="s">
        <v>87</v>
      </c>
      <c r="BC3" s="8" t="s">
        <v>86</v>
      </c>
      <c r="BD3" s="8" t="s">
        <v>85</v>
      </c>
      <c r="BE3" s="8" t="s">
        <v>84</v>
      </c>
      <c r="BF3" s="8" t="s">
        <v>83</v>
      </c>
      <c r="BG3" s="8" t="s">
        <v>82</v>
      </c>
      <c r="BH3" s="8" t="s">
        <v>81</v>
      </c>
      <c r="BI3" s="8" t="s">
        <v>80</v>
      </c>
      <c r="BJ3" s="8" t="s">
        <v>79</v>
      </c>
      <c r="BK3" s="8" t="s">
        <v>78</v>
      </c>
      <c r="BL3" s="8" t="s">
        <v>89</v>
      </c>
      <c r="BM3" s="8" t="s">
        <v>88</v>
      </c>
      <c r="BN3" s="8" t="s">
        <v>87</v>
      </c>
      <c r="BO3" s="8" t="s">
        <v>86</v>
      </c>
      <c r="BP3" s="8" t="s">
        <v>85</v>
      </c>
      <c r="BQ3" s="8" t="s">
        <v>84</v>
      </c>
      <c r="BR3" s="8" t="s">
        <v>83</v>
      </c>
      <c r="BS3" s="8" t="s">
        <v>82</v>
      </c>
      <c r="BT3" s="8" t="s">
        <v>81</v>
      </c>
      <c r="BU3" s="8" t="s">
        <v>80</v>
      </c>
      <c r="BV3" s="8" t="s">
        <v>79</v>
      </c>
      <c r="BW3" s="8" t="s">
        <v>78</v>
      </c>
      <c r="BX3" s="8" t="s">
        <v>89</v>
      </c>
      <c r="BY3" s="8" t="s">
        <v>88</v>
      </c>
      <c r="BZ3" s="8" t="s">
        <v>87</v>
      </c>
      <c r="CA3" s="8" t="s">
        <v>86</v>
      </c>
      <c r="CB3" s="8" t="s">
        <v>85</v>
      </c>
      <c r="CC3" s="8" t="s">
        <v>84</v>
      </c>
      <c r="CD3" s="8" t="s">
        <v>83</v>
      </c>
      <c r="CE3" s="8" t="s">
        <v>82</v>
      </c>
      <c r="CF3" s="8" t="s">
        <v>81</v>
      </c>
      <c r="CG3" s="8" t="s">
        <v>80</v>
      </c>
      <c r="CH3" s="8" t="s">
        <v>79</v>
      </c>
      <c r="CI3" s="8" t="s">
        <v>78</v>
      </c>
      <c r="CJ3" s="8" t="s">
        <v>89</v>
      </c>
      <c r="CK3" s="8" t="s">
        <v>88</v>
      </c>
      <c r="CL3" s="8" t="s">
        <v>87</v>
      </c>
      <c r="CM3" s="8" t="s">
        <v>86</v>
      </c>
      <c r="CN3" s="8" t="s">
        <v>85</v>
      </c>
      <c r="CO3" s="8" t="s">
        <v>84</v>
      </c>
      <c r="CP3" s="8" t="s">
        <v>83</v>
      </c>
      <c r="CQ3" s="8" t="s">
        <v>82</v>
      </c>
      <c r="CR3" s="8" t="s">
        <v>81</v>
      </c>
      <c r="CS3" s="8" t="s">
        <v>80</v>
      </c>
      <c r="CT3" s="8" t="s">
        <v>79</v>
      </c>
      <c r="CU3" s="8" t="s">
        <v>78</v>
      </c>
      <c r="CV3" s="8" t="s">
        <v>89</v>
      </c>
      <c r="CW3" s="8" t="s">
        <v>88</v>
      </c>
      <c r="CX3" s="8" t="s">
        <v>87</v>
      </c>
      <c r="CY3" s="8" t="s">
        <v>86</v>
      </c>
      <c r="CZ3" s="8" t="s">
        <v>85</v>
      </c>
      <c r="DA3" s="8" t="s">
        <v>84</v>
      </c>
      <c r="DB3" s="8" t="s">
        <v>83</v>
      </c>
      <c r="DC3" s="8" t="s">
        <v>82</v>
      </c>
      <c r="DD3" s="8" t="s">
        <v>81</v>
      </c>
      <c r="DE3" s="8" t="s">
        <v>80</v>
      </c>
      <c r="DF3" s="8" t="s">
        <v>79</v>
      </c>
      <c r="DG3" s="8" t="s">
        <v>78</v>
      </c>
      <c r="DH3" s="8" t="s">
        <v>89</v>
      </c>
      <c r="DI3" s="8" t="s">
        <v>88</v>
      </c>
      <c r="DJ3" s="8" t="s">
        <v>87</v>
      </c>
      <c r="DK3" s="8" t="s">
        <v>86</v>
      </c>
      <c r="DL3" s="8" t="s">
        <v>85</v>
      </c>
      <c r="DM3" s="8" t="s">
        <v>84</v>
      </c>
      <c r="DN3" s="8" t="s">
        <v>83</v>
      </c>
      <c r="DO3" s="8" t="s">
        <v>82</v>
      </c>
      <c r="DP3" s="8" t="s">
        <v>81</v>
      </c>
      <c r="DQ3" s="8" t="s">
        <v>80</v>
      </c>
      <c r="DR3" s="8" t="s">
        <v>79</v>
      </c>
      <c r="DS3" s="8" t="s">
        <v>78</v>
      </c>
      <c r="DT3" s="8" t="s">
        <v>89</v>
      </c>
      <c r="DU3" s="8" t="s">
        <v>88</v>
      </c>
      <c r="DV3" s="8" t="s">
        <v>87</v>
      </c>
      <c r="DW3" s="8" t="s">
        <v>86</v>
      </c>
      <c r="DX3" s="8" t="s">
        <v>85</v>
      </c>
      <c r="DY3" s="8" t="s">
        <v>84</v>
      </c>
      <c r="DZ3" s="8" t="s">
        <v>83</v>
      </c>
      <c r="EA3" s="8" t="s">
        <v>82</v>
      </c>
      <c r="EB3" s="8" t="s">
        <v>81</v>
      </c>
      <c r="EC3" s="8" t="s">
        <v>80</v>
      </c>
    </row>
    <row r="4" spans="1:133" s="2" customFormat="1" ht="14">
      <c r="A4" s="2" t="s">
        <v>96</v>
      </c>
      <c r="B4" s="18">
        <v>5.5</v>
      </c>
      <c r="C4" s="18">
        <v>5.8</v>
      </c>
      <c r="D4" s="18">
        <v>5.9</v>
      </c>
      <c r="E4" s="18">
        <v>5.8</v>
      </c>
      <c r="F4" s="18">
        <v>5.6</v>
      </c>
      <c r="G4" s="18">
        <v>5.3</v>
      </c>
      <c r="H4" s="18">
        <v>5.3</v>
      </c>
      <c r="I4" s="18">
        <v>5.2</v>
      </c>
      <c r="J4" s="18">
        <v>5.2</v>
      </c>
      <c r="K4" s="18">
        <v>5.5</v>
      </c>
      <c r="L4" s="18">
        <v>5.8</v>
      </c>
      <c r="M4" s="18">
        <v>5.8</v>
      </c>
      <c r="N4" s="18">
        <v>5.8</v>
      </c>
      <c r="O4" s="18">
        <v>5.8</v>
      </c>
      <c r="P4" s="19">
        <v>6</v>
      </c>
      <c r="Q4" s="18">
        <v>5.9</v>
      </c>
      <c r="R4" s="18">
        <v>5.6</v>
      </c>
      <c r="S4" s="18">
        <v>5.4</v>
      </c>
      <c r="T4" s="18">
        <v>5.3</v>
      </c>
      <c r="U4" s="18">
        <v>5.2</v>
      </c>
      <c r="V4" s="18">
        <v>5.2</v>
      </c>
      <c r="W4" s="18">
        <v>5.3</v>
      </c>
      <c r="X4" s="18">
        <v>5.3</v>
      </c>
      <c r="Y4" s="18">
        <v>5.3</v>
      </c>
      <c r="Z4" s="18">
        <v>5.6</v>
      </c>
      <c r="AA4" s="18">
        <v>5.6</v>
      </c>
      <c r="AB4" s="18">
        <v>5.4</v>
      </c>
      <c r="AC4" s="18">
        <v>5.3</v>
      </c>
      <c r="AD4" s="18">
        <v>5.2</v>
      </c>
      <c r="AE4" s="18">
        <v>5.0999999999999996</v>
      </c>
      <c r="AF4" s="18">
        <v>5.0999999999999996</v>
      </c>
      <c r="AG4" s="18">
        <v>4.9000000000000004</v>
      </c>
      <c r="AH4" s="19">
        <v>5</v>
      </c>
      <c r="AI4" s="19">
        <v>5</v>
      </c>
      <c r="AJ4" s="18">
        <v>5.0999999999999996</v>
      </c>
      <c r="AK4" s="18">
        <v>5.0999999999999996</v>
      </c>
      <c r="AL4" s="18">
        <v>5.2</v>
      </c>
      <c r="AM4" s="19">
        <v>5</v>
      </c>
      <c r="AN4" s="19">
        <v>5</v>
      </c>
      <c r="AO4" s="18">
        <v>4.9000000000000004</v>
      </c>
      <c r="AP4" s="18">
        <v>4.7</v>
      </c>
      <c r="AQ4" s="18">
        <v>4.7</v>
      </c>
      <c r="AR4" s="18">
        <v>4.7</v>
      </c>
      <c r="AS4" s="18">
        <v>4.5999999999999996</v>
      </c>
      <c r="AT4" s="18">
        <v>4.5</v>
      </c>
      <c r="AU4" s="18">
        <v>4.7</v>
      </c>
      <c r="AV4" s="18">
        <v>4.8</v>
      </c>
      <c r="AW4" s="18">
        <v>4.9000000000000004</v>
      </c>
      <c r="AX4" s="18">
        <v>4.9000000000000004</v>
      </c>
      <c r="AY4" s="18">
        <v>4.9000000000000004</v>
      </c>
      <c r="AZ4" s="18">
        <v>4.7</v>
      </c>
      <c r="BA4" s="18">
        <v>4.7</v>
      </c>
      <c r="BB4" s="18">
        <v>4.5999999999999996</v>
      </c>
      <c r="BC4" s="18">
        <v>4.4000000000000004</v>
      </c>
      <c r="BD4" s="18">
        <v>4.5</v>
      </c>
      <c r="BE4" s="18">
        <v>4.3</v>
      </c>
      <c r="BF4" s="18">
        <v>4.5</v>
      </c>
      <c r="BG4" s="18">
        <v>4.5999999999999996</v>
      </c>
      <c r="BH4" s="18">
        <v>4.5999999999999996</v>
      </c>
      <c r="BI4" s="18">
        <v>4.5999999999999996</v>
      </c>
      <c r="BJ4" s="18">
        <v>4.5999999999999996</v>
      </c>
      <c r="BK4" s="18">
        <v>4.5999999999999996</v>
      </c>
      <c r="BL4" s="18">
        <v>4.5999999999999996</v>
      </c>
      <c r="BM4" s="18">
        <v>5.8</v>
      </c>
      <c r="BN4" s="18">
        <v>6.1</v>
      </c>
      <c r="BO4" s="18">
        <v>6.2</v>
      </c>
      <c r="BP4" s="18">
        <v>6.3</v>
      </c>
      <c r="BQ4" s="18">
        <v>6.4</v>
      </c>
      <c r="BR4" s="18">
        <v>6.4</v>
      </c>
      <c r="BS4" s="18">
        <v>6.3</v>
      </c>
      <c r="BT4" s="18">
        <v>6.1</v>
      </c>
      <c r="BU4" s="18">
        <v>5.9</v>
      </c>
      <c r="BV4" s="18">
        <v>5.8</v>
      </c>
      <c r="BW4" s="18">
        <v>5.7</v>
      </c>
      <c r="BX4" s="18">
        <v>5.4</v>
      </c>
      <c r="BY4" s="18">
        <v>5.2</v>
      </c>
      <c r="BZ4" s="18">
        <v>4.9000000000000004</v>
      </c>
      <c r="CA4" s="18">
        <v>4.8</v>
      </c>
      <c r="CB4" s="18">
        <v>4.5999999999999996</v>
      </c>
      <c r="CC4" s="18">
        <v>4.4000000000000004</v>
      </c>
      <c r="CD4" s="18">
        <v>4.3</v>
      </c>
      <c r="CE4" s="18">
        <v>4.3</v>
      </c>
      <c r="CF4" s="18">
        <v>4.3</v>
      </c>
      <c r="CG4" s="18">
        <v>4.3</v>
      </c>
      <c r="CH4" s="18">
        <v>4.4000000000000004</v>
      </c>
      <c r="CI4" s="18">
        <v>4.0999999999999996</v>
      </c>
      <c r="CJ4" s="18">
        <v>4.0999999999999996</v>
      </c>
      <c r="CK4" s="19">
        <v>4</v>
      </c>
      <c r="CL4" s="18">
        <v>3.9</v>
      </c>
      <c r="CM4" s="19">
        <v>4</v>
      </c>
      <c r="CN4" s="18">
        <v>3.9</v>
      </c>
      <c r="CO4" s="18">
        <v>3.8</v>
      </c>
      <c r="CP4" s="18">
        <v>3.9</v>
      </c>
      <c r="CQ4" s="18">
        <v>3.9</v>
      </c>
      <c r="CR4" s="18">
        <v>3.7</v>
      </c>
      <c r="CS4" s="18">
        <v>3.7</v>
      </c>
      <c r="CT4" s="18">
        <v>3.6</v>
      </c>
      <c r="CU4" s="18">
        <v>3.49</v>
      </c>
      <c r="CV4" s="18">
        <v>3.5</v>
      </c>
      <c r="CW4" s="18">
        <v>3.3</v>
      </c>
      <c r="CX4" s="18">
        <v>3.17</v>
      </c>
      <c r="CY4" s="18">
        <v>3.1</v>
      </c>
      <c r="CZ4" s="19">
        <v>3</v>
      </c>
      <c r="DA4" s="18">
        <v>2.96</v>
      </c>
      <c r="DB4" s="18">
        <v>3.03</v>
      </c>
      <c r="DC4" s="18">
        <v>2.91</v>
      </c>
      <c r="DD4" s="18">
        <v>2.9</v>
      </c>
      <c r="DE4" s="19">
        <v>3</v>
      </c>
      <c r="DF4" s="18">
        <v>2.9</v>
      </c>
      <c r="DG4" s="18">
        <v>2.79</v>
      </c>
      <c r="DH4" s="18">
        <v>2.7</v>
      </c>
      <c r="DI4" s="18">
        <v>2.58</v>
      </c>
      <c r="DJ4" s="18">
        <v>2.63</v>
      </c>
      <c r="DK4" s="18">
        <v>2.44</v>
      </c>
      <c r="DL4" s="18">
        <v>2.4</v>
      </c>
      <c r="DM4" s="18">
        <v>2.4</v>
      </c>
      <c r="DN4" s="18">
        <v>2.39</v>
      </c>
      <c r="DO4" s="18">
        <v>2.2999999999999998</v>
      </c>
      <c r="DP4" s="18">
        <v>2.2999999999999998</v>
      </c>
      <c r="DQ4" s="18">
        <v>2.2999999999999998</v>
      </c>
      <c r="DR4" s="18">
        <v>2.4</v>
      </c>
      <c r="DS4" s="18">
        <v>2.4</v>
      </c>
      <c r="DT4" s="18">
        <v>2.2999999999999998</v>
      </c>
      <c r="DU4" s="18">
        <v>2.2999999999999998</v>
      </c>
      <c r="DV4" s="18">
        <v>2.2000000000000002</v>
      </c>
      <c r="DW4" s="2" t="s">
        <v>57</v>
      </c>
      <c r="DX4" s="18">
        <v>2.2000000000000002</v>
      </c>
      <c r="DY4" s="18">
        <v>2.1</v>
      </c>
      <c r="DZ4" s="18">
        <v>2.2000000000000002</v>
      </c>
      <c r="EA4" s="18">
        <v>2.2000000000000002</v>
      </c>
      <c r="EB4" s="18">
        <v>2.1</v>
      </c>
      <c r="EC4" s="18">
        <v>2.2000000000000002</v>
      </c>
    </row>
    <row r="5" spans="1:133">
      <c r="C5" s="29">
        <f>C4-B4</f>
        <v>0.29999999999999982</v>
      </c>
      <c r="D5" s="29">
        <f t="shared" ref="D5:S5" si="0">D4-C4</f>
        <v>0.10000000000000053</v>
      </c>
      <c r="E5" s="29">
        <f t="shared" si="0"/>
        <v>-0.10000000000000053</v>
      </c>
      <c r="F5" s="29">
        <f t="shared" si="0"/>
        <v>-0.20000000000000018</v>
      </c>
      <c r="G5" s="29">
        <f t="shared" si="0"/>
        <v>-0.29999999999999982</v>
      </c>
      <c r="H5" s="29">
        <f t="shared" si="0"/>
        <v>0</v>
      </c>
      <c r="I5" s="29">
        <f t="shared" si="0"/>
        <v>-9.9999999999999645E-2</v>
      </c>
      <c r="J5" s="29">
        <f t="shared" si="0"/>
        <v>0</v>
      </c>
      <c r="K5" s="29">
        <f t="shared" si="0"/>
        <v>0.29999999999999982</v>
      </c>
      <c r="L5" s="29">
        <f t="shared" si="0"/>
        <v>0.29999999999999982</v>
      </c>
      <c r="M5" s="29">
        <f t="shared" si="0"/>
        <v>0</v>
      </c>
      <c r="N5" s="29">
        <f t="shared" si="0"/>
        <v>0</v>
      </c>
      <c r="O5" s="29">
        <f t="shared" si="0"/>
        <v>0</v>
      </c>
      <c r="P5" s="29">
        <f t="shared" si="0"/>
        <v>0.20000000000000018</v>
      </c>
      <c r="Q5" s="29">
        <f t="shared" si="0"/>
        <v>-9.9999999999999645E-2</v>
      </c>
      <c r="R5" s="29">
        <f t="shared" si="0"/>
        <v>-0.30000000000000071</v>
      </c>
      <c r="S5" s="29">
        <f t="shared" si="0"/>
        <v>-0.19999999999999929</v>
      </c>
      <c r="T5" s="29">
        <f t="shared" ref="T5" si="1">T4-S4</f>
        <v>-0.10000000000000053</v>
      </c>
      <c r="U5" s="29">
        <f t="shared" ref="U5" si="2">U4-T4</f>
        <v>-9.9999999999999645E-2</v>
      </c>
      <c r="V5" s="29">
        <f t="shared" ref="V5" si="3">V4-U4</f>
        <v>0</v>
      </c>
      <c r="W5" s="29">
        <f t="shared" ref="W5" si="4">W4-V4</f>
        <v>9.9999999999999645E-2</v>
      </c>
      <c r="X5" s="29">
        <f t="shared" ref="X5" si="5">X4-W4</f>
        <v>0</v>
      </c>
      <c r="Y5" s="29">
        <f t="shared" ref="Y5" si="6">Y4-X4</f>
        <v>0</v>
      </c>
      <c r="Z5" s="29">
        <f t="shared" ref="Z5" si="7">Z4-Y4</f>
        <v>0.29999999999999982</v>
      </c>
      <c r="AA5" s="29">
        <f t="shared" ref="AA5" si="8">AA4-Z4</f>
        <v>0</v>
      </c>
      <c r="AB5" s="29">
        <f t="shared" ref="AB5" si="9">AB4-AA4</f>
        <v>-0.19999999999999929</v>
      </c>
      <c r="AC5" s="29">
        <f t="shared" ref="AC5" si="10">AC4-AB4</f>
        <v>-0.10000000000000053</v>
      </c>
      <c r="AD5" s="29">
        <f t="shared" ref="AD5" si="11">AD4-AC4</f>
        <v>-9.9999999999999645E-2</v>
      </c>
      <c r="AE5" s="29">
        <f t="shared" ref="AE5" si="12">AE4-AD4</f>
        <v>-0.10000000000000053</v>
      </c>
      <c r="AF5" s="29">
        <f t="shared" ref="AF5" si="13">AF4-AE4</f>
        <v>0</v>
      </c>
      <c r="AG5" s="29">
        <f t="shared" ref="AG5" si="14">AG4-AF4</f>
        <v>-0.19999999999999929</v>
      </c>
      <c r="AH5" s="29">
        <f t="shared" ref="AH5:AI5" si="15">AH4-AG4</f>
        <v>9.9999999999999645E-2</v>
      </c>
      <c r="AI5" s="29">
        <f t="shared" si="15"/>
        <v>0</v>
      </c>
      <c r="AJ5" s="29">
        <f t="shared" ref="AJ5" si="16">AJ4-AI4</f>
        <v>9.9999999999999645E-2</v>
      </c>
      <c r="AK5" s="29">
        <f t="shared" ref="AK5" si="17">AK4-AJ4</f>
        <v>0</v>
      </c>
      <c r="AL5" s="29">
        <f t="shared" ref="AL5" si="18">AL4-AK4</f>
        <v>0.10000000000000053</v>
      </c>
      <c r="AM5" s="29">
        <f t="shared" ref="AM5" si="19">AM4-AL4</f>
        <v>-0.20000000000000018</v>
      </c>
      <c r="AN5" s="29">
        <f t="shared" ref="AN5" si="20">AN4-AM4</f>
        <v>0</v>
      </c>
      <c r="AO5" s="29">
        <f t="shared" ref="AO5" si="21">AO4-AN4</f>
        <v>-9.9999999999999645E-2</v>
      </c>
      <c r="AP5" s="29">
        <f t="shared" ref="AP5" si="22">AP4-AO4</f>
        <v>-0.20000000000000018</v>
      </c>
      <c r="AQ5" s="29">
        <f t="shared" ref="AQ5" si="23">AQ4-AP4</f>
        <v>0</v>
      </c>
      <c r="AR5" s="29">
        <f t="shared" ref="AR5" si="24">AR4-AQ4</f>
        <v>0</v>
      </c>
      <c r="AS5" s="29">
        <f t="shared" ref="AS5" si="25">AS4-AR4</f>
        <v>-0.10000000000000053</v>
      </c>
      <c r="AT5" s="29">
        <f t="shared" ref="AT5" si="26">AT4-AS4</f>
        <v>-9.9999999999999645E-2</v>
      </c>
      <c r="AU5" s="29">
        <f t="shared" ref="AU5" si="27">AU4-AT4</f>
        <v>0.20000000000000018</v>
      </c>
      <c r="AV5" s="29">
        <f t="shared" ref="AV5" si="28">AV4-AU4</f>
        <v>9.9999999999999645E-2</v>
      </c>
      <c r="AW5" s="29">
        <f t="shared" ref="AW5" si="29">AW4-AV4</f>
        <v>0.10000000000000053</v>
      </c>
      <c r="AX5" s="29">
        <f t="shared" ref="AX5:AY5" si="30">AX4-AW4</f>
        <v>0</v>
      </c>
      <c r="AY5" s="29">
        <f t="shared" si="30"/>
        <v>0</v>
      </c>
      <c r="AZ5" s="29">
        <f t="shared" ref="AZ5" si="31">AZ4-AY4</f>
        <v>-0.20000000000000018</v>
      </c>
      <c r="BA5" s="29">
        <f t="shared" ref="BA5" si="32">BA4-AZ4</f>
        <v>0</v>
      </c>
      <c r="BB5" s="29">
        <f t="shared" ref="BB5" si="33">BB4-BA4</f>
        <v>-0.10000000000000053</v>
      </c>
      <c r="BC5" s="29">
        <f t="shared" ref="BC5" si="34">BC4-BB4</f>
        <v>-0.19999999999999929</v>
      </c>
      <c r="BD5" s="29">
        <f t="shared" ref="BD5" si="35">BD4-BC4</f>
        <v>9.9999999999999645E-2</v>
      </c>
      <c r="BE5" s="29">
        <f t="shared" ref="BE5" si="36">BE4-BD4</f>
        <v>-0.20000000000000018</v>
      </c>
      <c r="BF5" s="29">
        <f t="shared" ref="BF5" si="37">BF4-BE4</f>
        <v>0.20000000000000018</v>
      </c>
      <c r="BG5" s="29">
        <f t="shared" ref="BG5" si="38">BG4-BF4</f>
        <v>9.9999999999999645E-2</v>
      </c>
      <c r="BH5" s="29">
        <f t="shared" ref="BH5" si="39">BH4-BG4</f>
        <v>0</v>
      </c>
      <c r="BI5" s="29">
        <f t="shared" ref="BI5" si="40">BI4-BH4</f>
        <v>0</v>
      </c>
      <c r="BJ5" s="29">
        <f t="shared" ref="BJ5" si="41">BJ4-BI4</f>
        <v>0</v>
      </c>
      <c r="BK5" s="29">
        <f t="shared" ref="BK5" si="42">BK4-BJ4</f>
        <v>0</v>
      </c>
      <c r="BL5" s="29">
        <f t="shared" ref="BL5" si="43">BL4-BK4</f>
        <v>0</v>
      </c>
      <c r="BM5" s="29">
        <f t="shared" ref="BM5" si="44">BM4-BL4</f>
        <v>1.2000000000000002</v>
      </c>
      <c r="BN5" s="29">
        <f t="shared" ref="BN5:BO5" si="45">BN4-BM4</f>
        <v>0.29999999999999982</v>
      </c>
      <c r="BO5" s="29">
        <f t="shared" si="45"/>
        <v>0.10000000000000053</v>
      </c>
      <c r="BP5" s="29">
        <f t="shared" ref="BP5" si="46">BP4-BO4</f>
        <v>9.9999999999999645E-2</v>
      </c>
      <c r="BQ5" s="29">
        <f t="shared" ref="BQ5" si="47">BQ4-BP4</f>
        <v>0.10000000000000053</v>
      </c>
      <c r="BR5" s="29">
        <f t="shared" ref="BR5" si="48">BR4-BQ4</f>
        <v>0</v>
      </c>
      <c r="BS5" s="29">
        <f t="shared" ref="BS5" si="49">BS4-BR4</f>
        <v>-0.10000000000000053</v>
      </c>
      <c r="BT5" s="29">
        <f t="shared" ref="BT5" si="50">BT4-BS4</f>
        <v>-0.20000000000000018</v>
      </c>
      <c r="BU5" s="29">
        <f t="shared" ref="BU5" si="51">BU4-BT4</f>
        <v>-0.19999999999999929</v>
      </c>
      <c r="BV5" s="29">
        <f t="shared" ref="BV5" si="52">BV4-BU4</f>
        <v>-0.10000000000000053</v>
      </c>
      <c r="BW5" s="29">
        <f t="shared" ref="BW5" si="53">BW4-BV4</f>
        <v>-9.9999999999999645E-2</v>
      </c>
      <c r="BX5" s="29">
        <f t="shared" ref="BX5" si="54">BX4-BW4</f>
        <v>-0.29999999999999982</v>
      </c>
      <c r="BY5" s="29">
        <f t="shared" ref="BY5" si="55">BY4-BX4</f>
        <v>-0.20000000000000018</v>
      </c>
      <c r="BZ5" s="29">
        <f t="shared" ref="BZ5" si="56">BZ4-BY4</f>
        <v>-0.29999999999999982</v>
      </c>
      <c r="CA5" s="29">
        <f t="shared" ref="CA5" si="57">CA4-BZ4</f>
        <v>-0.10000000000000053</v>
      </c>
      <c r="CB5" s="29">
        <f t="shared" ref="CB5" si="58">CB4-CA4</f>
        <v>-0.20000000000000018</v>
      </c>
      <c r="CC5" s="29">
        <f t="shared" ref="CC5" si="59">CC4-CB4</f>
        <v>-0.19999999999999929</v>
      </c>
      <c r="CD5" s="29">
        <f t="shared" ref="CD5:CE5" si="60">CD4-CC4</f>
        <v>-0.10000000000000053</v>
      </c>
      <c r="CE5" s="29">
        <f t="shared" si="60"/>
        <v>0</v>
      </c>
      <c r="CF5" s="29">
        <f t="shared" ref="CF5" si="61">CF4-CE4</f>
        <v>0</v>
      </c>
      <c r="CG5" s="29">
        <f t="shared" ref="CG5" si="62">CG4-CF4</f>
        <v>0</v>
      </c>
      <c r="CH5" s="29">
        <f t="shared" ref="CH5" si="63">CH4-CG4</f>
        <v>0.10000000000000053</v>
      </c>
      <c r="CI5" s="29">
        <f t="shared" ref="CI5" si="64">CI4-CH4</f>
        <v>-0.30000000000000071</v>
      </c>
      <c r="CJ5" s="29">
        <f t="shared" ref="CJ5" si="65">CJ4-CI4</f>
        <v>0</v>
      </c>
      <c r="CK5" s="29">
        <f t="shared" ref="CK5" si="66">CK4-CJ4</f>
        <v>-9.9999999999999645E-2</v>
      </c>
      <c r="CL5" s="29">
        <f t="shared" ref="CL5" si="67">CL4-CK4</f>
        <v>-0.10000000000000009</v>
      </c>
      <c r="CM5" s="29">
        <f t="shared" ref="CM5" si="68">CM4-CL4</f>
        <v>0.10000000000000009</v>
      </c>
      <c r="CN5" s="29">
        <f t="shared" ref="CN5" si="69">CN4-CM4</f>
        <v>-0.10000000000000009</v>
      </c>
      <c r="CO5" s="29">
        <f t="shared" ref="CO5" si="70">CO4-CN4</f>
        <v>-0.10000000000000009</v>
      </c>
      <c r="CP5" s="29">
        <f t="shared" ref="CP5" si="71">CP4-CO4</f>
        <v>0.10000000000000009</v>
      </c>
      <c r="CQ5" s="29">
        <f t="shared" ref="CQ5" si="72">CQ4-CP4</f>
        <v>0</v>
      </c>
      <c r="CR5" s="29">
        <f t="shared" ref="CR5" si="73">CR4-CQ4</f>
        <v>-0.19999999999999973</v>
      </c>
      <c r="CS5" s="29">
        <f t="shared" ref="CS5" si="74">CS4-CR4</f>
        <v>0</v>
      </c>
      <c r="CT5" s="29">
        <f t="shared" ref="CT5:CU5" si="75">CT4-CS4</f>
        <v>-0.10000000000000009</v>
      </c>
      <c r="CU5" s="29">
        <f t="shared" si="75"/>
        <v>-0.10999999999999988</v>
      </c>
      <c r="CV5" s="29">
        <f t="shared" ref="CV5" si="76">CV4-CU4</f>
        <v>9.9999999999997868E-3</v>
      </c>
      <c r="CW5" s="29">
        <f t="shared" ref="CW5" si="77">CW4-CV4</f>
        <v>-0.20000000000000018</v>
      </c>
      <c r="CX5" s="29">
        <f t="shared" ref="CX5" si="78">CX4-CW4</f>
        <v>-0.12999999999999989</v>
      </c>
      <c r="CY5" s="29">
        <f t="shared" ref="CY5" si="79">CY4-CX4</f>
        <v>-6.999999999999984E-2</v>
      </c>
      <c r="CZ5" s="29">
        <f t="shared" ref="CZ5" si="80">CZ4-CY4</f>
        <v>-0.10000000000000009</v>
      </c>
      <c r="DA5" s="29">
        <f t="shared" ref="DA5" si="81">DA4-CZ4</f>
        <v>-4.0000000000000036E-2</v>
      </c>
      <c r="DB5" s="29">
        <f t="shared" ref="DB5" si="82">DB4-DA4</f>
        <v>6.999999999999984E-2</v>
      </c>
      <c r="DC5" s="29">
        <f t="shared" ref="DC5" si="83">DC4-DB4</f>
        <v>-0.11999999999999966</v>
      </c>
      <c r="DD5" s="29">
        <f t="shared" ref="DD5" si="84">DD4-DC4</f>
        <v>-1.0000000000000231E-2</v>
      </c>
      <c r="DE5" s="29">
        <f t="shared" ref="DE5" si="85">DE4-DD4</f>
        <v>0.10000000000000009</v>
      </c>
      <c r="DF5" s="29">
        <f t="shared" ref="DF5" si="86">DF4-DE4</f>
        <v>-0.10000000000000009</v>
      </c>
      <c r="DG5" s="29">
        <f t="shared" ref="DG5" si="87">DG4-DF4</f>
        <v>-0.10999999999999988</v>
      </c>
      <c r="DH5" s="29">
        <f t="shared" ref="DH5" si="88">DH4-DG4</f>
        <v>-8.9999999999999858E-2</v>
      </c>
      <c r="DI5" s="29">
        <f t="shared" ref="DI5" si="89">DI4-DH4</f>
        <v>-0.12000000000000011</v>
      </c>
      <c r="DJ5" s="29">
        <f t="shared" ref="DJ5:DK5" si="90">DJ4-DI4</f>
        <v>4.9999999999999822E-2</v>
      </c>
      <c r="DK5" s="29">
        <f t="shared" si="90"/>
        <v>-0.18999999999999995</v>
      </c>
      <c r="DL5" s="29">
        <f>DL4-DK4</f>
        <v>-4.0000000000000036E-2</v>
      </c>
      <c r="DM5" s="29">
        <f t="shared" ref="DM5" si="91">DM4-DL4</f>
        <v>0</v>
      </c>
      <c r="DN5" s="29">
        <f t="shared" ref="DN5" si="92">DN4-DM4</f>
        <v>-9.9999999999997868E-3</v>
      </c>
      <c r="DO5" s="29">
        <f>DO4-DN4</f>
        <v>-9.0000000000000302E-2</v>
      </c>
      <c r="DP5" s="29">
        <f t="shared" ref="DP5" si="93">DP4-DO4</f>
        <v>0</v>
      </c>
      <c r="DQ5" s="29">
        <f t="shared" ref="DQ5" si="94">DQ4-DP4</f>
        <v>0</v>
      </c>
      <c r="DR5" s="29">
        <f>DR4-DQ4</f>
        <v>0.10000000000000009</v>
      </c>
      <c r="DS5" s="29">
        <f t="shared" ref="DS5" si="95">DS4-DR4</f>
        <v>0</v>
      </c>
      <c r="DT5" s="29">
        <f t="shared" ref="DT5" si="96">DT4-DS4</f>
        <v>-0.10000000000000009</v>
      </c>
      <c r="DU5" s="29">
        <f t="shared" ref="DU5" si="97">DU4-DT4</f>
        <v>0</v>
      </c>
      <c r="DV5" s="29">
        <f t="shared" ref="DV5" si="98">DV4-DU4</f>
        <v>-9.9999999999999645E-2</v>
      </c>
      <c r="DW5" s="29" t="e">
        <f t="shared" ref="DW5" si="99">DW4-DV4</f>
        <v>#VALUE!</v>
      </c>
      <c r="DX5" s="29" t="e">
        <f t="shared" ref="DX5" si="100">DX4-DW4</f>
        <v>#VALUE!</v>
      </c>
      <c r="DY5" s="29">
        <f t="shared" ref="DY5" si="101">DY4-DX4</f>
        <v>-0.10000000000000009</v>
      </c>
      <c r="DZ5" s="29">
        <f t="shared" ref="DZ5:EA5" si="102">DZ4-DY4</f>
        <v>0.10000000000000009</v>
      </c>
      <c r="EA5" s="29">
        <f t="shared" si="102"/>
        <v>0</v>
      </c>
      <c r="EB5" s="29">
        <f t="shared" ref="EB5" si="103">EB4-EA4</f>
        <v>-0.10000000000000009</v>
      </c>
      <c r="EC5" s="29">
        <f t="shared" ref="EC5" si="104">EC4-EB4</f>
        <v>0.10000000000000009</v>
      </c>
    </row>
    <row r="6" spans="1:133">
      <c r="C6">
        <v>0.29999999999999982</v>
      </c>
      <c r="D6">
        <v>0.10000000000000053</v>
      </c>
      <c r="E6">
        <v>-0.10000000000000053</v>
      </c>
      <c r="F6">
        <v>-0.20000000000000018</v>
      </c>
      <c r="G6">
        <v>-0.29999999999999982</v>
      </c>
      <c r="H6">
        <v>0</v>
      </c>
      <c r="I6">
        <v>-9.9999999999999645E-2</v>
      </c>
      <c r="J6">
        <v>0</v>
      </c>
      <c r="K6">
        <v>0.29999999999999982</v>
      </c>
      <c r="L6">
        <v>0.29999999999999982</v>
      </c>
      <c r="M6">
        <v>0</v>
      </c>
      <c r="N6">
        <v>0</v>
      </c>
      <c r="O6">
        <v>0</v>
      </c>
      <c r="P6">
        <v>0.20000000000000018</v>
      </c>
      <c r="Q6">
        <v>-9.9999999999999645E-2</v>
      </c>
      <c r="R6">
        <v>-0.30000000000000071</v>
      </c>
      <c r="S6">
        <v>-0.19999999999999929</v>
      </c>
      <c r="T6">
        <v>-0.10000000000000053</v>
      </c>
      <c r="U6">
        <v>-9.9999999999999645E-2</v>
      </c>
      <c r="V6">
        <v>0</v>
      </c>
      <c r="W6">
        <v>9.9999999999999645E-2</v>
      </c>
      <c r="X6">
        <v>0</v>
      </c>
      <c r="Y6">
        <v>0</v>
      </c>
      <c r="Z6">
        <v>0.29999999999999982</v>
      </c>
      <c r="AA6">
        <v>0</v>
      </c>
      <c r="AB6">
        <v>-0.19999999999999929</v>
      </c>
      <c r="AC6">
        <v>-0.10000000000000053</v>
      </c>
      <c r="AD6">
        <v>-9.9999999999999645E-2</v>
      </c>
      <c r="AE6">
        <v>-0.10000000000000053</v>
      </c>
      <c r="AF6">
        <v>0</v>
      </c>
      <c r="AG6">
        <v>-0.19999999999999929</v>
      </c>
      <c r="AH6">
        <v>9.9999999999999645E-2</v>
      </c>
      <c r="AI6">
        <v>0</v>
      </c>
      <c r="AJ6">
        <v>9.9999999999999645E-2</v>
      </c>
      <c r="AK6">
        <v>0</v>
      </c>
      <c r="AL6">
        <v>0.10000000000000053</v>
      </c>
      <c r="AM6">
        <v>-0.20000000000000018</v>
      </c>
      <c r="AN6">
        <v>0</v>
      </c>
      <c r="AO6">
        <v>-9.9999999999999645E-2</v>
      </c>
      <c r="AP6">
        <v>-0.20000000000000018</v>
      </c>
      <c r="AQ6">
        <v>0</v>
      </c>
      <c r="AR6">
        <v>0</v>
      </c>
      <c r="AS6">
        <v>-0.10000000000000053</v>
      </c>
      <c r="AT6">
        <v>-9.9999999999999645E-2</v>
      </c>
      <c r="AU6">
        <v>0.20000000000000018</v>
      </c>
      <c r="AV6">
        <v>9.9999999999999645E-2</v>
      </c>
      <c r="AW6">
        <v>0.10000000000000053</v>
      </c>
      <c r="AX6">
        <v>0</v>
      </c>
      <c r="AY6">
        <v>0</v>
      </c>
      <c r="AZ6">
        <v>-0.20000000000000018</v>
      </c>
      <c r="BA6">
        <v>0</v>
      </c>
      <c r="BB6">
        <v>-0.10000000000000053</v>
      </c>
      <c r="BC6">
        <v>-0.19999999999999929</v>
      </c>
      <c r="BD6">
        <v>9.9999999999999645E-2</v>
      </c>
      <c r="BE6">
        <v>-0.20000000000000018</v>
      </c>
      <c r="BF6">
        <v>0.20000000000000018</v>
      </c>
      <c r="BG6">
        <v>9.9999999999999645E-2</v>
      </c>
      <c r="BH6">
        <v>0</v>
      </c>
      <c r="BI6">
        <v>0</v>
      </c>
      <c r="BJ6">
        <v>0</v>
      </c>
      <c r="BK6">
        <v>0</v>
      </c>
      <c r="BL6">
        <v>0</v>
      </c>
      <c r="BM6">
        <v>1.2000000000000002</v>
      </c>
      <c r="BN6">
        <v>0.29999999999999982</v>
      </c>
      <c r="BO6">
        <v>0.10000000000000053</v>
      </c>
      <c r="BP6">
        <v>9.9999999999999645E-2</v>
      </c>
      <c r="BQ6">
        <v>0.10000000000000053</v>
      </c>
      <c r="BR6">
        <v>0</v>
      </c>
      <c r="BS6">
        <v>-0.10000000000000053</v>
      </c>
      <c r="BT6">
        <v>-0.20000000000000018</v>
      </c>
      <c r="BU6">
        <v>-0.19999999999999929</v>
      </c>
      <c r="BV6">
        <v>-0.10000000000000053</v>
      </c>
      <c r="BW6">
        <v>-9.9999999999999645E-2</v>
      </c>
      <c r="BX6">
        <v>-0.29999999999999982</v>
      </c>
      <c r="BY6">
        <v>-0.20000000000000018</v>
      </c>
      <c r="BZ6">
        <v>-0.29999999999999982</v>
      </c>
      <c r="CA6">
        <v>-0.10000000000000053</v>
      </c>
      <c r="CB6">
        <v>-0.20000000000000018</v>
      </c>
      <c r="CC6">
        <v>-0.19999999999999929</v>
      </c>
      <c r="CD6">
        <v>-0.10000000000000053</v>
      </c>
      <c r="CE6">
        <v>0</v>
      </c>
      <c r="CF6">
        <v>0</v>
      </c>
      <c r="CG6">
        <v>0</v>
      </c>
      <c r="CH6">
        <v>0.10000000000000053</v>
      </c>
      <c r="CI6">
        <v>-0.30000000000000071</v>
      </c>
      <c r="CJ6">
        <v>0</v>
      </c>
      <c r="CK6">
        <v>-9.9999999999999645E-2</v>
      </c>
      <c r="CL6">
        <v>-0.10000000000000009</v>
      </c>
      <c r="CM6">
        <v>0.10000000000000009</v>
      </c>
      <c r="CN6">
        <v>-0.10000000000000009</v>
      </c>
      <c r="CO6">
        <v>-0.10000000000000009</v>
      </c>
      <c r="CP6">
        <v>0.10000000000000009</v>
      </c>
      <c r="CQ6">
        <v>0</v>
      </c>
      <c r="CR6">
        <v>-0.19999999999999973</v>
      </c>
      <c r="CS6">
        <v>0</v>
      </c>
      <c r="CT6">
        <v>-0.10000000000000009</v>
      </c>
      <c r="CU6">
        <v>-0.10999999999999988</v>
      </c>
      <c r="CV6">
        <v>9.9999999999997868E-3</v>
      </c>
      <c r="CW6">
        <v>-0.20000000000000018</v>
      </c>
      <c r="CX6">
        <v>-0.12999999999999989</v>
      </c>
      <c r="CY6">
        <v>-6.999999999999984E-2</v>
      </c>
      <c r="CZ6">
        <v>-0.10000000000000009</v>
      </c>
      <c r="DA6">
        <v>-4.0000000000000036E-2</v>
      </c>
      <c r="DB6">
        <v>6.999999999999984E-2</v>
      </c>
      <c r="DC6">
        <v>-0.11999999999999966</v>
      </c>
      <c r="DD6">
        <v>-1.0000000000000231E-2</v>
      </c>
      <c r="DE6">
        <v>0.10000000000000009</v>
      </c>
      <c r="DF6">
        <v>-0.10000000000000009</v>
      </c>
      <c r="DG6">
        <v>-0.10999999999999988</v>
      </c>
      <c r="DH6">
        <v>-8.9999999999999858E-2</v>
      </c>
      <c r="DI6">
        <v>-0.12000000000000011</v>
      </c>
      <c r="DJ6">
        <v>4.9999999999999822E-2</v>
      </c>
      <c r="DK6">
        <v>-0.19</v>
      </c>
      <c r="DL6">
        <v>-4.0000000000000036E-2</v>
      </c>
      <c r="DM6">
        <v>0</v>
      </c>
      <c r="DN6">
        <v>-9.9999999999997868E-3</v>
      </c>
      <c r="DO6">
        <v>-9.0000000000000302E-2</v>
      </c>
      <c r="DP6">
        <v>0</v>
      </c>
      <c r="DQ6">
        <v>0</v>
      </c>
      <c r="DR6">
        <v>0.10000000000000009</v>
      </c>
      <c r="DS6">
        <v>0</v>
      </c>
      <c r="DT6">
        <v>-0.10000000000000009</v>
      </c>
      <c r="DU6">
        <v>0</v>
      </c>
      <c r="DV6">
        <v>-9.9999999999999645E-2</v>
      </c>
      <c r="DW6" t="e">
        <v>#VALUE!</v>
      </c>
      <c r="DX6" t="e">
        <v>#VALUE!</v>
      </c>
      <c r="DY6">
        <v>-0.10000000000000009</v>
      </c>
      <c r="DZ6">
        <v>0.10000000000000009</v>
      </c>
      <c r="EA6">
        <v>0</v>
      </c>
      <c r="EB6">
        <v>-0.10000000000000009</v>
      </c>
      <c r="EC6">
        <v>0.10000000000000009</v>
      </c>
    </row>
    <row r="25" spans="1:1">
      <c r="A25" t="s">
        <v>91</v>
      </c>
    </row>
  </sheetData>
  <mergeCells count="11">
    <mergeCell ref="BJ2:BU2"/>
    <mergeCell ref="B2:M2"/>
    <mergeCell ref="N2:Y2"/>
    <mergeCell ref="Z2:AK2"/>
    <mergeCell ref="AL2:AW2"/>
    <mergeCell ref="AX2:BI2"/>
    <mergeCell ref="BV2:CG2"/>
    <mergeCell ref="CH2:CS2"/>
    <mergeCell ref="CT2:DE2"/>
    <mergeCell ref="DF2:DQ2"/>
    <mergeCell ref="DR2:E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788E4-8528-4842-BFE5-7D1F642245D0}">
  <dimension ref="A1:EF4"/>
  <sheetViews>
    <sheetView topLeftCell="AK1" zoomScale="206" workbookViewId="0">
      <selection activeCell="H10" sqref="H10"/>
    </sheetView>
  </sheetViews>
  <sheetFormatPr baseColWidth="10" defaultRowHeight="16"/>
  <cols>
    <col min="1" max="1" width="12.1640625" bestFit="1" customWidth="1"/>
    <col min="2" max="2" width="6.1640625" bestFit="1" customWidth="1"/>
    <col min="3" max="3" width="7.1640625" bestFit="1" customWidth="1"/>
    <col min="4" max="4" width="5" bestFit="1" customWidth="1"/>
    <col min="5" max="5" width="6.1640625" bestFit="1" customWidth="1"/>
    <col min="6" max="8" width="5" bestFit="1" customWidth="1"/>
    <col min="9" max="9" width="5.5" bestFit="1" customWidth="1"/>
    <col min="10" max="10" width="7.6640625" bestFit="1" customWidth="1"/>
    <col min="11" max="11" width="6.83203125" bestFit="1" customWidth="1"/>
    <col min="12" max="12" width="6.33203125" bestFit="1" customWidth="1"/>
    <col min="13" max="13" width="7" bestFit="1" customWidth="1"/>
    <col min="14" max="14" width="6.1640625" bestFit="1" customWidth="1"/>
    <col min="15" max="15" width="7.1640625" bestFit="1" customWidth="1"/>
    <col min="16" max="16" width="4.6640625" bestFit="1" customWidth="1"/>
    <col min="17" max="17" width="6.1640625" bestFit="1" customWidth="1"/>
    <col min="18" max="18" width="4.1640625" bestFit="1" customWidth="1"/>
    <col min="19" max="20" width="5" bestFit="1" customWidth="1"/>
    <col min="21" max="21" width="5.5" bestFit="1" customWidth="1"/>
    <col min="22" max="22" width="7.6640625" bestFit="1" customWidth="1"/>
    <col min="23" max="23" width="6.83203125" bestFit="1" customWidth="1"/>
    <col min="24" max="24" width="6.33203125" bestFit="1" customWidth="1"/>
    <col min="25" max="25" width="7" bestFit="1" customWidth="1"/>
    <col min="26" max="26" width="6.1640625" bestFit="1" customWidth="1"/>
    <col min="27" max="27" width="7.1640625" bestFit="1" customWidth="1"/>
    <col min="28" max="28" width="4.6640625" bestFit="1" customWidth="1"/>
    <col min="29" max="29" width="6.1640625" bestFit="1" customWidth="1"/>
    <col min="30" max="30" width="4.1640625" bestFit="1" customWidth="1"/>
    <col min="31" max="32" width="5" bestFit="1" customWidth="1"/>
    <col min="33" max="33" width="5.5" bestFit="1" customWidth="1"/>
    <col min="34" max="34" width="7.6640625" bestFit="1" customWidth="1"/>
    <col min="35" max="35" width="6.83203125" bestFit="1" customWidth="1"/>
    <col min="36" max="36" width="6.33203125" bestFit="1" customWidth="1"/>
    <col min="37" max="37" width="7" bestFit="1" customWidth="1"/>
    <col min="38" max="38" width="6.1640625" bestFit="1" customWidth="1"/>
    <col min="39" max="39" width="7.1640625" bestFit="1" customWidth="1"/>
    <col min="40" max="40" width="4.6640625" bestFit="1" customWidth="1"/>
    <col min="41" max="41" width="6.1640625" bestFit="1" customWidth="1"/>
    <col min="42" max="42" width="4.1640625" bestFit="1" customWidth="1"/>
    <col min="43" max="44" width="5" bestFit="1" customWidth="1"/>
    <col min="45" max="45" width="5.5" bestFit="1" customWidth="1"/>
    <col min="46" max="46" width="7.6640625" bestFit="1" customWidth="1"/>
    <col min="47" max="47" width="6.83203125" bestFit="1" customWidth="1"/>
    <col min="48" max="48" width="6.33203125" bestFit="1" customWidth="1"/>
    <col min="49" max="49" width="7" bestFit="1" customWidth="1"/>
    <col min="50" max="50" width="6.1640625" bestFit="1" customWidth="1"/>
    <col min="51" max="51" width="7.1640625" bestFit="1" customWidth="1"/>
    <col min="52" max="52" width="4.6640625" bestFit="1" customWidth="1"/>
    <col min="53" max="53" width="6.1640625" bestFit="1" customWidth="1"/>
    <col min="54" max="54" width="4.1640625" bestFit="1" customWidth="1"/>
    <col min="55" max="56" width="5" bestFit="1" customWidth="1"/>
    <col min="57" max="57" width="5.5" bestFit="1" customWidth="1"/>
    <col min="58" max="58" width="7.6640625" bestFit="1" customWidth="1"/>
    <col min="59" max="59" width="6.83203125" bestFit="1" customWidth="1"/>
    <col min="60" max="60" width="6.33203125" bestFit="1" customWidth="1"/>
    <col min="61" max="61" width="7" bestFit="1" customWidth="1"/>
    <col min="62" max="62" width="6.1640625" bestFit="1" customWidth="1"/>
    <col min="63" max="63" width="7.1640625" bestFit="1" customWidth="1"/>
    <col min="64" max="64" width="4.6640625" bestFit="1" customWidth="1"/>
    <col min="65" max="65" width="6.1640625" bestFit="1" customWidth="1"/>
    <col min="66" max="66" width="4.1640625" bestFit="1" customWidth="1"/>
    <col min="67" max="68" width="5" bestFit="1" customWidth="1"/>
    <col min="69" max="69" width="5.5" bestFit="1" customWidth="1"/>
    <col min="70" max="70" width="7.6640625" bestFit="1" customWidth="1"/>
    <col min="71" max="71" width="6.83203125" bestFit="1" customWidth="1"/>
    <col min="72" max="72" width="6.33203125" bestFit="1" customWidth="1"/>
    <col min="73" max="73" width="7" bestFit="1" customWidth="1"/>
    <col min="74" max="74" width="6.1640625" bestFit="1" customWidth="1"/>
    <col min="75" max="75" width="7.1640625" bestFit="1" customWidth="1"/>
    <col min="76" max="76" width="4.6640625" bestFit="1" customWidth="1"/>
    <col min="77" max="77" width="6.1640625" bestFit="1" customWidth="1"/>
    <col min="78" max="78" width="4.1640625" bestFit="1" customWidth="1"/>
    <col min="79" max="80" width="5" bestFit="1" customWidth="1"/>
    <col min="81" max="81" width="5.5" bestFit="1" customWidth="1"/>
    <col min="82" max="82" width="7.6640625" bestFit="1" customWidth="1"/>
    <col min="83" max="83" width="6.83203125" bestFit="1" customWidth="1"/>
    <col min="84" max="84" width="6.33203125" bestFit="1" customWidth="1"/>
    <col min="85" max="85" width="7" bestFit="1" customWidth="1"/>
    <col min="86" max="86" width="6.1640625" bestFit="1" customWidth="1"/>
    <col min="87" max="87" width="7.1640625" bestFit="1" customWidth="1"/>
    <col min="88" max="88" width="5" bestFit="1" customWidth="1"/>
    <col min="89" max="89" width="6.1640625" bestFit="1" customWidth="1"/>
    <col min="90" max="92" width="5" bestFit="1" customWidth="1"/>
    <col min="93" max="93" width="5.5" bestFit="1" customWidth="1"/>
    <col min="94" max="94" width="7.6640625" bestFit="1" customWidth="1"/>
    <col min="95" max="95" width="6.83203125" bestFit="1" customWidth="1"/>
    <col min="96" max="96" width="6.33203125" bestFit="1" customWidth="1"/>
    <col min="97" max="97" width="7" bestFit="1" customWidth="1"/>
    <col min="98" max="98" width="6.1640625" bestFit="1" customWidth="1"/>
    <col min="99" max="99" width="7.1640625" bestFit="1" customWidth="1"/>
    <col min="100" max="100" width="4.6640625" bestFit="1" customWidth="1"/>
    <col min="101" max="101" width="6.1640625" bestFit="1" customWidth="1"/>
    <col min="102" max="102" width="4.1640625" bestFit="1" customWidth="1"/>
    <col min="103" max="104" width="5" bestFit="1" customWidth="1"/>
    <col min="105" max="105" width="5.5" bestFit="1" customWidth="1"/>
    <col min="106" max="106" width="7.6640625" bestFit="1" customWidth="1"/>
    <col min="107" max="107" width="6.83203125" bestFit="1" customWidth="1"/>
    <col min="108" max="108" width="6.33203125" bestFit="1" customWidth="1"/>
    <col min="109" max="109" width="7" bestFit="1" customWidth="1"/>
    <col min="110" max="110" width="6.1640625" bestFit="1" customWidth="1"/>
    <col min="111" max="111" width="7.1640625" bestFit="1" customWidth="1"/>
    <col min="112" max="112" width="4.6640625" bestFit="1" customWidth="1"/>
    <col min="113" max="113" width="6.1640625" bestFit="1" customWidth="1"/>
    <col min="114" max="114" width="4.1640625" bestFit="1" customWidth="1"/>
    <col min="115" max="116" width="5" bestFit="1" customWidth="1"/>
    <col min="117" max="117" width="5.5" bestFit="1" customWidth="1"/>
    <col min="118" max="118" width="7.6640625" bestFit="1" customWidth="1"/>
    <col min="119" max="119" width="6.83203125" bestFit="1" customWidth="1"/>
    <col min="120" max="120" width="6.33203125" bestFit="1" customWidth="1"/>
    <col min="121" max="121" width="7" bestFit="1" customWidth="1"/>
    <col min="122" max="122" width="6.1640625" bestFit="1" customWidth="1"/>
    <col min="123" max="123" width="7.1640625" bestFit="1" customWidth="1"/>
    <col min="124" max="124" width="5" bestFit="1" customWidth="1"/>
    <col min="125" max="125" width="6.1640625" bestFit="1" customWidth="1"/>
    <col min="126" max="126" width="4.1640625" bestFit="1" customWidth="1"/>
    <col min="127" max="128" width="5" bestFit="1" customWidth="1"/>
    <col min="129" max="129" width="5.5" bestFit="1" customWidth="1"/>
    <col min="130" max="130" width="7.6640625" bestFit="1" customWidth="1"/>
    <col min="131" max="131" width="6.83203125" bestFit="1" customWidth="1"/>
    <col min="132" max="132" width="6.33203125" bestFit="1" customWidth="1"/>
    <col min="133" max="133" width="7" bestFit="1" customWidth="1"/>
    <col min="134" max="136" width="4.1640625" bestFit="1" customWidth="1"/>
  </cols>
  <sheetData>
    <row r="1" spans="1:136" s="2" customFormat="1" ht="14"/>
    <row r="2" spans="1:136" s="2" customFormat="1" ht="14">
      <c r="A2" s="2" t="s">
        <v>93</v>
      </c>
      <c r="B2" s="102">
        <v>2015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>
        <v>2016</v>
      </c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>
        <v>2017</v>
      </c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>
        <v>2018</v>
      </c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>
        <v>2019</v>
      </c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>
        <v>2020</v>
      </c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>
        <v>2021</v>
      </c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>
        <v>2022</v>
      </c>
      <c r="CI2" s="102"/>
      <c r="CJ2" s="102"/>
      <c r="CK2" s="102"/>
      <c r="CL2" s="102"/>
      <c r="CM2" s="102"/>
      <c r="CN2" s="102"/>
      <c r="CO2" s="102"/>
      <c r="CP2" s="102"/>
      <c r="CQ2" s="102"/>
      <c r="CR2" s="102"/>
      <c r="CS2" s="102"/>
      <c r="CT2" s="102">
        <v>2023</v>
      </c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>
        <v>2024</v>
      </c>
      <c r="DG2" s="102"/>
      <c r="DH2" s="102"/>
      <c r="DI2" s="102"/>
      <c r="DJ2" s="102"/>
      <c r="DK2" s="102"/>
      <c r="DL2" s="102"/>
      <c r="DM2" s="102"/>
      <c r="DN2" s="102"/>
      <c r="DO2" s="102"/>
      <c r="DP2" s="102"/>
      <c r="DQ2" s="102"/>
      <c r="DR2" s="102">
        <v>2025</v>
      </c>
      <c r="DS2" s="102"/>
      <c r="DT2" s="102"/>
      <c r="DU2" s="102"/>
      <c r="DV2" s="102"/>
      <c r="DW2" s="102"/>
      <c r="DX2" s="102"/>
      <c r="DY2" s="102"/>
      <c r="DZ2" s="102"/>
      <c r="EA2" s="102"/>
      <c r="EB2" s="102"/>
      <c r="EC2" s="102"/>
    </row>
    <row r="3" spans="1:136" s="2" customFormat="1" ht="30">
      <c r="A3" s="2" t="s">
        <v>92</v>
      </c>
      <c r="B3" s="8" t="s">
        <v>79</v>
      </c>
      <c r="C3" s="8" t="s">
        <v>78</v>
      </c>
      <c r="D3" s="8" t="s">
        <v>89</v>
      </c>
      <c r="E3" s="8" t="s">
        <v>88</v>
      </c>
      <c r="F3" s="8" t="s">
        <v>87</v>
      </c>
      <c r="G3" s="8" t="s">
        <v>86</v>
      </c>
      <c r="H3" s="8" t="s">
        <v>85</v>
      </c>
      <c r="I3" s="8" t="s">
        <v>84</v>
      </c>
      <c r="J3" s="8" t="s">
        <v>83</v>
      </c>
      <c r="K3" s="8" t="s">
        <v>82</v>
      </c>
      <c r="L3" s="8" t="s">
        <v>81</v>
      </c>
      <c r="M3" s="8" t="s">
        <v>80</v>
      </c>
      <c r="N3" s="8" t="s">
        <v>79</v>
      </c>
      <c r="O3" s="8" t="s">
        <v>78</v>
      </c>
      <c r="P3" s="8" t="s">
        <v>89</v>
      </c>
      <c r="Q3" s="8" t="s">
        <v>88</v>
      </c>
      <c r="R3" s="8" t="s">
        <v>87</v>
      </c>
      <c r="S3" s="8" t="s">
        <v>86</v>
      </c>
      <c r="T3" s="8" t="s">
        <v>85</v>
      </c>
      <c r="U3" s="8" t="s">
        <v>84</v>
      </c>
      <c r="V3" s="8" t="s">
        <v>83</v>
      </c>
      <c r="W3" s="8" t="s">
        <v>82</v>
      </c>
      <c r="X3" s="8" t="s">
        <v>81</v>
      </c>
      <c r="Y3" s="8" t="s">
        <v>80</v>
      </c>
      <c r="Z3" s="8" t="s">
        <v>79</v>
      </c>
      <c r="AA3" s="8" t="s">
        <v>78</v>
      </c>
      <c r="AB3" s="8" t="s">
        <v>89</v>
      </c>
      <c r="AC3" s="8" t="s">
        <v>88</v>
      </c>
      <c r="AD3" s="8" t="s">
        <v>87</v>
      </c>
      <c r="AE3" s="8" t="s">
        <v>86</v>
      </c>
      <c r="AF3" s="8" t="s">
        <v>85</v>
      </c>
      <c r="AG3" s="8" t="s">
        <v>84</v>
      </c>
      <c r="AH3" s="8" t="s">
        <v>83</v>
      </c>
      <c r="AI3" s="8" t="s">
        <v>82</v>
      </c>
      <c r="AJ3" s="8" t="s">
        <v>81</v>
      </c>
      <c r="AK3" s="8" t="s">
        <v>80</v>
      </c>
      <c r="AL3" s="8" t="s">
        <v>79</v>
      </c>
      <c r="AM3" s="8" t="s">
        <v>78</v>
      </c>
      <c r="AN3" s="8" t="s">
        <v>89</v>
      </c>
      <c r="AO3" s="8" t="s">
        <v>88</v>
      </c>
      <c r="AP3" s="8" t="s">
        <v>87</v>
      </c>
      <c r="AQ3" s="8" t="s">
        <v>86</v>
      </c>
      <c r="AR3" s="8" t="s">
        <v>85</v>
      </c>
      <c r="AS3" s="8" t="s">
        <v>84</v>
      </c>
      <c r="AT3" s="8" t="s">
        <v>83</v>
      </c>
      <c r="AU3" s="8" t="s">
        <v>82</v>
      </c>
      <c r="AV3" s="8" t="s">
        <v>81</v>
      </c>
      <c r="AW3" s="8" t="s">
        <v>80</v>
      </c>
      <c r="AX3" s="8" t="s">
        <v>79</v>
      </c>
      <c r="AY3" s="8" t="s">
        <v>78</v>
      </c>
      <c r="AZ3" s="8" t="s">
        <v>89</v>
      </c>
      <c r="BA3" s="8" t="s">
        <v>88</v>
      </c>
      <c r="BB3" s="8" t="s">
        <v>87</v>
      </c>
      <c r="BC3" s="8" t="s">
        <v>86</v>
      </c>
      <c r="BD3" s="8" t="s">
        <v>85</v>
      </c>
      <c r="BE3" s="8" t="s">
        <v>84</v>
      </c>
      <c r="BF3" s="8" t="s">
        <v>83</v>
      </c>
      <c r="BG3" s="8" t="s">
        <v>82</v>
      </c>
      <c r="BH3" s="8" t="s">
        <v>81</v>
      </c>
      <c r="BI3" s="8" t="s">
        <v>80</v>
      </c>
      <c r="BJ3" s="8" t="s">
        <v>79</v>
      </c>
      <c r="BK3" s="8" t="s">
        <v>78</v>
      </c>
      <c r="BL3" s="8" t="s">
        <v>89</v>
      </c>
      <c r="BM3" s="8" t="s">
        <v>88</v>
      </c>
      <c r="BN3" s="8" t="s">
        <v>87</v>
      </c>
      <c r="BO3" s="8" t="s">
        <v>86</v>
      </c>
      <c r="BP3" s="8" t="s">
        <v>85</v>
      </c>
      <c r="BQ3" s="8" t="s">
        <v>84</v>
      </c>
      <c r="BR3" s="8" t="s">
        <v>83</v>
      </c>
      <c r="BS3" s="8" t="s">
        <v>82</v>
      </c>
      <c r="BT3" s="8" t="s">
        <v>81</v>
      </c>
      <c r="BU3" s="8" t="s">
        <v>80</v>
      </c>
      <c r="BV3" s="8" t="s">
        <v>79</v>
      </c>
      <c r="BW3" s="8" t="s">
        <v>78</v>
      </c>
      <c r="BX3" s="8" t="s">
        <v>89</v>
      </c>
      <c r="BY3" s="8" t="s">
        <v>88</v>
      </c>
      <c r="BZ3" s="8" t="s">
        <v>87</v>
      </c>
      <c r="CA3" s="8" t="s">
        <v>86</v>
      </c>
      <c r="CB3" s="8" t="s">
        <v>85</v>
      </c>
      <c r="CC3" s="8" t="s">
        <v>84</v>
      </c>
      <c r="CD3" s="8" t="s">
        <v>83</v>
      </c>
      <c r="CE3" s="8" t="s">
        <v>82</v>
      </c>
      <c r="CF3" s="8" t="s">
        <v>81</v>
      </c>
      <c r="CG3" s="8" t="s">
        <v>80</v>
      </c>
      <c r="CH3" s="8" t="s">
        <v>79</v>
      </c>
      <c r="CI3" s="8" t="s">
        <v>78</v>
      </c>
      <c r="CJ3" s="8" t="s">
        <v>89</v>
      </c>
      <c r="CK3" s="8" t="s">
        <v>88</v>
      </c>
      <c r="CL3" s="8" t="s">
        <v>87</v>
      </c>
      <c r="CM3" s="8" t="s">
        <v>86</v>
      </c>
      <c r="CN3" s="8" t="s">
        <v>85</v>
      </c>
      <c r="CO3" s="8" t="s">
        <v>84</v>
      </c>
      <c r="CP3" s="8" t="s">
        <v>83</v>
      </c>
      <c r="CQ3" s="8" t="s">
        <v>82</v>
      </c>
      <c r="CR3" s="8" t="s">
        <v>81</v>
      </c>
      <c r="CS3" s="8" t="s">
        <v>80</v>
      </c>
      <c r="CT3" s="8" t="s">
        <v>79</v>
      </c>
      <c r="CU3" s="8" t="s">
        <v>78</v>
      </c>
      <c r="CV3" s="8" t="s">
        <v>89</v>
      </c>
      <c r="CW3" s="8" t="s">
        <v>88</v>
      </c>
      <c r="CX3" s="8" t="s">
        <v>87</v>
      </c>
      <c r="CY3" s="8" t="s">
        <v>86</v>
      </c>
      <c r="CZ3" s="8" t="s">
        <v>85</v>
      </c>
      <c r="DA3" s="8" t="s">
        <v>84</v>
      </c>
      <c r="DB3" s="8" t="s">
        <v>83</v>
      </c>
      <c r="DC3" s="8" t="s">
        <v>82</v>
      </c>
      <c r="DD3" s="8" t="s">
        <v>81</v>
      </c>
      <c r="DE3" s="8" t="s">
        <v>80</v>
      </c>
      <c r="DF3" s="8" t="s">
        <v>79</v>
      </c>
      <c r="DG3" s="8" t="s">
        <v>78</v>
      </c>
      <c r="DH3" s="8" t="s">
        <v>89</v>
      </c>
      <c r="DI3" s="8" t="s">
        <v>88</v>
      </c>
      <c r="DJ3" s="8" t="s">
        <v>87</v>
      </c>
      <c r="DK3" s="8" t="s">
        <v>86</v>
      </c>
      <c r="DL3" s="8" t="s">
        <v>85</v>
      </c>
      <c r="DM3" s="8" t="s">
        <v>84</v>
      </c>
      <c r="DN3" s="8" t="s">
        <v>83</v>
      </c>
      <c r="DO3" s="8" t="s">
        <v>82</v>
      </c>
      <c r="DP3" s="8" t="s">
        <v>81</v>
      </c>
      <c r="DQ3" s="8" t="s">
        <v>80</v>
      </c>
      <c r="DR3" s="8" t="s">
        <v>79</v>
      </c>
      <c r="DS3" s="8" t="s">
        <v>78</v>
      </c>
      <c r="DT3" s="8" t="s">
        <v>89</v>
      </c>
      <c r="DU3" s="8" t="s">
        <v>88</v>
      </c>
      <c r="DV3" s="8" t="s">
        <v>87</v>
      </c>
      <c r="DW3" s="8" t="s">
        <v>86</v>
      </c>
      <c r="DX3" s="8" t="s">
        <v>85</v>
      </c>
      <c r="DY3" s="8" t="s">
        <v>84</v>
      </c>
      <c r="DZ3" s="8" t="s">
        <v>83</v>
      </c>
      <c r="EA3" s="8" t="s">
        <v>82</v>
      </c>
      <c r="EB3" s="8" t="s">
        <v>81</v>
      </c>
      <c r="EC3" s="8" t="s">
        <v>80</v>
      </c>
    </row>
    <row r="4" spans="1:136" s="2" customFormat="1" ht="14">
      <c r="A4" s="2" t="s">
        <v>97</v>
      </c>
      <c r="B4" s="21">
        <v>14.96</v>
      </c>
      <c r="C4" s="21">
        <v>16.7</v>
      </c>
      <c r="D4" s="21">
        <v>16.899999999999999</v>
      </c>
      <c r="E4" s="21">
        <v>16.399999999999999</v>
      </c>
      <c r="F4" s="21">
        <v>15.8</v>
      </c>
      <c r="G4" s="21">
        <v>15.3</v>
      </c>
      <c r="H4" s="21">
        <v>15.6</v>
      </c>
      <c r="I4" s="21">
        <v>15.8</v>
      </c>
      <c r="J4" s="21">
        <v>15.7</v>
      </c>
      <c r="K4" s="21">
        <v>15.6</v>
      </c>
      <c r="L4" s="21">
        <v>15</v>
      </c>
      <c r="M4" s="21">
        <v>12.9</v>
      </c>
      <c r="N4" s="21">
        <v>9.8000000000000007</v>
      </c>
      <c r="O4" s="21">
        <v>8.1</v>
      </c>
      <c r="P4" s="21">
        <v>7.3</v>
      </c>
      <c r="Q4" s="21">
        <v>7.3</v>
      </c>
      <c r="R4" s="21">
        <v>7.3</v>
      </c>
      <c r="S4" s="21">
        <v>7.5</v>
      </c>
      <c r="T4" s="21">
        <v>7.2</v>
      </c>
      <c r="U4" s="21">
        <v>6.9</v>
      </c>
      <c r="V4" s="21">
        <v>6.4</v>
      </c>
      <c r="W4" s="21">
        <v>6.1</v>
      </c>
      <c r="X4" s="21">
        <v>5.8</v>
      </c>
      <c r="Y4" s="21">
        <v>5.4</v>
      </c>
      <c r="Z4" s="21">
        <v>5</v>
      </c>
      <c r="AA4" s="21">
        <v>4.5999999999999996</v>
      </c>
      <c r="AB4" s="21">
        <v>4.3</v>
      </c>
      <c r="AC4" s="21">
        <v>4.0999999999999996</v>
      </c>
      <c r="AD4" s="21">
        <v>4.0999999999999996</v>
      </c>
      <c r="AE4" s="21">
        <v>4.4000000000000004</v>
      </c>
      <c r="AF4" s="21">
        <v>3.9</v>
      </c>
      <c r="AG4" s="21">
        <v>3.3</v>
      </c>
      <c r="AH4" s="21">
        <v>3</v>
      </c>
      <c r="AI4" s="21">
        <v>2.7</v>
      </c>
      <c r="AJ4" s="21">
        <v>2.5</v>
      </c>
      <c r="AK4" s="21">
        <v>2.5</v>
      </c>
      <c r="AL4" s="21">
        <v>2.2000000000000002</v>
      </c>
      <c r="AM4" s="21">
        <v>2.2000000000000002</v>
      </c>
      <c r="AN4" s="21">
        <v>2.4</v>
      </c>
      <c r="AO4" s="21">
        <v>2.4</v>
      </c>
      <c r="AP4" s="21">
        <v>2.4</v>
      </c>
      <c r="AQ4" s="21">
        <v>2.2999999999999998</v>
      </c>
      <c r="AR4" s="21">
        <v>2.5</v>
      </c>
      <c r="AS4" s="21">
        <v>3.1</v>
      </c>
      <c r="AT4" s="21">
        <v>3.4</v>
      </c>
      <c r="AU4" s="21">
        <v>3.5</v>
      </c>
      <c r="AV4" s="21">
        <v>3.8</v>
      </c>
      <c r="AW4" s="21">
        <v>4.3</v>
      </c>
      <c r="AX4" s="21">
        <v>5</v>
      </c>
      <c r="AY4" s="21">
        <v>5.2</v>
      </c>
      <c r="AZ4" s="21">
        <v>5.3</v>
      </c>
      <c r="BA4" s="21">
        <v>5.2</v>
      </c>
      <c r="BB4" s="21">
        <v>5.0999999999999996</v>
      </c>
      <c r="BC4" s="21">
        <v>4.7</v>
      </c>
      <c r="BD4" s="21">
        <v>4.5999999999999996</v>
      </c>
      <c r="BE4" s="21">
        <v>4.3</v>
      </c>
      <c r="BF4" s="21">
        <v>4</v>
      </c>
      <c r="BG4" s="21">
        <v>3.8</v>
      </c>
      <c r="BH4" s="21">
        <v>3.5</v>
      </c>
      <c r="BI4" s="21">
        <v>3</v>
      </c>
      <c r="BJ4" s="21">
        <v>2.4</v>
      </c>
      <c r="BK4" s="21">
        <v>2.2999999999999998</v>
      </c>
      <c r="BL4" s="21">
        <v>2.5</v>
      </c>
      <c r="BM4" s="21">
        <v>3.1</v>
      </c>
      <c r="BN4" s="21">
        <v>3</v>
      </c>
      <c r="BO4" s="21">
        <v>3.2</v>
      </c>
      <c r="BP4" s="21">
        <v>3.4</v>
      </c>
      <c r="BQ4" s="21">
        <v>3.6</v>
      </c>
      <c r="BR4" s="21">
        <v>3.7</v>
      </c>
      <c r="BS4" s="21">
        <v>4</v>
      </c>
      <c r="BT4" s="21">
        <v>4.4000000000000004</v>
      </c>
      <c r="BU4" s="21">
        <v>4.9000000000000004</v>
      </c>
      <c r="BV4" s="21">
        <v>5.2</v>
      </c>
      <c r="BW4" s="21">
        <v>5.7</v>
      </c>
      <c r="BX4" s="21">
        <v>5.8</v>
      </c>
      <c r="BY4" s="21">
        <v>5.5</v>
      </c>
      <c r="BZ4" s="21">
        <v>6</v>
      </c>
      <c r="CA4" s="21">
        <v>6.5</v>
      </c>
      <c r="CB4" s="21">
        <v>6.5</v>
      </c>
      <c r="CC4" s="21">
        <v>6.68</v>
      </c>
      <c r="CD4" s="21">
        <v>7.4</v>
      </c>
      <c r="CE4" s="21">
        <v>8.1300000000000008</v>
      </c>
      <c r="CF4" s="21">
        <v>8.4</v>
      </c>
      <c r="CG4" s="21">
        <v>8.39</v>
      </c>
      <c r="CH4" s="21">
        <v>8.73</v>
      </c>
      <c r="CI4" s="21">
        <v>9.15</v>
      </c>
      <c r="CJ4" s="21">
        <v>16.690000000000001</v>
      </c>
      <c r="CK4" s="21">
        <v>17.829999999999998</v>
      </c>
      <c r="CL4" s="21">
        <v>17.100000000000001</v>
      </c>
      <c r="CM4" s="21">
        <v>15.9</v>
      </c>
      <c r="CN4" s="21">
        <v>15.1</v>
      </c>
      <c r="CO4" s="21">
        <v>14.3</v>
      </c>
      <c r="CP4" s="21">
        <v>13.68</v>
      </c>
      <c r="CQ4" s="21">
        <v>12.63</v>
      </c>
      <c r="CR4" s="21">
        <v>11.98</v>
      </c>
      <c r="CS4" s="21">
        <v>11.94</v>
      </c>
      <c r="CT4" s="21">
        <v>11.77</v>
      </c>
      <c r="CU4" s="21">
        <v>10.99</v>
      </c>
      <c r="CV4" s="21">
        <v>3.51</v>
      </c>
      <c r="CW4" s="21">
        <v>2.31</v>
      </c>
      <c r="CX4" s="21">
        <v>2.5099999999999998</v>
      </c>
      <c r="CY4" s="21">
        <v>3.25</v>
      </c>
      <c r="CZ4" s="21">
        <v>4.3</v>
      </c>
      <c r="DA4" s="21">
        <v>5.15</v>
      </c>
      <c r="DB4" s="21">
        <v>6</v>
      </c>
      <c r="DC4" s="21">
        <v>6.69</v>
      </c>
      <c r="DD4" s="21">
        <v>7.48</v>
      </c>
      <c r="DE4" s="21">
        <v>7.42</v>
      </c>
      <c r="DF4" s="21">
        <v>7.44</v>
      </c>
      <c r="DG4" s="21">
        <v>7.69</v>
      </c>
      <c r="DH4" s="21">
        <v>7.72</v>
      </c>
      <c r="DI4" s="21">
        <v>7.84</v>
      </c>
      <c r="DJ4" s="21">
        <v>8.3000000000000007</v>
      </c>
      <c r="DK4" s="21">
        <v>8.59</v>
      </c>
      <c r="DL4" s="21">
        <v>9.1300000000000008</v>
      </c>
      <c r="DM4" s="21">
        <v>9.0500000000000007</v>
      </c>
      <c r="DN4" s="21">
        <v>8.6300000000000008</v>
      </c>
      <c r="DO4" s="21">
        <v>8.5399999999999991</v>
      </c>
      <c r="DP4" s="21">
        <v>8.8800000000000008</v>
      </c>
      <c r="DQ4" s="21">
        <v>9.52</v>
      </c>
      <c r="DR4" s="21">
        <v>9.92</v>
      </c>
      <c r="DS4" s="21">
        <v>10.06</v>
      </c>
      <c r="DT4" s="21">
        <v>10.34</v>
      </c>
      <c r="DU4" s="21">
        <v>10.23</v>
      </c>
      <c r="DV4" s="21">
        <v>9.8800000000000008</v>
      </c>
      <c r="DW4" s="21">
        <v>9.4</v>
      </c>
      <c r="DX4" s="21">
        <v>8.7899999999999991</v>
      </c>
      <c r="DY4" s="21">
        <v>8.14</v>
      </c>
      <c r="DZ4" s="21">
        <v>7.98</v>
      </c>
      <c r="EA4" s="21">
        <v>7.71</v>
      </c>
      <c r="EB4" s="21">
        <v>6.64</v>
      </c>
      <c r="EC4" s="21">
        <v>5.59</v>
      </c>
      <c r="ED4" s="21"/>
      <c r="EE4" s="21"/>
      <c r="EF4" s="21"/>
    </row>
  </sheetData>
  <mergeCells count="11">
    <mergeCell ref="BJ2:BU2"/>
    <mergeCell ref="B2:M2"/>
    <mergeCell ref="N2:Y2"/>
    <mergeCell ref="Z2:AK2"/>
    <mergeCell ref="AL2:AW2"/>
    <mergeCell ref="AX2:BI2"/>
    <mergeCell ref="BV2:CG2"/>
    <mergeCell ref="CH2:CS2"/>
    <mergeCell ref="CT2:DE2"/>
    <mergeCell ref="DF2:DQ2"/>
    <mergeCell ref="DR2:E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6F20-82C7-5B4B-A9F7-61CA3BF515DD}">
  <dimension ref="A1:EC8"/>
  <sheetViews>
    <sheetView workbookViewId="0">
      <selection activeCell="B8" sqref="B8:EC8"/>
    </sheetView>
  </sheetViews>
  <sheetFormatPr baseColWidth="10" defaultRowHeight="16"/>
  <cols>
    <col min="1" max="1" width="22.1640625" customWidth="1"/>
    <col min="2" max="13" width="12.33203125" customWidth="1"/>
    <col min="14" max="133" width="12.5" customWidth="1"/>
  </cols>
  <sheetData>
    <row r="1" spans="1:133">
      <c r="A1" s="105" t="s">
        <v>98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</row>
    <row r="2" spans="1:133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</row>
    <row r="3" spans="1:133">
      <c r="A3" s="106"/>
      <c r="B3" s="109">
        <v>2015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1"/>
      <c r="N3" s="109">
        <v>2016</v>
      </c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1"/>
      <c r="Z3" s="109">
        <v>2017</v>
      </c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1"/>
      <c r="AL3" s="109">
        <v>2018</v>
      </c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1"/>
      <c r="AX3" s="109">
        <v>2019</v>
      </c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1"/>
      <c r="BJ3" s="109">
        <v>2020</v>
      </c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1"/>
      <c r="BV3" s="109">
        <v>2021</v>
      </c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1"/>
      <c r="CH3" s="109">
        <v>2022</v>
      </c>
      <c r="CI3" s="110"/>
      <c r="CJ3" s="110"/>
      <c r="CK3" s="110"/>
      <c r="CL3" s="110"/>
      <c r="CM3" s="110"/>
      <c r="CN3" s="110"/>
      <c r="CO3" s="110"/>
      <c r="CP3" s="110"/>
      <c r="CQ3" s="110"/>
      <c r="CR3" s="110"/>
      <c r="CS3" s="111"/>
      <c r="CT3" s="109">
        <v>2023</v>
      </c>
      <c r="CU3" s="110"/>
      <c r="CV3" s="110"/>
      <c r="CW3" s="110"/>
      <c r="CX3" s="110"/>
      <c r="CY3" s="110"/>
      <c r="CZ3" s="110"/>
      <c r="DA3" s="110"/>
      <c r="DB3" s="110"/>
      <c r="DC3" s="110"/>
      <c r="DD3" s="110"/>
      <c r="DE3" s="111"/>
      <c r="DF3" s="109">
        <v>2024</v>
      </c>
      <c r="DG3" s="110"/>
      <c r="DH3" s="110"/>
      <c r="DI3" s="110"/>
      <c r="DJ3" s="110"/>
      <c r="DK3" s="110"/>
      <c r="DL3" s="110"/>
      <c r="DM3" s="110"/>
      <c r="DN3" s="110"/>
      <c r="DO3" s="110"/>
      <c r="DP3" s="110"/>
      <c r="DQ3" s="111"/>
      <c r="DR3" s="109">
        <v>2025</v>
      </c>
      <c r="DS3" s="110"/>
      <c r="DT3" s="110"/>
      <c r="DU3" s="110"/>
      <c r="DV3" s="110"/>
      <c r="DW3" s="110"/>
      <c r="DX3" s="110"/>
      <c r="DY3" s="110"/>
      <c r="DZ3" s="110"/>
      <c r="EA3" s="110"/>
      <c r="EB3" s="110"/>
      <c r="EC3" s="111"/>
    </row>
    <row r="4" spans="1:133">
      <c r="A4" s="107"/>
      <c r="B4" s="52" t="s">
        <v>41</v>
      </c>
      <c r="C4" s="52" t="s">
        <v>42</v>
      </c>
      <c r="D4" s="52" t="s">
        <v>43</v>
      </c>
      <c r="E4" s="52" t="s">
        <v>44</v>
      </c>
      <c r="F4" s="52" t="s">
        <v>45</v>
      </c>
      <c r="G4" s="52" t="s">
        <v>46</v>
      </c>
      <c r="H4" s="52" t="s">
        <v>47</v>
      </c>
      <c r="I4" s="52" t="s">
        <v>48</v>
      </c>
      <c r="J4" s="52" t="s">
        <v>49</v>
      </c>
      <c r="K4" s="52" t="s">
        <v>50</v>
      </c>
      <c r="L4" s="52" t="s">
        <v>51</v>
      </c>
      <c r="M4" s="52" t="s">
        <v>52</v>
      </c>
      <c r="N4" s="52" t="s">
        <v>41</v>
      </c>
      <c r="O4" s="52" t="s">
        <v>42</v>
      </c>
      <c r="P4" s="52" t="s">
        <v>43</v>
      </c>
      <c r="Q4" s="52" t="s">
        <v>44</v>
      </c>
      <c r="R4" s="52" t="s">
        <v>45</v>
      </c>
      <c r="S4" s="52" t="s">
        <v>46</v>
      </c>
      <c r="T4" s="52" t="s">
        <v>47</v>
      </c>
      <c r="U4" s="52" t="s">
        <v>48</v>
      </c>
      <c r="V4" s="52" t="s">
        <v>49</v>
      </c>
      <c r="W4" s="52" t="s">
        <v>50</v>
      </c>
      <c r="X4" s="52" t="s">
        <v>51</v>
      </c>
      <c r="Y4" s="52" t="s">
        <v>52</v>
      </c>
      <c r="Z4" s="52" t="s">
        <v>41</v>
      </c>
      <c r="AA4" s="52" t="s">
        <v>42</v>
      </c>
      <c r="AB4" s="52" t="s">
        <v>43</v>
      </c>
      <c r="AC4" s="52" t="s">
        <v>44</v>
      </c>
      <c r="AD4" s="52" t="s">
        <v>45</v>
      </c>
      <c r="AE4" s="52" t="s">
        <v>46</v>
      </c>
      <c r="AF4" s="52" t="s">
        <v>47</v>
      </c>
      <c r="AG4" s="52" t="s">
        <v>48</v>
      </c>
      <c r="AH4" s="52" t="s">
        <v>49</v>
      </c>
      <c r="AI4" s="52" t="s">
        <v>50</v>
      </c>
      <c r="AJ4" s="52" t="s">
        <v>51</v>
      </c>
      <c r="AK4" s="52" t="s">
        <v>52</v>
      </c>
      <c r="AL4" s="52" t="s">
        <v>41</v>
      </c>
      <c r="AM4" s="52" t="s">
        <v>42</v>
      </c>
      <c r="AN4" s="52" t="s">
        <v>43</v>
      </c>
      <c r="AO4" s="52" t="s">
        <v>44</v>
      </c>
      <c r="AP4" s="52" t="s">
        <v>45</v>
      </c>
      <c r="AQ4" s="52" t="s">
        <v>46</v>
      </c>
      <c r="AR4" s="52" t="s">
        <v>47</v>
      </c>
      <c r="AS4" s="52" t="s">
        <v>48</v>
      </c>
      <c r="AT4" s="52" t="s">
        <v>49</v>
      </c>
      <c r="AU4" s="52" t="s">
        <v>50</v>
      </c>
      <c r="AV4" s="52" t="s">
        <v>51</v>
      </c>
      <c r="AW4" s="52" t="s">
        <v>52</v>
      </c>
      <c r="AX4" s="52" t="s">
        <v>41</v>
      </c>
      <c r="AY4" s="52" t="s">
        <v>42</v>
      </c>
      <c r="AZ4" s="52" t="s">
        <v>43</v>
      </c>
      <c r="BA4" s="52" t="s">
        <v>44</v>
      </c>
      <c r="BB4" s="52" t="s">
        <v>45</v>
      </c>
      <c r="BC4" s="52" t="s">
        <v>46</v>
      </c>
      <c r="BD4" s="52" t="s">
        <v>47</v>
      </c>
      <c r="BE4" s="52" t="s">
        <v>48</v>
      </c>
      <c r="BF4" s="52" t="s">
        <v>49</v>
      </c>
      <c r="BG4" s="52" t="s">
        <v>50</v>
      </c>
      <c r="BH4" s="52" t="s">
        <v>51</v>
      </c>
      <c r="BI4" s="52" t="s">
        <v>52</v>
      </c>
      <c r="BJ4" s="52" t="s">
        <v>41</v>
      </c>
      <c r="BK4" s="52" t="s">
        <v>42</v>
      </c>
      <c r="BL4" s="52" t="s">
        <v>43</v>
      </c>
      <c r="BM4" s="52" t="s">
        <v>44</v>
      </c>
      <c r="BN4" s="52" t="s">
        <v>45</v>
      </c>
      <c r="BO4" s="52" t="s">
        <v>46</v>
      </c>
      <c r="BP4" s="52" t="s">
        <v>47</v>
      </c>
      <c r="BQ4" s="52" t="s">
        <v>48</v>
      </c>
      <c r="BR4" s="52" t="s">
        <v>49</v>
      </c>
      <c r="BS4" s="52" t="s">
        <v>50</v>
      </c>
      <c r="BT4" s="52" t="s">
        <v>51</v>
      </c>
      <c r="BU4" s="52" t="s">
        <v>52</v>
      </c>
      <c r="BV4" s="52" t="s">
        <v>41</v>
      </c>
      <c r="BW4" s="52" t="s">
        <v>42</v>
      </c>
      <c r="BX4" s="52" t="s">
        <v>43</v>
      </c>
      <c r="BY4" s="52" t="s">
        <v>44</v>
      </c>
      <c r="BZ4" s="52" t="s">
        <v>45</v>
      </c>
      <c r="CA4" s="52" t="s">
        <v>46</v>
      </c>
      <c r="CB4" s="52" t="s">
        <v>47</v>
      </c>
      <c r="CC4" s="52" t="s">
        <v>48</v>
      </c>
      <c r="CD4" s="52" t="s">
        <v>49</v>
      </c>
      <c r="CE4" s="52" t="s">
        <v>50</v>
      </c>
      <c r="CF4" s="52" t="s">
        <v>51</v>
      </c>
      <c r="CG4" s="52" t="s">
        <v>52</v>
      </c>
      <c r="CH4" s="52" t="s">
        <v>41</v>
      </c>
      <c r="CI4" s="52" t="s">
        <v>42</v>
      </c>
      <c r="CJ4" s="52" t="s">
        <v>43</v>
      </c>
      <c r="CK4" s="52" t="s">
        <v>44</v>
      </c>
      <c r="CL4" s="52" t="s">
        <v>45</v>
      </c>
      <c r="CM4" s="52" t="s">
        <v>46</v>
      </c>
      <c r="CN4" s="52" t="s">
        <v>47</v>
      </c>
      <c r="CO4" s="52" t="s">
        <v>48</v>
      </c>
      <c r="CP4" s="52" t="s">
        <v>49</v>
      </c>
      <c r="CQ4" s="52" t="s">
        <v>50</v>
      </c>
      <c r="CR4" s="52" t="s">
        <v>51</v>
      </c>
      <c r="CS4" s="52" t="s">
        <v>52</v>
      </c>
      <c r="CT4" s="52" t="s">
        <v>41</v>
      </c>
      <c r="CU4" s="52" t="s">
        <v>42</v>
      </c>
      <c r="CV4" s="52" t="s">
        <v>43</v>
      </c>
      <c r="CW4" s="52" t="s">
        <v>44</v>
      </c>
      <c r="CX4" s="52" t="s">
        <v>45</v>
      </c>
      <c r="CY4" s="52" t="s">
        <v>46</v>
      </c>
      <c r="CZ4" s="52" t="s">
        <v>47</v>
      </c>
      <c r="DA4" s="52" t="s">
        <v>48</v>
      </c>
      <c r="DB4" s="52" t="s">
        <v>49</v>
      </c>
      <c r="DC4" s="52" t="s">
        <v>50</v>
      </c>
      <c r="DD4" s="52" t="s">
        <v>51</v>
      </c>
      <c r="DE4" s="52" t="s">
        <v>52</v>
      </c>
      <c r="DF4" s="52" t="s">
        <v>41</v>
      </c>
      <c r="DG4" s="52" t="s">
        <v>42</v>
      </c>
      <c r="DH4" s="52" t="s">
        <v>43</v>
      </c>
      <c r="DI4" s="52" t="s">
        <v>44</v>
      </c>
      <c r="DJ4" s="52" t="s">
        <v>45</v>
      </c>
      <c r="DK4" s="52" t="s">
        <v>46</v>
      </c>
      <c r="DL4" s="52" t="s">
        <v>47</v>
      </c>
      <c r="DM4" s="52" t="s">
        <v>48</v>
      </c>
      <c r="DN4" s="52" t="s">
        <v>49</v>
      </c>
      <c r="DO4" s="52" t="s">
        <v>50</v>
      </c>
      <c r="DP4" s="52" t="s">
        <v>51</v>
      </c>
      <c r="DQ4" s="52" t="s">
        <v>52</v>
      </c>
      <c r="DR4" s="52" t="s">
        <v>41</v>
      </c>
      <c r="DS4" s="52" t="s">
        <v>42</v>
      </c>
      <c r="DT4" s="52" t="s">
        <v>43</v>
      </c>
      <c r="DU4" s="52" t="s">
        <v>44</v>
      </c>
      <c r="DV4" s="52" t="s">
        <v>45</v>
      </c>
      <c r="DW4" s="52" t="s">
        <v>46</v>
      </c>
      <c r="DX4" s="52" t="s">
        <v>47</v>
      </c>
      <c r="DY4" s="52" t="s">
        <v>48</v>
      </c>
      <c r="DZ4" s="52" t="s">
        <v>49</v>
      </c>
      <c r="EA4" s="52" t="s">
        <v>50</v>
      </c>
      <c r="EB4" s="52" t="s">
        <v>51</v>
      </c>
      <c r="EC4" s="52" t="s">
        <v>52</v>
      </c>
    </row>
    <row r="5" spans="1:133" ht="84">
      <c r="A5" s="108"/>
      <c r="B5" s="52" t="s">
        <v>158</v>
      </c>
      <c r="C5" s="52" t="s">
        <v>158</v>
      </c>
      <c r="D5" s="52" t="s">
        <v>158</v>
      </c>
      <c r="E5" s="52" t="s">
        <v>158</v>
      </c>
      <c r="F5" s="52" t="s">
        <v>158</v>
      </c>
      <c r="G5" s="52" t="s">
        <v>158</v>
      </c>
      <c r="H5" s="52" t="s">
        <v>158</v>
      </c>
      <c r="I5" s="52" t="s">
        <v>158</v>
      </c>
      <c r="J5" s="52" t="s">
        <v>158</v>
      </c>
      <c r="K5" s="52" t="s">
        <v>158</v>
      </c>
      <c r="L5" s="52" t="s">
        <v>158</v>
      </c>
      <c r="M5" s="52" t="s">
        <v>158</v>
      </c>
      <c r="N5" s="52" t="s">
        <v>158</v>
      </c>
      <c r="O5" s="52" t="s">
        <v>158</v>
      </c>
      <c r="P5" s="52" t="s">
        <v>158</v>
      </c>
      <c r="Q5" s="52" t="s">
        <v>158</v>
      </c>
      <c r="R5" s="52" t="s">
        <v>158</v>
      </c>
      <c r="S5" s="52" t="s">
        <v>158</v>
      </c>
      <c r="T5" s="52" t="s">
        <v>158</v>
      </c>
      <c r="U5" s="52" t="s">
        <v>158</v>
      </c>
      <c r="V5" s="52" t="s">
        <v>158</v>
      </c>
      <c r="W5" s="52" t="s">
        <v>158</v>
      </c>
      <c r="X5" s="52" t="s">
        <v>158</v>
      </c>
      <c r="Y5" s="52" t="s">
        <v>158</v>
      </c>
      <c r="Z5" s="52" t="s">
        <v>158</v>
      </c>
      <c r="AA5" s="52" t="s">
        <v>158</v>
      </c>
      <c r="AB5" s="52" t="s">
        <v>158</v>
      </c>
      <c r="AC5" s="52" t="s">
        <v>158</v>
      </c>
      <c r="AD5" s="52" t="s">
        <v>158</v>
      </c>
      <c r="AE5" s="52" t="s">
        <v>158</v>
      </c>
      <c r="AF5" s="52" t="s">
        <v>158</v>
      </c>
      <c r="AG5" s="52" t="s">
        <v>158</v>
      </c>
      <c r="AH5" s="52" t="s">
        <v>158</v>
      </c>
      <c r="AI5" s="52" t="s">
        <v>158</v>
      </c>
      <c r="AJ5" s="52" t="s">
        <v>158</v>
      </c>
      <c r="AK5" s="52" t="s">
        <v>158</v>
      </c>
      <c r="AL5" s="52" t="s">
        <v>158</v>
      </c>
      <c r="AM5" s="52" t="s">
        <v>158</v>
      </c>
      <c r="AN5" s="52" t="s">
        <v>158</v>
      </c>
      <c r="AO5" s="52" t="s">
        <v>158</v>
      </c>
      <c r="AP5" s="52" t="s">
        <v>158</v>
      </c>
      <c r="AQ5" s="52" t="s">
        <v>158</v>
      </c>
      <c r="AR5" s="52" t="s">
        <v>158</v>
      </c>
      <c r="AS5" s="52" t="s">
        <v>158</v>
      </c>
      <c r="AT5" s="52" t="s">
        <v>158</v>
      </c>
      <c r="AU5" s="52" t="s">
        <v>158</v>
      </c>
      <c r="AV5" s="52" t="s">
        <v>158</v>
      </c>
      <c r="AW5" s="52" t="s">
        <v>158</v>
      </c>
      <c r="AX5" s="52" t="s">
        <v>158</v>
      </c>
      <c r="AY5" s="52" t="s">
        <v>158</v>
      </c>
      <c r="AZ5" s="52" t="s">
        <v>158</v>
      </c>
      <c r="BA5" s="52" t="s">
        <v>158</v>
      </c>
      <c r="BB5" s="52" t="s">
        <v>158</v>
      </c>
      <c r="BC5" s="52" t="s">
        <v>158</v>
      </c>
      <c r="BD5" s="52" t="s">
        <v>158</v>
      </c>
      <c r="BE5" s="52" t="s">
        <v>158</v>
      </c>
      <c r="BF5" s="52" t="s">
        <v>158</v>
      </c>
      <c r="BG5" s="52" t="s">
        <v>158</v>
      </c>
      <c r="BH5" s="52" t="s">
        <v>158</v>
      </c>
      <c r="BI5" s="52" t="s">
        <v>158</v>
      </c>
      <c r="BJ5" s="52" t="s">
        <v>158</v>
      </c>
      <c r="BK5" s="52" t="s">
        <v>158</v>
      </c>
      <c r="BL5" s="52" t="s">
        <v>158</v>
      </c>
      <c r="BM5" s="52" t="s">
        <v>158</v>
      </c>
      <c r="BN5" s="52" t="s">
        <v>158</v>
      </c>
      <c r="BO5" s="52" t="s">
        <v>158</v>
      </c>
      <c r="BP5" s="52" t="s">
        <v>158</v>
      </c>
      <c r="BQ5" s="52" t="s">
        <v>158</v>
      </c>
      <c r="BR5" s="52" t="s">
        <v>158</v>
      </c>
      <c r="BS5" s="52" t="s">
        <v>158</v>
      </c>
      <c r="BT5" s="52" t="s">
        <v>158</v>
      </c>
      <c r="BU5" s="52" t="s">
        <v>158</v>
      </c>
      <c r="BV5" s="52" t="s">
        <v>158</v>
      </c>
      <c r="BW5" s="52" t="s">
        <v>158</v>
      </c>
      <c r="BX5" s="52" t="s">
        <v>158</v>
      </c>
      <c r="BY5" s="52" t="s">
        <v>158</v>
      </c>
      <c r="BZ5" s="52" t="s">
        <v>158</v>
      </c>
      <c r="CA5" s="52" t="s">
        <v>158</v>
      </c>
      <c r="CB5" s="52" t="s">
        <v>158</v>
      </c>
      <c r="CC5" s="52" t="s">
        <v>158</v>
      </c>
      <c r="CD5" s="52" t="s">
        <v>158</v>
      </c>
      <c r="CE5" s="52" t="s">
        <v>158</v>
      </c>
      <c r="CF5" s="52" t="s">
        <v>158</v>
      </c>
      <c r="CG5" s="52" t="s">
        <v>158</v>
      </c>
      <c r="CH5" s="52" t="s">
        <v>158</v>
      </c>
      <c r="CI5" s="52" t="s">
        <v>158</v>
      </c>
      <c r="CJ5" s="52" t="s">
        <v>158</v>
      </c>
      <c r="CK5" s="52" t="s">
        <v>158</v>
      </c>
      <c r="CL5" s="52" t="s">
        <v>158</v>
      </c>
      <c r="CM5" s="52" t="s">
        <v>158</v>
      </c>
      <c r="CN5" s="52" t="s">
        <v>158</v>
      </c>
      <c r="CO5" s="52" t="s">
        <v>158</v>
      </c>
      <c r="CP5" s="52" t="s">
        <v>158</v>
      </c>
      <c r="CQ5" s="52" t="s">
        <v>158</v>
      </c>
      <c r="CR5" s="52" t="s">
        <v>158</v>
      </c>
      <c r="CS5" s="52" t="s">
        <v>158</v>
      </c>
      <c r="CT5" s="52" t="s">
        <v>158</v>
      </c>
      <c r="CU5" s="52" t="s">
        <v>158</v>
      </c>
      <c r="CV5" s="52" t="s">
        <v>158</v>
      </c>
      <c r="CW5" s="52" t="s">
        <v>158</v>
      </c>
      <c r="CX5" s="52" t="s">
        <v>158</v>
      </c>
      <c r="CY5" s="52" t="s">
        <v>158</v>
      </c>
      <c r="CZ5" s="52" t="s">
        <v>158</v>
      </c>
      <c r="DA5" s="52" t="s">
        <v>158</v>
      </c>
      <c r="DB5" s="52" t="s">
        <v>158</v>
      </c>
      <c r="DC5" s="52" t="s">
        <v>158</v>
      </c>
      <c r="DD5" s="52" t="s">
        <v>158</v>
      </c>
      <c r="DE5" s="52" t="s">
        <v>158</v>
      </c>
      <c r="DF5" s="52" t="s">
        <v>158</v>
      </c>
      <c r="DG5" s="52" t="s">
        <v>158</v>
      </c>
      <c r="DH5" s="52" t="s">
        <v>158</v>
      </c>
      <c r="DI5" s="52" t="s">
        <v>158</v>
      </c>
      <c r="DJ5" s="52" t="s">
        <v>158</v>
      </c>
      <c r="DK5" s="52" t="s">
        <v>158</v>
      </c>
      <c r="DL5" s="52" t="s">
        <v>158</v>
      </c>
      <c r="DM5" s="52" t="s">
        <v>158</v>
      </c>
      <c r="DN5" s="52" t="s">
        <v>158</v>
      </c>
      <c r="DO5" s="52" t="s">
        <v>158</v>
      </c>
      <c r="DP5" s="52" t="s">
        <v>158</v>
      </c>
      <c r="DQ5" s="52" t="s">
        <v>158</v>
      </c>
      <c r="DR5" s="52" t="s">
        <v>158</v>
      </c>
      <c r="DS5" s="52" t="s">
        <v>158</v>
      </c>
      <c r="DT5" s="52" t="s">
        <v>158</v>
      </c>
      <c r="DU5" s="52" t="s">
        <v>158</v>
      </c>
      <c r="DV5" s="52" t="s">
        <v>158</v>
      </c>
      <c r="DW5" s="52" t="s">
        <v>158</v>
      </c>
      <c r="DX5" s="52" t="s">
        <v>158</v>
      </c>
      <c r="DY5" s="52" t="s">
        <v>158</v>
      </c>
      <c r="DZ5" s="52" t="s">
        <v>158</v>
      </c>
      <c r="EA5" s="52" t="s">
        <v>158</v>
      </c>
      <c r="EB5" s="52" t="s">
        <v>158</v>
      </c>
      <c r="EC5" s="52" t="s">
        <v>158</v>
      </c>
    </row>
    <row r="6" spans="1:133">
      <c r="A6" s="53" t="s">
        <v>70</v>
      </c>
      <c r="B6" s="54">
        <v>114.66</v>
      </c>
      <c r="C6" s="54">
        <v>116.78</v>
      </c>
      <c r="D6" s="54">
        <v>117.53</v>
      </c>
      <c r="E6" s="54">
        <v>117.45</v>
      </c>
      <c r="F6" s="54">
        <v>117.11</v>
      </c>
      <c r="G6" s="54">
        <v>116.72</v>
      </c>
      <c r="H6" s="54">
        <v>116.45</v>
      </c>
      <c r="I6" s="54">
        <v>116.61</v>
      </c>
      <c r="J6" s="54">
        <v>116.55</v>
      </c>
      <c r="K6" s="54">
        <v>116.42</v>
      </c>
      <c r="L6" s="54">
        <v>115.91</v>
      </c>
      <c r="M6" s="54">
        <v>113.66</v>
      </c>
      <c r="N6" s="54">
        <v>110.7</v>
      </c>
      <c r="O6" s="54">
        <v>108.88</v>
      </c>
      <c r="P6" s="54">
        <v>107.96</v>
      </c>
      <c r="Q6" s="54">
        <v>107.64</v>
      </c>
      <c r="R6" s="54">
        <v>107.53</v>
      </c>
      <c r="S6" s="54">
        <v>107.49</v>
      </c>
      <c r="T6" s="54">
        <v>107.44</v>
      </c>
      <c r="U6" s="54">
        <v>107.04</v>
      </c>
      <c r="V6" s="54">
        <v>106.73</v>
      </c>
      <c r="W6" s="54">
        <v>106.41</v>
      </c>
      <c r="X6" s="54">
        <v>106.21</v>
      </c>
      <c r="Y6" s="54">
        <v>105.97</v>
      </c>
      <c r="Z6" s="54">
        <v>105.49</v>
      </c>
      <c r="AA6" s="54">
        <v>104.97</v>
      </c>
      <c r="AB6" s="54">
        <v>104.48</v>
      </c>
      <c r="AC6" s="54">
        <v>104.11</v>
      </c>
      <c r="AD6" s="54">
        <v>103.77</v>
      </c>
      <c r="AE6" s="54">
        <v>103.46</v>
      </c>
      <c r="AF6" s="54">
        <v>103.25</v>
      </c>
      <c r="AG6" s="54">
        <v>102.97</v>
      </c>
      <c r="AH6" s="54">
        <v>102.76</v>
      </c>
      <c r="AI6" s="54">
        <v>102.51</v>
      </c>
      <c r="AJ6" s="54">
        <v>102.27</v>
      </c>
      <c r="AK6" s="54">
        <v>102.1</v>
      </c>
      <c r="AL6" s="54">
        <v>101.94</v>
      </c>
      <c r="AM6" s="54">
        <v>101.88</v>
      </c>
      <c r="AN6" s="54">
        <v>101.84</v>
      </c>
      <c r="AO6" s="54">
        <v>101.94</v>
      </c>
      <c r="AP6" s="54">
        <v>102.04</v>
      </c>
      <c r="AQ6" s="54">
        <v>102.27</v>
      </c>
      <c r="AR6" s="54">
        <v>102.42</v>
      </c>
      <c r="AS6" s="54">
        <v>102.63</v>
      </c>
      <c r="AT6" s="54">
        <v>102.79</v>
      </c>
      <c r="AU6" s="54">
        <v>103.09</v>
      </c>
      <c r="AV6" s="54">
        <v>103.37</v>
      </c>
      <c r="AW6" s="54">
        <v>103.69</v>
      </c>
      <c r="AX6" s="54">
        <v>104.13</v>
      </c>
      <c r="AY6" s="54">
        <v>104.39</v>
      </c>
      <c r="AZ6" s="54">
        <v>104.6</v>
      </c>
      <c r="BA6" s="54">
        <v>104.61</v>
      </c>
      <c r="BB6" s="54">
        <v>104.68</v>
      </c>
      <c r="BC6" s="54">
        <v>104.56</v>
      </c>
      <c r="BD6" s="54">
        <v>104.48</v>
      </c>
      <c r="BE6" s="54">
        <v>104.29</v>
      </c>
      <c r="BF6" s="54">
        <v>103.96</v>
      </c>
      <c r="BG6" s="54">
        <v>103.68</v>
      </c>
      <c r="BH6" s="54">
        <v>103.48</v>
      </c>
      <c r="BI6" s="54">
        <v>104.16</v>
      </c>
      <c r="BJ6" s="54">
        <v>102.66</v>
      </c>
      <c r="BK6" s="54">
        <v>102.4</v>
      </c>
      <c r="BL6" s="54">
        <v>102.61</v>
      </c>
      <c r="BM6" s="54">
        <v>102.86</v>
      </c>
      <c r="BN6" s="54">
        <v>102.85</v>
      </c>
      <c r="BO6" s="54">
        <v>102.89</v>
      </c>
      <c r="BP6" s="54">
        <v>102.95</v>
      </c>
      <c r="BQ6" s="54">
        <v>103.11</v>
      </c>
      <c r="BR6" s="54">
        <v>103.27</v>
      </c>
      <c r="BS6" s="54">
        <v>103.58</v>
      </c>
      <c r="BT6" s="54">
        <v>103.87</v>
      </c>
      <c r="BU6" s="54">
        <v>104.21</v>
      </c>
      <c r="BV6" s="54">
        <v>104.55</v>
      </c>
      <c r="BW6" s="54">
        <v>105.04</v>
      </c>
      <c r="BX6" s="54">
        <v>105.38</v>
      </c>
      <c r="BY6" s="54">
        <v>105.47</v>
      </c>
      <c r="BZ6" s="54">
        <v>106.04</v>
      </c>
      <c r="CA6" s="54">
        <v>106.55</v>
      </c>
      <c r="CB6" s="54">
        <v>106.78</v>
      </c>
      <c r="CC6" s="54">
        <v>107.07</v>
      </c>
      <c r="CD6" s="54">
        <v>107.61</v>
      </c>
      <c r="CE6" s="54">
        <v>108.03</v>
      </c>
      <c r="CF6" s="54">
        <v>108.71</v>
      </c>
      <c r="CG6" s="54">
        <v>108.89</v>
      </c>
      <c r="CH6" s="54">
        <v>109.24</v>
      </c>
      <c r="CI6" s="54">
        <v>109.74</v>
      </c>
      <c r="CJ6" s="54">
        <v>118.69</v>
      </c>
      <c r="CK6" s="54">
        <v>120.37</v>
      </c>
      <c r="CL6" s="54">
        <v>119.87</v>
      </c>
      <c r="CM6" s="54">
        <v>119.18</v>
      </c>
      <c r="CN6" s="54">
        <v>118.4</v>
      </c>
      <c r="CO6" s="54">
        <v>117.71</v>
      </c>
      <c r="CP6" s="54">
        <v>117.11</v>
      </c>
      <c r="CQ6" s="54">
        <v>116.16</v>
      </c>
      <c r="CR6" s="54">
        <v>115.06</v>
      </c>
      <c r="CS6" s="54">
        <v>114.31</v>
      </c>
      <c r="CT6" s="54">
        <v>113.72</v>
      </c>
      <c r="CU6" s="54">
        <v>112.69</v>
      </c>
      <c r="CV6" s="54">
        <v>103.72</v>
      </c>
      <c r="CW6" s="54">
        <v>101.99</v>
      </c>
      <c r="CX6" s="54">
        <v>102.12</v>
      </c>
      <c r="CY6" s="54">
        <v>102.44</v>
      </c>
      <c r="CZ6" s="54">
        <v>103.18</v>
      </c>
      <c r="DA6" s="54">
        <v>103.95</v>
      </c>
      <c r="DB6" s="54">
        <v>104.59</v>
      </c>
      <c r="DC6" s="54">
        <v>105.5</v>
      </c>
      <c r="DD6" s="54">
        <v>106.36</v>
      </c>
      <c r="DE6" s="54">
        <v>106.83</v>
      </c>
      <c r="DF6" s="54">
        <v>107.15</v>
      </c>
      <c r="DG6" s="54">
        <v>107.59</v>
      </c>
      <c r="DH6" s="54">
        <v>107.84</v>
      </c>
      <c r="DI6" s="54">
        <v>108.27</v>
      </c>
      <c r="DJ6" s="54">
        <v>108.64</v>
      </c>
      <c r="DK6" s="54">
        <v>108.73</v>
      </c>
      <c r="DL6" s="54">
        <v>108.6</v>
      </c>
      <c r="DM6" s="54">
        <v>108.44</v>
      </c>
      <c r="DN6" s="54">
        <v>108.26</v>
      </c>
      <c r="DO6" s="54">
        <v>108.18</v>
      </c>
      <c r="DP6" s="54">
        <v>108.28</v>
      </c>
      <c r="DQ6" s="54">
        <v>108.93</v>
      </c>
      <c r="DR6" s="54">
        <v>109.32</v>
      </c>
      <c r="DS6" s="54">
        <v>109.55</v>
      </c>
      <c r="DT6" s="54">
        <v>109.65</v>
      </c>
      <c r="DU6" s="54">
        <v>109.23</v>
      </c>
      <c r="DV6" s="54">
        <v>108.94</v>
      </c>
      <c r="DW6" s="54">
        <v>108.7</v>
      </c>
      <c r="DX6" s="54">
        <v>108.53</v>
      </c>
      <c r="DY6" s="54">
        <v>108.04</v>
      </c>
      <c r="DZ6" s="54">
        <v>107.65</v>
      </c>
      <c r="EA6" s="54">
        <v>106.94</v>
      </c>
      <c r="EB6" s="54">
        <v>106.12</v>
      </c>
      <c r="EC6" s="54">
        <v>105.44</v>
      </c>
    </row>
    <row r="7" spans="1:133">
      <c r="B7" s="29">
        <f>B6-100</f>
        <v>14.659999999999997</v>
      </c>
      <c r="C7" s="29">
        <f t="shared" ref="C7:BN7" si="0">C6-100</f>
        <v>16.78</v>
      </c>
      <c r="D7" s="29">
        <f t="shared" si="0"/>
        <v>17.53</v>
      </c>
      <c r="E7" s="29">
        <f t="shared" si="0"/>
        <v>17.450000000000003</v>
      </c>
      <c r="F7" s="29">
        <f t="shared" si="0"/>
        <v>17.11</v>
      </c>
      <c r="G7" s="29">
        <f t="shared" si="0"/>
        <v>16.72</v>
      </c>
      <c r="H7" s="29">
        <f t="shared" si="0"/>
        <v>16.450000000000003</v>
      </c>
      <c r="I7" s="29">
        <f t="shared" si="0"/>
        <v>16.61</v>
      </c>
      <c r="J7" s="29">
        <f t="shared" si="0"/>
        <v>16.549999999999997</v>
      </c>
      <c r="K7" s="29">
        <f t="shared" si="0"/>
        <v>16.420000000000002</v>
      </c>
      <c r="L7" s="29">
        <f t="shared" si="0"/>
        <v>15.909999999999997</v>
      </c>
      <c r="M7" s="29">
        <f t="shared" si="0"/>
        <v>13.659999999999997</v>
      </c>
      <c r="N7" s="29">
        <f t="shared" si="0"/>
        <v>10.700000000000003</v>
      </c>
      <c r="O7" s="29">
        <f t="shared" si="0"/>
        <v>8.8799999999999955</v>
      </c>
      <c r="P7" s="29">
        <f t="shared" si="0"/>
        <v>7.9599999999999937</v>
      </c>
      <c r="Q7" s="29">
        <f t="shared" si="0"/>
        <v>7.6400000000000006</v>
      </c>
      <c r="R7" s="29">
        <f t="shared" si="0"/>
        <v>7.5300000000000011</v>
      </c>
      <c r="S7" s="29">
        <f t="shared" si="0"/>
        <v>7.4899999999999949</v>
      </c>
      <c r="T7" s="29">
        <f t="shared" si="0"/>
        <v>7.4399999999999977</v>
      </c>
      <c r="U7" s="29">
        <f t="shared" si="0"/>
        <v>7.0400000000000063</v>
      </c>
      <c r="V7" s="29">
        <f t="shared" si="0"/>
        <v>6.730000000000004</v>
      </c>
      <c r="W7" s="29">
        <f t="shared" si="0"/>
        <v>6.4099999999999966</v>
      </c>
      <c r="X7" s="29">
        <f t="shared" si="0"/>
        <v>6.2099999999999937</v>
      </c>
      <c r="Y7" s="29">
        <f t="shared" si="0"/>
        <v>5.9699999999999989</v>
      </c>
      <c r="Z7" s="29">
        <f t="shared" si="0"/>
        <v>5.4899999999999949</v>
      </c>
      <c r="AA7" s="29">
        <f t="shared" si="0"/>
        <v>4.9699999999999989</v>
      </c>
      <c r="AB7" s="29">
        <f t="shared" si="0"/>
        <v>4.480000000000004</v>
      </c>
      <c r="AC7" s="29">
        <f t="shared" si="0"/>
        <v>4.1099999999999994</v>
      </c>
      <c r="AD7" s="29">
        <f t="shared" si="0"/>
        <v>3.769999999999996</v>
      </c>
      <c r="AE7" s="29">
        <f t="shared" si="0"/>
        <v>3.4599999999999937</v>
      </c>
      <c r="AF7" s="29">
        <f t="shared" si="0"/>
        <v>3.25</v>
      </c>
      <c r="AG7" s="29">
        <f t="shared" si="0"/>
        <v>2.9699999999999989</v>
      </c>
      <c r="AH7" s="29">
        <f t="shared" si="0"/>
        <v>2.7600000000000051</v>
      </c>
      <c r="AI7" s="29">
        <f t="shared" si="0"/>
        <v>2.5100000000000051</v>
      </c>
      <c r="AJ7" s="29">
        <f t="shared" si="0"/>
        <v>2.269999999999996</v>
      </c>
      <c r="AK7" s="29">
        <f t="shared" si="0"/>
        <v>2.0999999999999943</v>
      </c>
      <c r="AL7" s="29">
        <f t="shared" si="0"/>
        <v>1.9399999999999977</v>
      </c>
      <c r="AM7" s="29">
        <f t="shared" si="0"/>
        <v>1.8799999999999955</v>
      </c>
      <c r="AN7" s="29">
        <f t="shared" si="0"/>
        <v>1.8400000000000034</v>
      </c>
      <c r="AO7" s="29">
        <f t="shared" si="0"/>
        <v>1.9399999999999977</v>
      </c>
      <c r="AP7" s="29">
        <f t="shared" si="0"/>
        <v>2.0400000000000063</v>
      </c>
      <c r="AQ7" s="29">
        <f t="shared" si="0"/>
        <v>2.269999999999996</v>
      </c>
      <c r="AR7" s="29">
        <f t="shared" si="0"/>
        <v>2.4200000000000017</v>
      </c>
      <c r="AS7" s="29">
        <f t="shared" si="0"/>
        <v>2.6299999999999955</v>
      </c>
      <c r="AT7" s="29">
        <f t="shared" si="0"/>
        <v>2.7900000000000063</v>
      </c>
      <c r="AU7" s="29">
        <f t="shared" si="0"/>
        <v>3.0900000000000034</v>
      </c>
      <c r="AV7" s="29">
        <f t="shared" si="0"/>
        <v>3.3700000000000045</v>
      </c>
      <c r="AW7" s="29">
        <f t="shared" si="0"/>
        <v>3.6899999999999977</v>
      </c>
      <c r="AX7" s="29">
        <f t="shared" si="0"/>
        <v>4.1299999999999955</v>
      </c>
      <c r="AY7" s="29">
        <f t="shared" si="0"/>
        <v>4.3900000000000006</v>
      </c>
      <c r="AZ7" s="29">
        <f t="shared" si="0"/>
        <v>4.5999999999999943</v>
      </c>
      <c r="BA7" s="29">
        <f t="shared" si="0"/>
        <v>4.6099999999999994</v>
      </c>
      <c r="BB7" s="29">
        <f t="shared" si="0"/>
        <v>4.6800000000000068</v>
      </c>
      <c r="BC7" s="29">
        <f t="shared" si="0"/>
        <v>4.5600000000000023</v>
      </c>
      <c r="BD7" s="29">
        <f t="shared" si="0"/>
        <v>4.480000000000004</v>
      </c>
      <c r="BE7" s="29">
        <f t="shared" si="0"/>
        <v>4.2900000000000063</v>
      </c>
      <c r="BF7" s="29">
        <f t="shared" si="0"/>
        <v>3.9599999999999937</v>
      </c>
      <c r="BG7" s="29">
        <f t="shared" si="0"/>
        <v>3.6800000000000068</v>
      </c>
      <c r="BH7" s="29">
        <f t="shared" si="0"/>
        <v>3.480000000000004</v>
      </c>
      <c r="BI7" s="29">
        <f t="shared" si="0"/>
        <v>4.1599999999999966</v>
      </c>
      <c r="BJ7" s="29">
        <f t="shared" si="0"/>
        <v>2.6599999999999966</v>
      </c>
      <c r="BK7" s="29">
        <f t="shared" si="0"/>
        <v>2.4000000000000057</v>
      </c>
      <c r="BL7" s="29">
        <f t="shared" si="0"/>
        <v>2.6099999999999994</v>
      </c>
      <c r="BM7" s="29">
        <f t="shared" si="0"/>
        <v>2.8599999999999994</v>
      </c>
      <c r="BN7" s="29">
        <f t="shared" si="0"/>
        <v>2.8499999999999943</v>
      </c>
      <c r="BO7" s="29">
        <f t="shared" ref="BO7:DZ7" si="1">BO6-100</f>
        <v>2.8900000000000006</v>
      </c>
      <c r="BP7" s="29">
        <f t="shared" si="1"/>
        <v>2.9500000000000028</v>
      </c>
      <c r="BQ7" s="29">
        <f t="shared" si="1"/>
        <v>3.1099999999999994</v>
      </c>
      <c r="BR7" s="29">
        <f t="shared" si="1"/>
        <v>3.269999999999996</v>
      </c>
      <c r="BS7" s="29">
        <f t="shared" si="1"/>
        <v>3.5799999999999983</v>
      </c>
      <c r="BT7" s="29">
        <f t="shared" si="1"/>
        <v>3.8700000000000045</v>
      </c>
      <c r="BU7" s="29">
        <f t="shared" si="1"/>
        <v>4.2099999999999937</v>
      </c>
      <c r="BV7" s="29">
        <f t="shared" si="1"/>
        <v>4.5499999999999972</v>
      </c>
      <c r="BW7" s="29">
        <f t="shared" si="1"/>
        <v>5.0400000000000063</v>
      </c>
      <c r="BX7" s="29">
        <f t="shared" si="1"/>
        <v>5.3799999999999955</v>
      </c>
      <c r="BY7" s="29">
        <f t="shared" si="1"/>
        <v>5.4699999999999989</v>
      </c>
      <c r="BZ7" s="29">
        <f t="shared" si="1"/>
        <v>6.0400000000000063</v>
      </c>
      <c r="CA7" s="29">
        <f t="shared" si="1"/>
        <v>6.5499999999999972</v>
      </c>
      <c r="CB7" s="29">
        <f t="shared" si="1"/>
        <v>6.7800000000000011</v>
      </c>
      <c r="CC7" s="29">
        <f t="shared" si="1"/>
        <v>7.0699999999999932</v>
      </c>
      <c r="CD7" s="29">
        <f t="shared" si="1"/>
        <v>7.6099999999999994</v>
      </c>
      <c r="CE7" s="29">
        <f t="shared" si="1"/>
        <v>8.0300000000000011</v>
      </c>
      <c r="CF7" s="29">
        <f t="shared" si="1"/>
        <v>8.7099999999999937</v>
      </c>
      <c r="CG7" s="29">
        <f t="shared" si="1"/>
        <v>8.89</v>
      </c>
      <c r="CH7" s="29">
        <f t="shared" si="1"/>
        <v>9.2399999999999949</v>
      </c>
      <c r="CI7" s="29">
        <f t="shared" si="1"/>
        <v>9.7399999999999949</v>
      </c>
      <c r="CJ7" s="29">
        <f t="shared" si="1"/>
        <v>18.689999999999998</v>
      </c>
      <c r="CK7" s="29">
        <f t="shared" si="1"/>
        <v>20.370000000000005</v>
      </c>
      <c r="CL7" s="29">
        <f t="shared" si="1"/>
        <v>19.870000000000005</v>
      </c>
      <c r="CM7" s="29">
        <f t="shared" si="1"/>
        <v>19.180000000000007</v>
      </c>
      <c r="CN7" s="29">
        <f t="shared" si="1"/>
        <v>18.400000000000006</v>
      </c>
      <c r="CO7" s="29">
        <f t="shared" si="1"/>
        <v>17.709999999999994</v>
      </c>
      <c r="CP7" s="29">
        <f t="shared" si="1"/>
        <v>17.11</v>
      </c>
      <c r="CQ7" s="29">
        <f t="shared" si="1"/>
        <v>16.159999999999997</v>
      </c>
      <c r="CR7" s="29">
        <f t="shared" si="1"/>
        <v>15.060000000000002</v>
      </c>
      <c r="CS7" s="29">
        <f t="shared" si="1"/>
        <v>14.310000000000002</v>
      </c>
      <c r="CT7" s="29">
        <f t="shared" si="1"/>
        <v>13.719999999999999</v>
      </c>
      <c r="CU7" s="29">
        <f t="shared" si="1"/>
        <v>12.689999999999998</v>
      </c>
      <c r="CV7" s="29">
        <f t="shared" si="1"/>
        <v>3.7199999999999989</v>
      </c>
      <c r="CW7" s="29">
        <f t="shared" si="1"/>
        <v>1.9899999999999949</v>
      </c>
      <c r="CX7" s="29">
        <f t="shared" si="1"/>
        <v>2.1200000000000045</v>
      </c>
      <c r="CY7" s="29">
        <f t="shared" si="1"/>
        <v>2.4399999999999977</v>
      </c>
      <c r="CZ7" s="29">
        <f t="shared" si="1"/>
        <v>3.1800000000000068</v>
      </c>
      <c r="DA7" s="29">
        <f t="shared" si="1"/>
        <v>3.9500000000000028</v>
      </c>
      <c r="DB7" s="29">
        <f t="shared" si="1"/>
        <v>4.5900000000000034</v>
      </c>
      <c r="DC7" s="29">
        <f t="shared" si="1"/>
        <v>5.5</v>
      </c>
      <c r="DD7" s="29">
        <f t="shared" si="1"/>
        <v>6.3599999999999994</v>
      </c>
      <c r="DE7" s="29">
        <f t="shared" si="1"/>
        <v>6.8299999999999983</v>
      </c>
      <c r="DF7" s="29">
        <f t="shared" si="1"/>
        <v>7.1500000000000057</v>
      </c>
      <c r="DG7" s="29">
        <f t="shared" si="1"/>
        <v>7.5900000000000034</v>
      </c>
      <c r="DH7" s="29">
        <f t="shared" si="1"/>
        <v>7.8400000000000034</v>
      </c>
      <c r="DI7" s="29">
        <f t="shared" si="1"/>
        <v>8.269999999999996</v>
      </c>
      <c r="DJ7" s="29">
        <f t="shared" si="1"/>
        <v>8.64</v>
      </c>
      <c r="DK7" s="29">
        <f t="shared" si="1"/>
        <v>8.730000000000004</v>
      </c>
      <c r="DL7" s="29">
        <f t="shared" si="1"/>
        <v>8.5999999999999943</v>
      </c>
      <c r="DM7" s="29">
        <f t="shared" si="1"/>
        <v>8.4399999999999977</v>
      </c>
      <c r="DN7" s="29">
        <f t="shared" si="1"/>
        <v>8.2600000000000051</v>
      </c>
      <c r="DO7" s="29">
        <f t="shared" si="1"/>
        <v>8.1800000000000068</v>
      </c>
      <c r="DP7" s="29">
        <f t="shared" si="1"/>
        <v>8.2800000000000011</v>
      </c>
      <c r="DQ7" s="29">
        <f t="shared" si="1"/>
        <v>8.9300000000000068</v>
      </c>
      <c r="DR7" s="29">
        <f t="shared" si="1"/>
        <v>9.3199999999999932</v>
      </c>
      <c r="DS7" s="29">
        <f t="shared" si="1"/>
        <v>9.5499999999999972</v>
      </c>
      <c r="DT7" s="29">
        <f t="shared" si="1"/>
        <v>9.6500000000000057</v>
      </c>
      <c r="DU7" s="29">
        <f t="shared" si="1"/>
        <v>9.230000000000004</v>
      </c>
      <c r="DV7" s="29">
        <f t="shared" si="1"/>
        <v>8.9399999999999977</v>
      </c>
      <c r="DW7" s="29">
        <f t="shared" si="1"/>
        <v>8.7000000000000028</v>
      </c>
      <c r="DX7" s="29">
        <f t="shared" si="1"/>
        <v>8.5300000000000011</v>
      </c>
      <c r="DY7" s="29">
        <f t="shared" si="1"/>
        <v>8.0400000000000063</v>
      </c>
      <c r="DZ7" s="29">
        <f t="shared" si="1"/>
        <v>7.6500000000000057</v>
      </c>
      <c r="EA7" s="29">
        <f t="shared" ref="EA7:EC7" si="2">EA6-100</f>
        <v>6.9399999999999977</v>
      </c>
      <c r="EB7" s="29">
        <f t="shared" si="2"/>
        <v>6.1200000000000045</v>
      </c>
      <c r="EC7" s="29">
        <f t="shared" si="2"/>
        <v>5.4399999999999977</v>
      </c>
    </row>
    <row r="8" spans="1:133">
      <c r="B8">
        <v>14.659999999999997</v>
      </c>
      <c r="C8">
        <v>16.78</v>
      </c>
      <c r="D8">
        <v>17.53</v>
      </c>
      <c r="E8">
        <v>17.450000000000003</v>
      </c>
      <c r="F8">
        <v>17.11</v>
      </c>
      <c r="G8">
        <v>16.72</v>
      </c>
      <c r="H8">
        <v>16.450000000000003</v>
      </c>
      <c r="I8">
        <v>16.61</v>
      </c>
      <c r="J8">
        <v>16.549999999999997</v>
      </c>
      <c r="K8">
        <v>16.420000000000002</v>
      </c>
      <c r="L8">
        <v>15.909999999999997</v>
      </c>
      <c r="M8">
        <v>13.659999999999997</v>
      </c>
      <c r="N8">
        <v>10.700000000000003</v>
      </c>
      <c r="O8">
        <v>8.8799999999999955</v>
      </c>
      <c r="P8">
        <v>7.9599999999999937</v>
      </c>
      <c r="Q8">
        <v>7.6400000000000006</v>
      </c>
      <c r="R8">
        <v>7.5300000000000011</v>
      </c>
      <c r="S8">
        <v>7.4899999999999949</v>
      </c>
      <c r="T8">
        <v>7.4399999999999977</v>
      </c>
      <c r="U8">
        <v>7.0400000000000063</v>
      </c>
      <c r="V8">
        <v>6.730000000000004</v>
      </c>
      <c r="W8">
        <v>6.4099999999999966</v>
      </c>
      <c r="X8">
        <v>6.2099999999999937</v>
      </c>
      <c r="Y8">
        <v>5.9699999999999989</v>
      </c>
      <c r="Z8">
        <v>5.4899999999999949</v>
      </c>
      <c r="AA8">
        <v>4.9699999999999989</v>
      </c>
      <c r="AB8">
        <v>4.480000000000004</v>
      </c>
      <c r="AC8">
        <v>4.1099999999999994</v>
      </c>
      <c r="AD8">
        <v>3.769999999999996</v>
      </c>
      <c r="AE8">
        <v>3.4599999999999937</v>
      </c>
      <c r="AF8">
        <v>3.25</v>
      </c>
      <c r="AG8">
        <v>2.9699999999999989</v>
      </c>
      <c r="AH8">
        <v>2.7600000000000051</v>
      </c>
      <c r="AI8">
        <v>2.5100000000000051</v>
      </c>
      <c r="AJ8">
        <v>2.269999999999996</v>
      </c>
      <c r="AK8">
        <v>2.0999999999999943</v>
      </c>
      <c r="AL8">
        <v>1.9399999999999977</v>
      </c>
      <c r="AM8">
        <v>1.8799999999999955</v>
      </c>
      <c r="AN8">
        <v>1.8400000000000034</v>
      </c>
      <c r="AO8">
        <v>1.9399999999999977</v>
      </c>
      <c r="AP8">
        <v>2.0400000000000063</v>
      </c>
      <c r="AQ8">
        <v>2.269999999999996</v>
      </c>
      <c r="AR8">
        <v>2.4200000000000017</v>
      </c>
      <c r="AS8">
        <v>2.6299999999999955</v>
      </c>
      <c r="AT8">
        <v>2.7900000000000063</v>
      </c>
      <c r="AU8">
        <v>3.0900000000000034</v>
      </c>
      <c r="AV8">
        <v>3.3700000000000045</v>
      </c>
      <c r="AW8">
        <v>3.6899999999999977</v>
      </c>
      <c r="AX8">
        <v>4.1299999999999955</v>
      </c>
      <c r="AY8">
        <v>4.3900000000000006</v>
      </c>
      <c r="AZ8">
        <v>4.5999999999999943</v>
      </c>
      <c r="BA8">
        <v>4.6099999999999994</v>
      </c>
      <c r="BB8">
        <v>4.6800000000000068</v>
      </c>
      <c r="BC8">
        <v>4.5600000000000023</v>
      </c>
      <c r="BD8">
        <v>4.480000000000004</v>
      </c>
      <c r="BE8">
        <v>4.2900000000000063</v>
      </c>
      <c r="BF8">
        <v>3.9599999999999937</v>
      </c>
      <c r="BG8">
        <v>3.6800000000000068</v>
      </c>
      <c r="BH8">
        <v>3.480000000000004</v>
      </c>
      <c r="BI8">
        <v>4.1599999999999966</v>
      </c>
      <c r="BJ8">
        <v>2.6599999999999966</v>
      </c>
      <c r="BK8">
        <v>2.4000000000000057</v>
      </c>
      <c r="BL8">
        <v>2.6099999999999994</v>
      </c>
      <c r="BM8">
        <v>2.8599999999999994</v>
      </c>
      <c r="BN8">
        <v>2.8499999999999943</v>
      </c>
      <c r="BO8">
        <v>2.8900000000000006</v>
      </c>
      <c r="BP8">
        <v>2.9500000000000028</v>
      </c>
      <c r="BQ8">
        <v>3.1099999999999994</v>
      </c>
      <c r="BR8">
        <v>3.269999999999996</v>
      </c>
      <c r="BS8">
        <v>3.5799999999999983</v>
      </c>
      <c r="BT8">
        <v>3.8700000000000045</v>
      </c>
      <c r="BU8">
        <v>4.2099999999999937</v>
      </c>
      <c r="BV8">
        <v>4.5499999999999972</v>
      </c>
      <c r="BW8">
        <v>5.0400000000000063</v>
      </c>
      <c r="BX8">
        <v>5.3799999999999955</v>
      </c>
      <c r="BY8">
        <v>5.4699999999999989</v>
      </c>
      <c r="BZ8">
        <v>6.0400000000000063</v>
      </c>
      <c r="CA8">
        <v>6.5499999999999972</v>
      </c>
      <c r="CB8">
        <v>6.7800000000000011</v>
      </c>
      <c r="CC8">
        <v>7.0699999999999932</v>
      </c>
      <c r="CD8">
        <v>7.6099999999999994</v>
      </c>
      <c r="CE8">
        <v>8.0300000000000011</v>
      </c>
      <c r="CF8">
        <v>8.7099999999999937</v>
      </c>
      <c r="CG8">
        <v>8.89</v>
      </c>
      <c r="CH8">
        <v>9.2399999999999949</v>
      </c>
      <c r="CI8">
        <v>9.7399999999999949</v>
      </c>
      <c r="CJ8">
        <v>18.689999999999998</v>
      </c>
      <c r="CK8">
        <v>20.370000000000005</v>
      </c>
      <c r="CL8">
        <v>19.870000000000005</v>
      </c>
      <c r="CM8">
        <v>19.180000000000007</v>
      </c>
      <c r="CN8">
        <v>18.400000000000006</v>
      </c>
      <c r="CO8">
        <v>17.709999999999994</v>
      </c>
      <c r="CP8">
        <v>17.11</v>
      </c>
      <c r="CQ8">
        <v>16.159999999999997</v>
      </c>
      <c r="CR8">
        <v>15.060000000000002</v>
      </c>
      <c r="CS8">
        <v>14.310000000000002</v>
      </c>
      <c r="CT8">
        <v>13.719999999999999</v>
      </c>
      <c r="CU8">
        <v>12.689999999999998</v>
      </c>
      <c r="CV8">
        <v>3.7199999999999989</v>
      </c>
      <c r="CW8">
        <v>1.9899999999999949</v>
      </c>
      <c r="CX8">
        <v>2.1200000000000045</v>
      </c>
      <c r="CY8">
        <v>2.4399999999999977</v>
      </c>
      <c r="CZ8">
        <v>3.1800000000000068</v>
      </c>
      <c r="DA8">
        <v>3.9500000000000028</v>
      </c>
      <c r="DB8">
        <v>4.5900000000000034</v>
      </c>
      <c r="DC8">
        <v>5.5</v>
      </c>
      <c r="DD8">
        <v>6.3599999999999994</v>
      </c>
      <c r="DE8">
        <v>6.8299999999999983</v>
      </c>
      <c r="DF8">
        <v>7.1500000000000057</v>
      </c>
      <c r="DG8">
        <v>7.5900000000000034</v>
      </c>
      <c r="DH8">
        <v>7.8400000000000034</v>
      </c>
      <c r="DI8">
        <v>8.269999999999996</v>
      </c>
      <c r="DJ8">
        <v>8.64</v>
      </c>
      <c r="DK8">
        <v>8.730000000000004</v>
      </c>
      <c r="DL8">
        <v>8.5999999999999943</v>
      </c>
      <c r="DM8">
        <v>8.4399999999999977</v>
      </c>
      <c r="DN8">
        <v>8.2600000000000051</v>
      </c>
      <c r="DO8">
        <v>8.1800000000000068</v>
      </c>
      <c r="DP8">
        <v>8.2800000000000011</v>
      </c>
      <c r="DQ8">
        <v>8.9300000000000068</v>
      </c>
      <c r="DR8">
        <v>9.3199999999999932</v>
      </c>
      <c r="DS8">
        <v>9.5499999999999972</v>
      </c>
      <c r="DT8">
        <v>9.6500000000000057</v>
      </c>
      <c r="DU8">
        <v>9.230000000000004</v>
      </c>
      <c r="DV8">
        <v>8.9399999999999977</v>
      </c>
      <c r="DW8">
        <v>8.7000000000000028</v>
      </c>
      <c r="DX8">
        <v>8.5300000000000011</v>
      </c>
      <c r="DY8">
        <v>8.0400000000000063</v>
      </c>
      <c r="DZ8">
        <v>7.6500000000000057</v>
      </c>
      <c r="EA8">
        <v>6.9399999999999977</v>
      </c>
      <c r="EB8">
        <v>6.1200000000000045</v>
      </c>
      <c r="EC8">
        <v>5.4399999999999977</v>
      </c>
    </row>
  </sheetData>
  <mergeCells count="13">
    <mergeCell ref="CT3:DE3"/>
    <mergeCell ref="DF3:DQ3"/>
    <mergeCell ref="DR3:EC3"/>
    <mergeCell ref="AL3:AW3"/>
    <mergeCell ref="AX3:BI3"/>
    <mergeCell ref="BJ3:BU3"/>
    <mergeCell ref="BV3:CG3"/>
    <mergeCell ref="CH3:CS3"/>
    <mergeCell ref="A1:Z1"/>
    <mergeCell ref="A3:A5"/>
    <mergeCell ref="B3:M3"/>
    <mergeCell ref="N3:Y3"/>
    <mergeCell ref="Z3:A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5E7E-F320-5740-A76E-C9CE49BD36B0}">
  <dimension ref="A1:EG12"/>
  <sheetViews>
    <sheetView workbookViewId="0">
      <selection activeCell="C10" sqref="C10:ED10"/>
    </sheetView>
  </sheetViews>
  <sheetFormatPr baseColWidth="10" defaultRowHeight="16"/>
  <cols>
    <col min="1" max="1" width="10.5" bestFit="1" customWidth="1"/>
    <col min="2" max="2" width="11.5" customWidth="1"/>
    <col min="3" max="3" width="6.6640625" bestFit="1" customWidth="1"/>
    <col min="4" max="4" width="8" bestFit="1" customWidth="1"/>
    <col min="5" max="6" width="6.6640625" bestFit="1" customWidth="1"/>
    <col min="7" max="7" width="5.6640625" bestFit="1" customWidth="1"/>
    <col min="8" max="9" width="6.6640625" bestFit="1" customWidth="1"/>
    <col min="10" max="10" width="6" bestFit="1" customWidth="1"/>
    <col min="11" max="11" width="8.33203125" bestFit="1" customWidth="1"/>
    <col min="12" max="12" width="7.1640625" bestFit="1" customWidth="1"/>
    <col min="13" max="13" width="6.6640625" bestFit="1" customWidth="1"/>
    <col min="14" max="14" width="7.5" bestFit="1" customWidth="1"/>
    <col min="15" max="15" width="6.6640625" bestFit="1" customWidth="1"/>
    <col min="16" max="16" width="8" bestFit="1" customWidth="1"/>
    <col min="17" max="21" width="6.6640625" bestFit="1" customWidth="1"/>
    <col min="22" max="22" width="6" bestFit="1" customWidth="1"/>
    <col min="23" max="23" width="8.33203125" bestFit="1" customWidth="1"/>
    <col min="24" max="24" width="7.1640625" bestFit="1" customWidth="1"/>
    <col min="25" max="25" width="6.6640625" bestFit="1" customWidth="1"/>
    <col min="26" max="26" width="7.5" bestFit="1" customWidth="1"/>
    <col min="27" max="27" width="6.6640625" bestFit="1" customWidth="1"/>
    <col min="28" max="28" width="8" bestFit="1" customWidth="1"/>
    <col min="29" max="29" width="5.6640625" bestFit="1" customWidth="1"/>
    <col min="30" max="30" width="6.6640625" bestFit="1" customWidth="1"/>
    <col min="31" max="31" width="4.6640625" bestFit="1" customWidth="1"/>
    <col min="32" max="33" width="5.6640625" bestFit="1" customWidth="1"/>
    <col min="34" max="34" width="6.6640625" bestFit="1" customWidth="1"/>
    <col min="35" max="35" width="8.33203125" bestFit="1" customWidth="1"/>
    <col min="36" max="36" width="7.1640625" bestFit="1" customWidth="1"/>
    <col min="37" max="37" width="6.6640625" bestFit="1" customWidth="1"/>
    <col min="38" max="38" width="7.5" bestFit="1" customWidth="1"/>
    <col min="39" max="39" width="6.6640625" bestFit="1" customWidth="1"/>
    <col min="40" max="40" width="8" bestFit="1" customWidth="1"/>
    <col min="41" max="42" width="6.6640625" bestFit="1" customWidth="1"/>
    <col min="43" max="43" width="5.6640625" bestFit="1" customWidth="1"/>
    <col min="44" max="44" width="6.6640625" bestFit="1" customWidth="1"/>
    <col min="45" max="45" width="5.6640625" bestFit="1" customWidth="1"/>
    <col min="46" max="46" width="6.6640625" bestFit="1" customWidth="1"/>
    <col min="47" max="47" width="8.33203125" bestFit="1" customWidth="1"/>
    <col min="48" max="48" width="7.1640625" bestFit="1" customWidth="1"/>
    <col min="49" max="49" width="6.6640625" bestFit="1" customWidth="1"/>
    <col min="50" max="50" width="7.5" bestFit="1" customWidth="1"/>
    <col min="51" max="51" width="6.6640625" bestFit="1" customWidth="1"/>
    <col min="52" max="52" width="8" bestFit="1" customWidth="1"/>
    <col min="53" max="53" width="5.6640625" bestFit="1" customWidth="1"/>
    <col min="54" max="55" width="6.6640625" bestFit="1" customWidth="1"/>
    <col min="56" max="57" width="5.6640625" bestFit="1" customWidth="1"/>
    <col min="58" max="58" width="6" bestFit="1" customWidth="1"/>
    <col min="59" max="59" width="8.33203125" bestFit="1" customWidth="1"/>
    <col min="60" max="60" width="7.1640625" bestFit="1" customWidth="1"/>
    <col min="61" max="61" width="6.6640625" bestFit="1" customWidth="1"/>
    <col min="62" max="62" width="7.5" bestFit="1" customWidth="1"/>
    <col min="63" max="63" width="6.6640625" bestFit="1" customWidth="1"/>
    <col min="64" max="64" width="8" bestFit="1" customWidth="1"/>
    <col min="65" max="66" width="6.6640625" bestFit="1" customWidth="1"/>
    <col min="67" max="68" width="5.6640625" bestFit="1" customWidth="1"/>
    <col min="69" max="70" width="6.6640625" bestFit="1" customWidth="1"/>
    <col min="71" max="71" width="8.33203125" bestFit="1" customWidth="1"/>
    <col min="72" max="72" width="7.1640625" bestFit="1" customWidth="1"/>
    <col min="73" max="73" width="6.6640625" bestFit="1" customWidth="1"/>
    <col min="74" max="74" width="7.5" bestFit="1" customWidth="1"/>
    <col min="75" max="75" width="6.6640625" bestFit="1" customWidth="1"/>
    <col min="76" max="76" width="8" bestFit="1" customWidth="1"/>
    <col min="77" max="79" width="6.6640625" bestFit="1" customWidth="1"/>
    <col min="80" max="80" width="5.6640625" bestFit="1" customWidth="1"/>
    <col min="81" max="82" width="6.6640625" bestFit="1" customWidth="1"/>
    <col min="83" max="83" width="8.33203125" bestFit="1" customWidth="1"/>
    <col min="84" max="84" width="7.1640625" bestFit="1" customWidth="1"/>
    <col min="85" max="85" width="6.6640625" bestFit="1" customWidth="1"/>
    <col min="86" max="86" width="7.5" bestFit="1" customWidth="1"/>
    <col min="87" max="87" width="6.6640625" bestFit="1" customWidth="1"/>
    <col min="88" max="88" width="8" bestFit="1" customWidth="1"/>
    <col min="89" max="90" width="6.6640625" bestFit="1" customWidth="1"/>
    <col min="91" max="93" width="5.6640625" bestFit="1" customWidth="1"/>
    <col min="94" max="94" width="6" bestFit="1" customWidth="1"/>
    <col min="95" max="95" width="8.33203125" bestFit="1" customWidth="1"/>
    <col min="96" max="96" width="7.1640625" bestFit="1" customWidth="1"/>
    <col min="97" max="97" width="6.6640625" bestFit="1" customWidth="1"/>
    <col min="98" max="98" width="7.5" bestFit="1" customWidth="1"/>
    <col min="99" max="99" width="6.6640625" bestFit="1" customWidth="1"/>
    <col min="100" max="100" width="8" bestFit="1" customWidth="1"/>
    <col min="101" max="106" width="6.6640625" bestFit="1" customWidth="1"/>
    <col min="107" max="107" width="8.33203125" bestFit="1" customWidth="1"/>
    <col min="108" max="108" width="7.1640625" bestFit="1" customWidth="1"/>
    <col min="109" max="109" width="6.6640625" bestFit="1" customWidth="1"/>
    <col min="110" max="110" width="7.5" bestFit="1" customWidth="1"/>
    <col min="111" max="111" width="6.6640625" bestFit="1" customWidth="1"/>
    <col min="112" max="112" width="8" bestFit="1" customWidth="1"/>
    <col min="113" max="115" width="6.6640625" bestFit="1" customWidth="1"/>
    <col min="116" max="116" width="5.6640625" bestFit="1" customWidth="1"/>
    <col min="117" max="118" width="6.6640625" bestFit="1" customWidth="1"/>
    <col min="119" max="119" width="8.33203125" bestFit="1" customWidth="1"/>
    <col min="120" max="120" width="7.1640625" bestFit="1" customWidth="1"/>
    <col min="121" max="121" width="6.6640625" bestFit="1" customWidth="1"/>
    <col min="122" max="122" width="7.5" bestFit="1" customWidth="1"/>
    <col min="123" max="123" width="6.6640625" bestFit="1" customWidth="1"/>
    <col min="124" max="124" width="8" bestFit="1" customWidth="1"/>
    <col min="125" max="125" width="5.6640625" bestFit="1" customWidth="1"/>
    <col min="126" max="126" width="6.6640625" bestFit="1" customWidth="1"/>
    <col min="127" max="128" width="5.6640625" bestFit="1" customWidth="1"/>
    <col min="129" max="130" width="6.6640625" bestFit="1" customWidth="1"/>
    <col min="131" max="131" width="8.33203125" bestFit="1" customWidth="1"/>
    <col min="132" max="132" width="7.1640625" bestFit="1" customWidth="1"/>
    <col min="133" max="133" width="6.6640625" bestFit="1" customWidth="1"/>
    <col min="134" max="134" width="7.5" bestFit="1" customWidth="1"/>
    <col min="135" max="135" width="6.6640625" bestFit="1" customWidth="1"/>
    <col min="136" max="136" width="8" bestFit="1" customWidth="1"/>
    <col min="137" max="137" width="6.6640625" bestFit="1" customWidth="1"/>
  </cols>
  <sheetData>
    <row r="1" spans="1:137" s="2" customFormat="1" ht="14">
      <c r="A1" s="116" t="s">
        <v>102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7" t="s">
        <v>105</v>
      </c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  <c r="CF1" s="117"/>
      <c r="CG1" s="117"/>
      <c r="CH1" s="117"/>
      <c r="CI1" s="117"/>
      <c r="CJ1" s="117"/>
      <c r="CK1" s="117"/>
      <c r="CL1" s="117"/>
      <c r="CM1" s="117"/>
      <c r="CN1" s="117"/>
      <c r="CO1" s="117"/>
      <c r="CP1" s="117"/>
      <c r="CQ1" s="117"/>
      <c r="CR1" s="117"/>
      <c r="CS1" s="117"/>
      <c r="CT1" s="117"/>
      <c r="CU1" s="117"/>
      <c r="CV1" s="117"/>
      <c r="CW1" s="117"/>
      <c r="CX1" s="117"/>
      <c r="CY1" s="117"/>
      <c r="CZ1" s="117"/>
      <c r="DA1" s="117"/>
      <c r="DB1" s="117"/>
      <c r="DC1" s="117"/>
      <c r="DD1" s="117"/>
      <c r="DE1" s="117"/>
      <c r="DF1" s="117"/>
      <c r="DG1" s="117"/>
      <c r="DH1" s="117"/>
      <c r="DI1" s="117"/>
      <c r="DJ1" s="117"/>
      <c r="DK1" s="117"/>
      <c r="DL1" s="117"/>
      <c r="DM1" s="117"/>
      <c r="DN1" s="117"/>
      <c r="DO1" s="117"/>
      <c r="DP1" s="117"/>
      <c r="DQ1" s="117"/>
      <c r="DR1" s="117"/>
      <c r="DS1" s="117"/>
      <c r="DT1" s="117"/>
      <c r="DU1" s="117"/>
      <c r="DV1" s="117"/>
      <c r="DW1" s="117"/>
      <c r="DX1" s="117"/>
      <c r="DY1" s="117"/>
      <c r="DZ1" s="117"/>
      <c r="EA1" s="117"/>
      <c r="EB1" s="117"/>
      <c r="EC1" s="117"/>
      <c r="ED1" s="117"/>
    </row>
    <row r="2" spans="1:137" s="2" customFormat="1" ht="14">
      <c r="A2" s="2" t="s">
        <v>57</v>
      </c>
    </row>
    <row r="3" spans="1:137" s="2" customFormat="1" ht="14">
      <c r="A3" s="95" t="s">
        <v>57</v>
      </c>
      <c r="B3" s="95" t="s">
        <v>57</v>
      </c>
      <c r="C3" s="114" t="s">
        <v>104</v>
      </c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  <c r="BP3" s="115"/>
      <c r="BQ3" s="115"/>
      <c r="BR3" s="115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  <c r="CN3" s="115"/>
      <c r="CO3" s="115"/>
      <c r="CP3" s="115"/>
      <c r="CQ3" s="115"/>
      <c r="CR3" s="115"/>
      <c r="CS3" s="115"/>
      <c r="CT3" s="115"/>
      <c r="CU3" s="115"/>
      <c r="CV3" s="115"/>
      <c r="CW3" s="115"/>
      <c r="CX3" s="115"/>
      <c r="CY3" s="115"/>
      <c r="CZ3" s="115"/>
      <c r="DA3" s="115"/>
      <c r="DB3" s="115"/>
      <c r="DC3" s="115"/>
      <c r="DD3" s="115"/>
      <c r="DE3" s="115"/>
      <c r="DF3" s="115"/>
      <c r="DG3" s="115"/>
      <c r="DH3" s="115"/>
      <c r="DI3" s="115"/>
      <c r="DJ3" s="115"/>
      <c r="DK3" s="115"/>
      <c r="DL3" s="115"/>
      <c r="DM3" s="115"/>
      <c r="DN3" s="115"/>
      <c r="DO3" s="115"/>
      <c r="DP3" s="115"/>
      <c r="DQ3" s="115"/>
      <c r="DR3" s="115"/>
      <c r="DS3" s="115"/>
      <c r="DT3" s="115"/>
      <c r="DU3" s="115"/>
      <c r="DV3" s="115"/>
      <c r="DW3" s="115"/>
      <c r="DX3" s="115"/>
      <c r="DY3" s="115"/>
      <c r="DZ3" s="115"/>
      <c r="EA3" s="115"/>
      <c r="EB3" s="115"/>
      <c r="EC3" s="115"/>
      <c r="ED3" s="115"/>
    </row>
    <row r="4" spans="1:137" s="2" customFormat="1" ht="14">
      <c r="A4" s="95" t="s">
        <v>57</v>
      </c>
      <c r="B4" s="95" t="s">
        <v>57</v>
      </c>
      <c r="C4" s="114" t="s">
        <v>70</v>
      </c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115"/>
      <c r="CD4" s="115"/>
      <c r="CE4" s="115"/>
      <c r="CF4" s="115"/>
      <c r="CG4" s="115"/>
      <c r="CH4" s="115"/>
      <c r="CI4" s="115"/>
      <c r="CJ4" s="115"/>
      <c r="CK4" s="115"/>
      <c r="CL4" s="115"/>
      <c r="CM4" s="115"/>
      <c r="CN4" s="115"/>
      <c r="CO4" s="115"/>
      <c r="CP4" s="115"/>
      <c r="CQ4" s="115"/>
      <c r="CR4" s="115"/>
      <c r="CS4" s="115"/>
      <c r="CT4" s="115"/>
      <c r="CU4" s="115"/>
      <c r="CV4" s="115"/>
      <c r="CW4" s="115"/>
      <c r="CX4" s="115"/>
      <c r="CY4" s="115"/>
      <c r="CZ4" s="115"/>
      <c r="DA4" s="115"/>
      <c r="DB4" s="115"/>
      <c r="DC4" s="115"/>
      <c r="DD4" s="115"/>
      <c r="DE4" s="115"/>
      <c r="DF4" s="115"/>
      <c r="DG4" s="115"/>
      <c r="DH4" s="115"/>
      <c r="DI4" s="115"/>
      <c r="DJ4" s="115"/>
      <c r="DK4" s="115"/>
      <c r="DL4" s="115"/>
      <c r="DM4" s="115"/>
      <c r="DN4" s="115"/>
      <c r="DO4" s="115"/>
      <c r="DP4" s="115"/>
      <c r="DQ4" s="115"/>
      <c r="DR4" s="115"/>
      <c r="DS4" s="115"/>
      <c r="DT4" s="115"/>
      <c r="DU4" s="115"/>
      <c r="DV4" s="115"/>
      <c r="DW4" s="115"/>
      <c r="DX4" s="115"/>
      <c r="DY4" s="115"/>
      <c r="DZ4" s="115"/>
      <c r="EA4" s="115"/>
      <c r="EB4" s="115"/>
      <c r="EC4" s="115"/>
      <c r="ED4" s="115"/>
    </row>
    <row r="5" spans="1:137" s="2" customFormat="1" ht="14">
      <c r="A5" s="95" t="s">
        <v>57</v>
      </c>
      <c r="B5" s="95" t="s">
        <v>57</v>
      </c>
      <c r="C5" s="112" t="s">
        <v>99</v>
      </c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  <c r="CD5" s="113"/>
      <c r="CE5" s="113"/>
      <c r="CF5" s="113"/>
      <c r="CG5" s="113"/>
      <c r="CH5" s="113"/>
      <c r="CI5" s="113"/>
      <c r="CJ5" s="113"/>
      <c r="CK5" s="113"/>
      <c r="CL5" s="113"/>
      <c r="CM5" s="113"/>
      <c r="CN5" s="113"/>
      <c r="CO5" s="113"/>
      <c r="CP5" s="113"/>
      <c r="CQ5" s="113"/>
      <c r="CR5" s="113"/>
      <c r="CS5" s="113"/>
      <c r="CT5" s="113"/>
      <c r="CU5" s="113"/>
      <c r="CV5" s="113"/>
      <c r="CW5" s="113"/>
      <c r="CX5" s="113"/>
      <c r="CY5" s="113"/>
      <c r="CZ5" s="113"/>
      <c r="DA5" s="113"/>
      <c r="DB5" s="113"/>
      <c r="DC5" s="113"/>
      <c r="DD5" s="113"/>
      <c r="DE5" s="113"/>
      <c r="DF5" s="113"/>
      <c r="DG5" s="113"/>
      <c r="DH5" s="113"/>
      <c r="DI5" s="113"/>
      <c r="DJ5" s="113"/>
      <c r="DK5" s="113"/>
      <c r="DL5" s="113"/>
      <c r="DM5" s="113"/>
      <c r="DN5" s="113"/>
      <c r="DO5" s="113"/>
      <c r="DP5" s="113"/>
      <c r="DQ5" s="113"/>
      <c r="DR5" s="113"/>
      <c r="DS5" s="113"/>
      <c r="DT5" s="113"/>
      <c r="DU5" s="113"/>
      <c r="DV5" s="113"/>
      <c r="DW5" s="113"/>
      <c r="DX5" s="113"/>
      <c r="DY5" s="113"/>
      <c r="DZ5" s="113"/>
      <c r="EA5" s="113"/>
      <c r="EB5" s="113"/>
      <c r="EC5" s="113"/>
      <c r="ED5" s="113"/>
    </row>
    <row r="6" spans="1:137" s="2" customFormat="1" ht="14">
      <c r="A6" s="95" t="s">
        <v>57</v>
      </c>
      <c r="B6" s="95" t="s">
        <v>57</v>
      </c>
      <c r="C6" s="95" t="s">
        <v>58</v>
      </c>
      <c r="D6" s="95" t="s">
        <v>57</v>
      </c>
      <c r="E6" s="95" t="s">
        <v>57</v>
      </c>
      <c r="F6" s="95" t="s">
        <v>57</v>
      </c>
      <c r="G6" s="95" t="s">
        <v>57</v>
      </c>
      <c r="H6" s="95" t="s">
        <v>57</v>
      </c>
      <c r="I6" s="95" t="s">
        <v>57</v>
      </c>
      <c r="J6" s="95" t="s">
        <v>57</v>
      </c>
      <c r="K6" s="95" t="s">
        <v>57</v>
      </c>
      <c r="L6" s="95" t="s">
        <v>57</v>
      </c>
      <c r="M6" s="95" t="s">
        <v>57</v>
      </c>
      <c r="N6" s="95" t="s">
        <v>57</v>
      </c>
      <c r="O6" s="95" t="s">
        <v>59</v>
      </c>
      <c r="P6" s="95" t="s">
        <v>57</v>
      </c>
      <c r="Q6" s="95" t="s">
        <v>57</v>
      </c>
      <c r="R6" s="95" t="s">
        <v>57</v>
      </c>
      <c r="S6" s="95" t="s">
        <v>57</v>
      </c>
      <c r="T6" s="95" t="s">
        <v>57</v>
      </c>
      <c r="U6" s="95" t="s">
        <v>57</v>
      </c>
      <c r="V6" s="95" t="s">
        <v>57</v>
      </c>
      <c r="W6" s="95" t="s">
        <v>57</v>
      </c>
      <c r="X6" s="95" t="s">
        <v>57</v>
      </c>
      <c r="Y6" s="95" t="s">
        <v>57</v>
      </c>
      <c r="Z6" s="95" t="s">
        <v>57</v>
      </c>
      <c r="AA6" s="95" t="s">
        <v>60</v>
      </c>
      <c r="AB6" s="95" t="s">
        <v>57</v>
      </c>
      <c r="AC6" s="95" t="s">
        <v>57</v>
      </c>
      <c r="AD6" s="95" t="s">
        <v>57</v>
      </c>
      <c r="AE6" s="95" t="s">
        <v>57</v>
      </c>
      <c r="AF6" s="95" t="s">
        <v>57</v>
      </c>
      <c r="AG6" s="95" t="s">
        <v>57</v>
      </c>
      <c r="AH6" s="95" t="s">
        <v>57</v>
      </c>
      <c r="AI6" s="95" t="s">
        <v>57</v>
      </c>
      <c r="AJ6" s="95" t="s">
        <v>57</v>
      </c>
      <c r="AK6" s="95" t="s">
        <v>57</v>
      </c>
      <c r="AL6" s="95" t="s">
        <v>57</v>
      </c>
      <c r="AM6" s="95" t="s">
        <v>61</v>
      </c>
      <c r="AN6" s="95" t="s">
        <v>57</v>
      </c>
      <c r="AO6" s="95" t="s">
        <v>57</v>
      </c>
      <c r="AP6" s="95" t="s">
        <v>57</v>
      </c>
      <c r="AQ6" s="95" t="s">
        <v>57</v>
      </c>
      <c r="AR6" s="95" t="s">
        <v>57</v>
      </c>
      <c r="AS6" s="95" t="s">
        <v>57</v>
      </c>
      <c r="AT6" s="95" t="s">
        <v>57</v>
      </c>
      <c r="AU6" s="95" t="s">
        <v>57</v>
      </c>
      <c r="AV6" s="95" t="s">
        <v>57</v>
      </c>
      <c r="AW6" s="95" t="s">
        <v>57</v>
      </c>
      <c r="AX6" s="95" t="s">
        <v>57</v>
      </c>
      <c r="AY6" s="95" t="s">
        <v>62</v>
      </c>
      <c r="AZ6" s="95" t="s">
        <v>57</v>
      </c>
      <c r="BA6" s="95" t="s">
        <v>57</v>
      </c>
      <c r="BB6" s="95" t="s">
        <v>57</v>
      </c>
      <c r="BC6" s="95" t="s">
        <v>57</v>
      </c>
      <c r="BD6" s="95" t="s">
        <v>57</v>
      </c>
      <c r="BE6" s="95" t="s">
        <v>57</v>
      </c>
      <c r="BF6" s="95" t="s">
        <v>57</v>
      </c>
      <c r="BG6" s="95" t="s">
        <v>57</v>
      </c>
      <c r="BH6" s="95" t="s">
        <v>57</v>
      </c>
      <c r="BI6" s="95" t="s">
        <v>57</v>
      </c>
      <c r="BJ6" s="95" t="s">
        <v>57</v>
      </c>
      <c r="BK6" s="95" t="s">
        <v>63</v>
      </c>
      <c r="BL6" s="95" t="s">
        <v>57</v>
      </c>
      <c r="BM6" s="95" t="s">
        <v>57</v>
      </c>
      <c r="BN6" s="95" t="s">
        <v>57</v>
      </c>
      <c r="BO6" s="95" t="s">
        <v>57</v>
      </c>
      <c r="BP6" s="95" t="s">
        <v>57</v>
      </c>
      <c r="BQ6" s="95" t="s">
        <v>57</v>
      </c>
      <c r="BR6" s="95" t="s">
        <v>57</v>
      </c>
      <c r="BS6" s="95" t="s">
        <v>57</v>
      </c>
      <c r="BT6" s="95" t="s">
        <v>57</v>
      </c>
      <c r="BU6" s="95" t="s">
        <v>57</v>
      </c>
      <c r="BV6" s="95" t="s">
        <v>57</v>
      </c>
      <c r="BW6" s="95" t="s">
        <v>64</v>
      </c>
      <c r="BX6" s="95" t="s">
        <v>57</v>
      </c>
      <c r="BY6" s="95" t="s">
        <v>57</v>
      </c>
      <c r="BZ6" s="95" t="s">
        <v>57</v>
      </c>
      <c r="CA6" s="95" t="s">
        <v>57</v>
      </c>
      <c r="CB6" s="95" t="s">
        <v>57</v>
      </c>
      <c r="CC6" s="95" t="s">
        <v>57</v>
      </c>
      <c r="CD6" s="95" t="s">
        <v>57</v>
      </c>
      <c r="CE6" s="95" t="s">
        <v>57</v>
      </c>
      <c r="CF6" s="95" t="s">
        <v>57</v>
      </c>
      <c r="CG6" s="95" t="s">
        <v>57</v>
      </c>
      <c r="CH6" s="95" t="s">
        <v>57</v>
      </c>
      <c r="CI6" s="95" t="s">
        <v>65</v>
      </c>
      <c r="CJ6" s="95" t="s">
        <v>57</v>
      </c>
      <c r="CK6" s="95" t="s">
        <v>57</v>
      </c>
      <c r="CL6" s="95" t="s">
        <v>57</v>
      </c>
      <c r="CM6" s="95" t="s">
        <v>57</v>
      </c>
      <c r="CN6" s="95" t="s">
        <v>57</v>
      </c>
      <c r="CO6" s="95" t="s">
        <v>57</v>
      </c>
      <c r="CP6" s="95" t="s">
        <v>57</v>
      </c>
      <c r="CQ6" s="95" t="s">
        <v>57</v>
      </c>
      <c r="CR6" s="95" t="s">
        <v>57</v>
      </c>
      <c r="CS6" s="95" t="s">
        <v>57</v>
      </c>
      <c r="CT6" s="95" t="s">
        <v>57</v>
      </c>
      <c r="CU6" s="95" t="s">
        <v>66</v>
      </c>
      <c r="CV6" s="95" t="s">
        <v>57</v>
      </c>
      <c r="CW6" s="95" t="s">
        <v>57</v>
      </c>
      <c r="CX6" s="95" t="s">
        <v>57</v>
      </c>
      <c r="CY6" s="95" t="s">
        <v>57</v>
      </c>
      <c r="CZ6" s="95" t="s">
        <v>57</v>
      </c>
      <c r="DA6" s="95" t="s">
        <v>57</v>
      </c>
      <c r="DB6" s="95" t="s">
        <v>57</v>
      </c>
      <c r="DC6" s="95" t="s">
        <v>57</v>
      </c>
      <c r="DD6" s="95" t="s">
        <v>57</v>
      </c>
      <c r="DE6" s="95" t="s">
        <v>57</v>
      </c>
      <c r="DF6" s="95" t="s">
        <v>57</v>
      </c>
      <c r="DG6" s="95" t="s">
        <v>67</v>
      </c>
      <c r="DH6" s="95" t="s">
        <v>57</v>
      </c>
      <c r="DI6" s="95" t="s">
        <v>57</v>
      </c>
      <c r="DJ6" s="95" t="s">
        <v>57</v>
      </c>
      <c r="DK6" s="95" t="s">
        <v>57</v>
      </c>
      <c r="DL6" s="95" t="s">
        <v>57</v>
      </c>
      <c r="DM6" s="95" t="s">
        <v>57</v>
      </c>
      <c r="DN6" s="95" t="s">
        <v>57</v>
      </c>
      <c r="DO6" s="95" t="s">
        <v>57</v>
      </c>
      <c r="DP6" s="95" t="s">
        <v>57</v>
      </c>
      <c r="DQ6" s="95" t="s">
        <v>57</v>
      </c>
      <c r="DR6" s="95" t="s">
        <v>57</v>
      </c>
      <c r="DS6" s="95" t="s">
        <v>68</v>
      </c>
      <c r="DT6" s="95" t="s">
        <v>57</v>
      </c>
      <c r="DU6" s="95" t="s">
        <v>57</v>
      </c>
      <c r="DV6" s="95" t="s">
        <v>57</v>
      </c>
      <c r="DW6" s="95" t="s">
        <v>57</v>
      </c>
      <c r="DX6" s="95" t="s">
        <v>57</v>
      </c>
      <c r="DY6" s="95" t="s">
        <v>57</v>
      </c>
      <c r="DZ6" s="95" t="s">
        <v>57</v>
      </c>
      <c r="EA6" s="95" t="s">
        <v>57</v>
      </c>
      <c r="EB6" s="95" t="s">
        <v>57</v>
      </c>
      <c r="EC6" s="95" t="s">
        <v>57</v>
      </c>
      <c r="ED6" s="95" t="s">
        <v>57</v>
      </c>
      <c r="EE6" s="95" t="s">
        <v>69</v>
      </c>
      <c r="EF6" s="95" t="s">
        <v>57</v>
      </c>
      <c r="EG6" s="95" t="s">
        <v>57</v>
      </c>
    </row>
    <row r="7" spans="1:137" s="2" customFormat="1" ht="15">
      <c r="A7" s="95" t="s">
        <v>57</v>
      </c>
      <c r="B7" s="95" t="s">
        <v>57</v>
      </c>
      <c r="C7" s="12" t="s">
        <v>41</v>
      </c>
      <c r="D7" s="12" t="s">
        <v>42</v>
      </c>
      <c r="E7" s="12" t="s">
        <v>43</v>
      </c>
      <c r="F7" s="12" t="s">
        <v>44</v>
      </c>
      <c r="G7" s="12" t="s">
        <v>45</v>
      </c>
      <c r="H7" s="12" t="s">
        <v>46</v>
      </c>
      <c r="I7" s="12" t="s">
        <v>47</v>
      </c>
      <c r="J7" s="12" t="s">
        <v>48</v>
      </c>
      <c r="K7" s="12" t="s">
        <v>49</v>
      </c>
      <c r="L7" s="12" t="s">
        <v>50</v>
      </c>
      <c r="M7" s="12" t="s">
        <v>51</v>
      </c>
      <c r="N7" s="12" t="s">
        <v>52</v>
      </c>
      <c r="O7" s="12" t="s">
        <v>41</v>
      </c>
      <c r="P7" s="12" t="s">
        <v>42</v>
      </c>
      <c r="Q7" s="12" t="s">
        <v>43</v>
      </c>
      <c r="R7" s="12" t="s">
        <v>44</v>
      </c>
      <c r="S7" s="12" t="s">
        <v>45</v>
      </c>
      <c r="T7" s="12" t="s">
        <v>46</v>
      </c>
      <c r="U7" s="12" t="s">
        <v>47</v>
      </c>
      <c r="V7" s="12" t="s">
        <v>48</v>
      </c>
      <c r="W7" s="12" t="s">
        <v>49</v>
      </c>
      <c r="X7" s="12" t="s">
        <v>50</v>
      </c>
      <c r="Y7" s="12" t="s">
        <v>51</v>
      </c>
      <c r="Z7" s="12" t="s">
        <v>52</v>
      </c>
      <c r="AA7" s="12" t="s">
        <v>41</v>
      </c>
      <c r="AB7" s="12" t="s">
        <v>42</v>
      </c>
      <c r="AC7" s="12" t="s">
        <v>43</v>
      </c>
      <c r="AD7" s="12" t="s">
        <v>44</v>
      </c>
      <c r="AE7" s="12" t="s">
        <v>45</v>
      </c>
      <c r="AF7" s="12" t="s">
        <v>46</v>
      </c>
      <c r="AG7" s="12" t="s">
        <v>47</v>
      </c>
      <c r="AH7" s="12" t="s">
        <v>48</v>
      </c>
      <c r="AI7" s="12" t="s">
        <v>49</v>
      </c>
      <c r="AJ7" s="12" t="s">
        <v>50</v>
      </c>
      <c r="AK7" s="12" t="s">
        <v>51</v>
      </c>
      <c r="AL7" s="12" t="s">
        <v>52</v>
      </c>
      <c r="AM7" s="12" t="s">
        <v>41</v>
      </c>
      <c r="AN7" s="12" t="s">
        <v>42</v>
      </c>
      <c r="AO7" s="12" t="s">
        <v>43</v>
      </c>
      <c r="AP7" s="12" t="s">
        <v>44</v>
      </c>
      <c r="AQ7" s="12" t="s">
        <v>45</v>
      </c>
      <c r="AR7" s="12" t="s">
        <v>46</v>
      </c>
      <c r="AS7" s="12" t="s">
        <v>47</v>
      </c>
      <c r="AT7" s="12" t="s">
        <v>48</v>
      </c>
      <c r="AU7" s="12" t="s">
        <v>49</v>
      </c>
      <c r="AV7" s="12" t="s">
        <v>50</v>
      </c>
      <c r="AW7" s="12" t="s">
        <v>51</v>
      </c>
      <c r="AX7" s="12" t="s">
        <v>52</v>
      </c>
      <c r="AY7" s="12" t="s">
        <v>41</v>
      </c>
      <c r="AZ7" s="12" t="s">
        <v>42</v>
      </c>
      <c r="BA7" s="12" t="s">
        <v>43</v>
      </c>
      <c r="BB7" s="12" t="s">
        <v>44</v>
      </c>
      <c r="BC7" s="12" t="s">
        <v>45</v>
      </c>
      <c r="BD7" s="12" t="s">
        <v>46</v>
      </c>
      <c r="BE7" s="12" t="s">
        <v>47</v>
      </c>
      <c r="BF7" s="12" t="s">
        <v>48</v>
      </c>
      <c r="BG7" s="12" t="s">
        <v>49</v>
      </c>
      <c r="BH7" s="12" t="s">
        <v>50</v>
      </c>
      <c r="BI7" s="12" t="s">
        <v>51</v>
      </c>
      <c r="BJ7" s="12" t="s">
        <v>52</v>
      </c>
      <c r="BK7" s="12" t="s">
        <v>41</v>
      </c>
      <c r="BL7" s="12" t="s">
        <v>42</v>
      </c>
      <c r="BM7" s="12" t="s">
        <v>43</v>
      </c>
      <c r="BN7" s="12" t="s">
        <v>44</v>
      </c>
      <c r="BO7" s="12" t="s">
        <v>45</v>
      </c>
      <c r="BP7" s="12" t="s">
        <v>46</v>
      </c>
      <c r="BQ7" s="12" t="s">
        <v>47</v>
      </c>
      <c r="BR7" s="12" t="s">
        <v>48</v>
      </c>
      <c r="BS7" s="12" t="s">
        <v>49</v>
      </c>
      <c r="BT7" s="12" t="s">
        <v>50</v>
      </c>
      <c r="BU7" s="12" t="s">
        <v>51</v>
      </c>
      <c r="BV7" s="12" t="s">
        <v>52</v>
      </c>
      <c r="BW7" s="12" t="s">
        <v>41</v>
      </c>
      <c r="BX7" s="12" t="s">
        <v>42</v>
      </c>
      <c r="BY7" s="12" t="s">
        <v>43</v>
      </c>
      <c r="BZ7" s="12" t="s">
        <v>44</v>
      </c>
      <c r="CA7" s="12" t="s">
        <v>45</v>
      </c>
      <c r="CB7" s="12" t="s">
        <v>46</v>
      </c>
      <c r="CC7" s="12" t="s">
        <v>47</v>
      </c>
      <c r="CD7" s="12" t="s">
        <v>48</v>
      </c>
      <c r="CE7" s="12" t="s">
        <v>49</v>
      </c>
      <c r="CF7" s="12" t="s">
        <v>50</v>
      </c>
      <c r="CG7" s="12" t="s">
        <v>51</v>
      </c>
      <c r="CH7" s="12" t="s">
        <v>52</v>
      </c>
      <c r="CI7" s="12" t="s">
        <v>41</v>
      </c>
      <c r="CJ7" s="12" t="s">
        <v>42</v>
      </c>
      <c r="CK7" s="12" t="s">
        <v>43</v>
      </c>
      <c r="CL7" s="12" t="s">
        <v>44</v>
      </c>
      <c r="CM7" s="12" t="s">
        <v>45</v>
      </c>
      <c r="CN7" s="12" t="s">
        <v>46</v>
      </c>
      <c r="CO7" s="12" t="s">
        <v>47</v>
      </c>
      <c r="CP7" s="12" t="s">
        <v>48</v>
      </c>
      <c r="CQ7" s="12" t="s">
        <v>49</v>
      </c>
      <c r="CR7" s="12" t="s">
        <v>50</v>
      </c>
      <c r="CS7" s="12" t="s">
        <v>51</v>
      </c>
      <c r="CT7" s="12" t="s">
        <v>52</v>
      </c>
      <c r="CU7" s="12" t="s">
        <v>41</v>
      </c>
      <c r="CV7" s="12" t="s">
        <v>42</v>
      </c>
      <c r="CW7" s="12" t="s">
        <v>43</v>
      </c>
      <c r="CX7" s="12" t="s">
        <v>44</v>
      </c>
      <c r="CY7" s="12" t="s">
        <v>45</v>
      </c>
      <c r="CZ7" s="12" t="s">
        <v>46</v>
      </c>
      <c r="DA7" s="12" t="s">
        <v>47</v>
      </c>
      <c r="DB7" s="12" t="s">
        <v>48</v>
      </c>
      <c r="DC7" s="12" t="s">
        <v>49</v>
      </c>
      <c r="DD7" s="12" t="s">
        <v>50</v>
      </c>
      <c r="DE7" s="12" t="s">
        <v>51</v>
      </c>
      <c r="DF7" s="12" t="s">
        <v>52</v>
      </c>
      <c r="DG7" s="12" t="s">
        <v>41</v>
      </c>
      <c r="DH7" s="12" t="s">
        <v>42</v>
      </c>
      <c r="DI7" s="12" t="s">
        <v>43</v>
      </c>
      <c r="DJ7" s="12" t="s">
        <v>44</v>
      </c>
      <c r="DK7" s="12" t="s">
        <v>45</v>
      </c>
      <c r="DL7" s="12" t="s">
        <v>46</v>
      </c>
      <c r="DM7" s="12" t="s">
        <v>47</v>
      </c>
      <c r="DN7" s="12" t="s">
        <v>48</v>
      </c>
      <c r="DO7" s="12" t="s">
        <v>49</v>
      </c>
      <c r="DP7" s="12" t="s">
        <v>50</v>
      </c>
      <c r="DQ7" s="12" t="s">
        <v>51</v>
      </c>
      <c r="DR7" s="12" t="s">
        <v>52</v>
      </c>
      <c r="DS7" s="12" t="s">
        <v>41</v>
      </c>
      <c r="DT7" s="12" t="s">
        <v>42</v>
      </c>
      <c r="DU7" s="12" t="s">
        <v>43</v>
      </c>
      <c r="DV7" s="12" t="s">
        <v>44</v>
      </c>
      <c r="DW7" s="12" t="s">
        <v>45</v>
      </c>
      <c r="DX7" s="12" t="s">
        <v>46</v>
      </c>
      <c r="DY7" s="12" t="s">
        <v>47</v>
      </c>
      <c r="DZ7" s="12" t="s">
        <v>48</v>
      </c>
      <c r="EA7" s="12" t="s">
        <v>49</v>
      </c>
      <c r="EB7" s="12" t="s">
        <v>50</v>
      </c>
      <c r="EC7" s="12" t="s">
        <v>51</v>
      </c>
      <c r="ED7" s="12" t="s">
        <v>52</v>
      </c>
      <c r="EE7" s="12" t="s">
        <v>41</v>
      </c>
      <c r="EF7" s="12" t="s">
        <v>42</v>
      </c>
      <c r="EG7" s="12" t="s">
        <v>43</v>
      </c>
    </row>
    <row r="8" spans="1:137" s="2" customFormat="1" ht="60">
      <c r="A8" s="12" t="s">
        <v>106</v>
      </c>
      <c r="B8" s="12" t="s">
        <v>103</v>
      </c>
      <c r="C8" s="18">
        <v>102.68</v>
      </c>
      <c r="D8" s="18">
        <v>103.2</v>
      </c>
      <c r="E8" s="18">
        <v>102.95</v>
      </c>
      <c r="F8" s="18">
        <v>100.72</v>
      </c>
      <c r="G8" s="18">
        <v>99.75</v>
      </c>
      <c r="H8" s="18">
        <v>100.24</v>
      </c>
      <c r="I8" s="18">
        <v>101.59</v>
      </c>
      <c r="J8" s="18">
        <v>100.5</v>
      </c>
      <c r="K8" s="18">
        <v>100.72</v>
      </c>
      <c r="L8" s="18">
        <v>100.36</v>
      </c>
      <c r="M8" s="18">
        <v>99.28</v>
      </c>
      <c r="N8" s="18">
        <v>98.74</v>
      </c>
      <c r="O8" s="18">
        <v>99.42</v>
      </c>
      <c r="P8" s="18">
        <v>101.17</v>
      </c>
      <c r="Q8" s="18">
        <v>101.26</v>
      </c>
      <c r="R8" s="18">
        <v>100.13</v>
      </c>
      <c r="S8" s="18">
        <v>101.33</v>
      </c>
      <c r="T8" s="18">
        <v>102.09</v>
      </c>
      <c r="U8" s="18">
        <v>100.39</v>
      </c>
      <c r="V8" s="18">
        <v>99.71</v>
      </c>
      <c r="W8" s="18">
        <v>99.56</v>
      </c>
      <c r="X8" s="18">
        <v>100.49</v>
      </c>
      <c r="Y8" s="18">
        <v>100.21</v>
      </c>
      <c r="Z8" s="18">
        <v>101.71</v>
      </c>
      <c r="AA8" s="18">
        <v>101.47</v>
      </c>
      <c r="AB8" s="18">
        <v>99.53</v>
      </c>
      <c r="AC8" s="18">
        <v>99.79</v>
      </c>
      <c r="AD8" s="18">
        <v>100.02</v>
      </c>
      <c r="AE8" s="18">
        <v>99.9</v>
      </c>
      <c r="AF8" s="18">
        <v>99.87</v>
      </c>
      <c r="AG8" s="18">
        <v>99.57</v>
      </c>
      <c r="AH8" s="18">
        <v>100.58</v>
      </c>
      <c r="AI8" s="18">
        <v>101.24</v>
      </c>
      <c r="AJ8" s="18">
        <v>101.33</v>
      </c>
      <c r="AK8" s="18">
        <v>100.52</v>
      </c>
      <c r="AL8" s="18">
        <v>100.29</v>
      </c>
      <c r="AM8" s="18">
        <v>100.06</v>
      </c>
      <c r="AN8" s="18">
        <v>100.78</v>
      </c>
      <c r="AO8" s="18">
        <v>100.08</v>
      </c>
      <c r="AP8" s="18">
        <v>101.82</v>
      </c>
      <c r="AQ8" s="18">
        <v>103.3</v>
      </c>
      <c r="AR8" s="18">
        <v>101.47</v>
      </c>
      <c r="AS8" s="18">
        <v>100.4</v>
      </c>
      <c r="AT8" s="18">
        <v>100.68</v>
      </c>
      <c r="AU8" s="18">
        <v>101.46</v>
      </c>
      <c r="AV8" s="18">
        <v>101.64</v>
      </c>
      <c r="AW8" s="18">
        <v>100.25</v>
      </c>
      <c r="AX8" s="18">
        <v>97.96</v>
      </c>
      <c r="AY8" s="18">
        <v>98.57</v>
      </c>
      <c r="AZ8" s="18">
        <v>99.42</v>
      </c>
      <c r="BA8" s="18">
        <v>99.61</v>
      </c>
      <c r="BB8" s="18">
        <v>100.49</v>
      </c>
      <c r="BC8" s="18">
        <v>101.55</v>
      </c>
      <c r="BD8" s="18">
        <v>99.98</v>
      </c>
      <c r="BE8" s="18">
        <v>99.67</v>
      </c>
      <c r="BF8" s="18">
        <v>99.31</v>
      </c>
      <c r="BG8" s="18">
        <v>99.96</v>
      </c>
      <c r="BH8" s="18">
        <v>100.01</v>
      </c>
      <c r="BI8" s="18">
        <v>99.06</v>
      </c>
      <c r="BJ8" s="18">
        <v>98.89</v>
      </c>
      <c r="BK8" s="18">
        <v>100.56</v>
      </c>
      <c r="BL8" s="18">
        <v>100.1</v>
      </c>
      <c r="BM8" s="18">
        <v>100.31</v>
      </c>
      <c r="BN8" s="18">
        <v>97.29</v>
      </c>
      <c r="BO8" s="18">
        <v>99.72</v>
      </c>
      <c r="BP8" s="18">
        <v>101.6</v>
      </c>
      <c r="BQ8" s="18">
        <v>101.67</v>
      </c>
      <c r="BR8" s="18">
        <v>100.66</v>
      </c>
      <c r="BS8" s="18">
        <v>100.73</v>
      </c>
      <c r="BT8" s="18">
        <v>101.23</v>
      </c>
      <c r="BU8" s="18">
        <v>101.13</v>
      </c>
      <c r="BV8" s="18">
        <v>100.92</v>
      </c>
      <c r="BW8" s="18">
        <v>102.17</v>
      </c>
      <c r="BX8" s="18">
        <v>102.82</v>
      </c>
      <c r="BY8" s="18">
        <v>102.91</v>
      </c>
      <c r="BZ8" s="18">
        <v>102.58</v>
      </c>
      <c r="CA8" s="18">
        <v>103.06</v>
      </c>
      <c r="CB8" s="18">
        <v>103.3</v>
      </c>
      <c r="CC8" s="18">
        <v>102.25</v>
      </c>
      <c r="CD8" s="18">
        <v>100.57</v>
      </c>
      <c r="CE8" s="18">
        <v>99.76</v>
      </c>
      <c r="CF8" s="18">
        <v>100.17</v>
      </c>
      <c r="CG8" s="18">
        <v>101.08</v>
      </c>
      <c r="CH8" s="18">
        <v>100.71</v>
      </c>
      <c r="CI8" s="18">
        <v>101.47</v>
      </c>
      <c r="CJ8" s="18">
        <v>101.11</v>
      </c>
      <c r="CK8" s="18">
        <v>104.22</v>
      </c>
      <c r="CL8" s="18">
        <v>105.28</v>
      </c>
      <c r="CM8" s="18">
        <v>98.26</v>
      </c>
      <c r="CN8" s="18">
        <v>97.09</v>
      </c>
      <c r="CO8" s="18">
        <v>97.08</v>
      </c>
      <c r="CP8" s="18">
        <v>99.48</v>
      </c>
      <c r="CQ8" s="18">
        <v>98.91</v>
      </c>
      <c r="CR8" s="18">
        <v>98.1</v>
      </c>
      <c r="CS8" s="18">
        <v>99.15</v>
      </c>
      <c r="CT8" s="18">
        <v>99.3</v>
      </c>
      <c r="CU8" s="18">
        <v>99.78</v>
      </c>
      <c r="CV8" s="18">
        <v>100.43</v>
      </c>
      <c r="CW8" s="18">
        <v>102.14</v>
      </c>
      <c r="CX8" s="19">
        <v>102</v>
      </c>
      <c r="CY8" s="18">
        <v>102.02</v>
      </c>
      <c r="CZ8" s="18">
        <v>100.98</v>
      </c>
      <c r="DA8" s="18">
        <v>100.56</v>
      </c>
      <c r="DB8" s="18">
        <v>102.46</v>
      </c>
      <c r="DC8" s="18">
        <v>103.25</v>
      </c>
      <c r="DD8" s="18">
        <v>100.77</v>
      </c>
      <c r="DE8" s="18">
        <v>100.51</v>
      </c>
      <c r="DF8" s="18">
        <v>99.16</v>
      </c>
      <c r="DG8" s="18">
        <v>99.84</v>
      </c>
      <c r="DH8" s="18">
        <v>100.12</v>
      </c>
      <c r="DI8" s="18">
        <v>101.73</v>
      </c>
      <c r="DJ8" s="18">
        <v>101.27</v>
      </c>
      <c r="DK8" s="18">
        <v>101.16</v>
      </c>
      <c r="DL8" s="18">
        <v>100.4</v>
      </c>
      <c r="DM8" s="18">
        <v>101.05</v>
      </c>
      <c r="DN8" s="18">
        <v>100.38</v>
      </c>
      <c r="DO8" s="18">
        <v>101.31</v>
      </c>
      <c r="DP8" s="19">
        <v>100</v>
      </c>
      <c r="DQ8" s="18">
        <v>100.76</v>
      </c>
      <c r="DR8" s="18">
        <v>100.05</v>
      </c>
      <c r="DS8" s="18">
        <v>100.39</v>
      </c>
      <c r="DT8" s="18">
        <v>100.52</v>
      </c>
      <c r="DU8" s="18">
        <v>99.83</v>
      </c>
      <c r="DV8" s="18">
        <v>99.99</v>
      </c>
      <c r="DW8" s="18">
        <v>99.51</v>
      </c>
      <c r="DX8" s="18">
        <v>99.41</v>
      </c>
      <c r="DY8" s="18">
        <v>100.01</v>
      </c>
      <c r="DZ8" s="18">
        <v>100.04</v>
      </c>
      <c r="EA8" s="18">
        <v>100.65</v>
      </c>
      <c r="EB8" s="18">
        <v>101.03</v>
      </c>
      <c r="EC8" s="18">
        <v>99.31</v>
      </c>
      <c r="ED8" s="18">
        <v>99.06</v>
      </c>
      <c r="EE8" s="18">
        <v>99.58</v>
      </c>
      <c r="EF8" s="18">
        <v>100.11</v>
      </c>
      <c r="EG8" s="18">
        <v>101.54</v>
      </c>
    </row>
    <row r="9" spans="1:137">
      <c r="C9" s="29">
        <f>C8-100</f>
        <v>2.6800000000000068</v>
      </c>
      <c r="D9" s="29">
        <f t="shared" ref="D9:BO9" si="0">D8-100</f>
        <v>3.2000000000000028</v>
      </c>
      <c r="E9" s="29">
        <f t="shared" si="0"/>
        <v>2.9500000000000028</v>
      </c>
      <c r="F9" s="29">
        <f t="shared" si="0"/>
        <v>0.71999999999999886</v>
      </c>
      <c r="G9" s="29">
        <f t="shared" si="0"/>
        <v>-0.25</v>
      </c>
      <c r="H9" s="29">
        <f t="shared" si="0"/>
        <v>0.23999999999999488</v>
      </c>
      <c r="I9" s="29">
        <f t="shared" si="0"/>
        <v>1.5900000000000034</v>
      </c>
      <c r="J9" s="29">
        <f t="shared" si="0"/>
        <v>0.5</v>
      </c>
      <c r="K9" s="29">
        <f t="shared" si="0"/>
        <v>0.71999999999999886</v>
      </c>
      <c r="L9" s="29">
        <f t="shared" si="0"/>
        <v>0.35999999999999943</v>
      </c>
      <c r="M9" s="29">
        <f t="shared" si="0"/>
        <v>-0.71999999999999886</v>
      </c>
      <c r="N9" s="29">
        <f t="shared" si="0"/>
        <v>-1.2600000000000051</v>
      </c>
      <c r="O9" s="29">
        <f t="shared" si="0"/>
        <v>-0.57999999999999829</v>
      </c>
      <c r="P9" s="29">
        <f t="shared" si="0"/>
        <v>1.1700000000000017</v>
      </c>
      <c r="Q9" s="29">
        <f t="shared" si="0"/>
        <v>1.2600000000000051</v>
      </c>
      <c r="R9" s="29">
        <f t="shared" si="0"/>
        <v>0.12999999999999545</v>
      </c>
      <c r="S9" s="29">
        <f t="shared" si="0"/>
        <v>1.3299999999999983</v>
      </c>
      <c r="T9" s="29">
        <f t="shared" si="0"/>
        <v>2.0900000000000034</v>
      </c>
      <c r="U9" s="29">
        <f t="shared" si="0"/>
        <v>0.39000000000000057</v>
      </c>
      <c r="V9" s="29">
        <f t="shared" si="0"/>
        <v>-0.29000000000000625</v>
      </c>
      <c r="W9" s="29">
        <f t="shared" si="0"/>
        <v>-0.43999999999999773</v>
      </c>
      <c r="X9" s="29">
        <f t="shared" si="0"/>
        <v>0.48999999999999488</v>
      </c>
      <c r="Y9" s="29">
        <f t="shared" si="0"/>
        <v>0.20999999999999375</v>
      </c>
      <c r="Z9" s="29">
        <f t="shared" si="0"/>
        <v>1.7099999999999937</v>
      </c>
      <c r="AA9" s="29">
        <f t="shared" si="0"/>
        <v>1.4699999999999989</v>
      </c>
      <c r="AB9" s="29">
        <f t="shared" si="0"/>
        <v>-0.46999999999999886</v>
      </c>
      <c r="AC9" s="29">
        <f t="shared" si="0"/>
        <v>-0.20999999999999375</v>
      </c>
      <c r="AD9" s="29">
        <f t="shared" si="0"/>
        <v>1.9999999999996021E-2</v>
      </c>
      <c r="AE9" s="29">
        <f t="shared" si="0"/>
        <v>-9.9999999999994316E-2</v>
      </c>
      <c r="AF9" s="29">
        <f t="shared" si="0"/>
        <v>-0.12999999999999545</v>
      </c>
      <c r="AG9" s="29">
        <f t="shared" si="0"/>
        <v>-0.43000000000000682</v>
      </c>
      <c r="AH9" s="29">
        <f t="shared" si="0"/>
        <v>0.57999999999999829</v>
      </c>
      <c r="AI9" s="29">
        <f t="shared" si="0"/>
        <v>1.2399999999999949</v>
      </c>
      <c r="AJ9" s="29">
        <f t="shared" si="0"/>
        <v>1.3299999999999983</v>
      </c>
      <c r="AK9" s="29">
        <f t="shared" si="0"/>
        <v>0.51999999999999602</v>
      </c>
      <c r="AL9" s="29">
        <f t="shared" si="0"/>
        <v>0.29000000000000625</v>
      </c>
      <c r="AM9" s="29">
        <f t="shared" si="0"/>
        <v>6.0000000000002274E-2</v>
      </c>
      <c r="AN9" s="29">
        <f t="shared" si="0"/>
        <v>0.78000000000000114</v>
      </c>
      <c r="AO9" s="29">
        <f t="shared" si="0"/>
        <v>7.9999999999998295E-2</v>
      </c>
      <c r="AP9" s="29">
        <f t="shared" si="0"/>
        <v>1.8199999999999932</v>
      </c>
      <c r="AQ9" s="29">
        <f t="shared" si="0"/>
        <v>3.2999999999999972</v>
      </c>
      <c r="AR9" s="29">
        <f t="shared" si="0"/>
        <v>1.4699999999999989</v>
      </c>
      <c r="AS9" s="29">
        <f t="shared" si="0"/>
        <v>0.40000000000000568</v>
      </c>
      <c r="AT9" s="29">
        <f t="shared" si="0"/>
        <v>0.68000000000000682</v>
      </c>
      <c r="AU9" s="29">
        <f t="shared" si="0"/>
        <v>1.4599999999999937</v>
      </c>
      <c r="AV9" s="29">
        <f t="shared" si="0"/>
        <v>1.6400000000000006</v>
      </c>
      <c r="AW9" s="29">
        <f t="shared" si="0"/>
        <v>0.25</v>
      </c>
      <c r="AX9" s="29">
        <f t="shared" si="0"/>
        <v>-2.0400000000000063</v>
      </c>
      <c r="AY9" s="29">
        <f t="shared" si="0"/>
        <v>-1.4300000000000068</v>
      </c>
      <c r="AZ9" s="29">
        <f t="shared" si="0"/>
        <v>-0.57999999999999829</v>
      </c>
      <c r="BA9" s="29">
        <f t="shared" si="0"/>
        <v>-0.39000000000000057</v>
      </c>
      <c r="BB9" s="29">
        <f t="shared" si="0"/>
        <v>0.48999999999999488</v>
      </c>
      <c r="BC9" s="29">
        <f t="shared" si="0"/>
        <v>1.5499999999999972</v>
      </c>
      <c r="BD9" s="29">
        <f t="shared" si="0"/>
        <v>-1.9999999999996021E-2</v>
      </c>
      <c r="BE9" s="29">
        <f t="shared" si="0"/>
        <v>-0.32999999999999829</v>
      </c>
      <c r="BF9" s="29">
        <f t="shared" si="0"/>
        <v>-0.68999999999999773</v>
      </c>
      <c r="BG9" s="29">
        <f t="shared" si="0"/>
        <v>-4.0000000000006253E-2</v>
      </c>
      <c r="BH9" s="29">
        <f t="shared" si="0"/>
        <v>1.0000000000005116E-2</v>
      </c>
      <c r="BI9" s="29">
        <f t="shared" si="0"/>
        <v>-0.93999999999999773</v>
      </c>
      <c r="BJ9" s="29">
        <f t="shared" si="0"/>
        <v>-1.1099999999999994</v>
      </c>
      <c r="BK9" s="29">
        <f t="shared" si="0"/>
        <v>0.56000000000000227</v>
      </c>
      <c r="BL9" s="29">
        <f t="shared" si="0"/>
        <v>9.9999999999994316E-2</v>
      </c>
      <c r="BM9" s="29">
        <f t="shared" si="0"/>
        <v>0.31000000000000227</v>
      </c>
      <c r="BN9" s="29">
        <f t="shared" si="0"/>
        <v>-2.7099999999999937</v>
      </c>
      <c r="BO9" s="29">
        <f t="shared" si="0"/>
        <v>-0.28000000000000114</v>
      </c>
      <c r="BP9" s="29">
        <f t="shared" ref="BP9:EA9" si="1">BP8-100</f>
        <v>1.5999999999999943</v>
      </c>
      <c r="BQ9" s="29">
        <f t="shared" si="1"/>
        <v>1.6700000000000017</v>
      </c>
      <c r="BR9" s="29">
        <f t="shared" si="1"/>
        <v>0.65999999999999659</v>
      </c>
      <c r="BS9" s="29">
        <f t="shared" si="1"/>
        <v>0.73000000000000398</v>
      </c>
      <c r="BT9" s="29">
        <f t="shared" si="1"/>
        <v>1.230000000000004</v>
      </c>
      <c r="BU9" s="29">
        <f t="shared" si="1"/>
        <v>1.1299999999999955</v>
      </c>
      <c r="BV9" s="29">
        <f t="shared" si="1"/>
        <v>0.92000000000000171</v>
      </c>
      <c r="BW9" s="29">
        <f t="shared" si="1"/>
        <v>2.1700000000000017</v>
      </c>
      <c r="BX9" s="29">
        <f t="shared" si="1"/>
        <v>2.8199999999999932</v>
      </c>
      <c r="BY9" s="29">
        <f t="shared" si="1"/>
        <v>2.9099999999999966</v>
      </c>
      <c r="BZ9" s="29">
        <f t="shared" si="1"/>
        <v>2.5799999999999983</v>
      </c>
      <c r="CA9" s="29">
        <f t="shared" si="1"/>
        <v>3.0600000000000023</v>
      </c>
      <c r="CB9" s="29">
        <f t="shared" si="1"/>
        <v>3.2999999999999972</v>
      </c>
      <c r="CC9" s="29">
        <f t="shared" si="1"/>
        <v>2.25</v>
      </c>
      <c r="CD9" s="29">
        <f t="shared" si="1"/>
        <v>0.56999999999999318</v>
      </c>
      <c r="CE9" s="29">
        <f t="shared" si="1"/>
        <v>-0.23999999999999488</v>
      </c>
      <c r="CF9" s="29">
        <f t="shared" si="1"/>
        <v>0.17000000000000171</v>
      </c>
      <c r="CG9" s="29">
        <f t="shared" si="1"/>
        <v>1.0799999999999983</v>
      </c>
      <c r="CH9" s="29">
        <f t="shared" si="1"/>
        <v>0.70999999999999375</v>
      </c>
      <c r="CI9" s="29">
        <f t="shared" si="1"/>
        <v>1.4699999999999989</v>
      </c>
      <c r="CJ9" s="29">
        <f t="shared" si="1"/>
        <v>1.1099999999999994</v>
      </c>
      <c r="CK9" s="29">
        <f t="shared" si="1"/>
        <v>4.2199999999999989</v>
      </c>
      <c r="CL9" s="29">
        <f t="shared" si="1"/>
        <v>5.2800000000000011</v>
      </c>
      <c r="CM9" s="29">
        <f t="shared" si="1"/>
        <v>-1.7399999999999949</v>
      </c>
      <c r="CN9" s="29">
        <f t="shared" si="1"/>
        <v>-2.9099999999999966</v>
      </c>
      <c r="CO9" s="29">
        <f t="shared" si="1"/>
        <v>-2.9200000000000017</v>
      </c>
      <c r="CP9" s="29">
        <f t="shared" si="1"/>
        <v>-0.51999999999999602</v>
      </c>
      <c r="CQ9" s="29">
        <f t="shared" si="1"/>
        <v>-1.0900000000000034</v>
      </c>
      <c r="CR9" s="29">
        <f t="shared" si="1"/>
        <v>-1.9000000000000057</v>
      </c>
      <c r="CS9" s="29">
        <f t="shared" si="1"/>
        <v>-0.84999999999999432</v>
      </c>
      <c r="CT9" s="29">
        <f t="shared" si="1"/>
        <v>-0.70000000000000284</v>
      </c>
      <c r="CU9" s="29">
        <f t="shared" si="1"/>
        <v>-0.21999999999999886</v>
      </c>
      <c r="CV9" s="29">
        <f t="shared" si="1"/>
        <v>0.43000000000000682</v>
      </c>
      <c r="CW9" s="29">
        <f t="shared" si="1"/>
        <v>2.1400000000000006</v>
      </c>
      <c r="CX9" s="29">
        <f t="shared" si="1"/>
        <v>2</v>
      </c>
      <c r="CY9" s="29">
        <f t="shared" si="1"/>
        <v>2.019999999999996</v>
      </c>
      <c r="CZ9" s="29">
        <f t="shared" si="1"/>
        <v>0.98000000000000398</v>
      </c>
      <c r="DA9" s="29">
        <f t="shared" si="1"/>
        <v>0.56000000000000227</v>
      </c>
      <c r="DB9" s="29">
        <f t="shared" si="1"/>
        <v>2.4599999999999937</v>
      </c>
      <c r="DC9" s="29">
        <f t="shared" si="1"/>
        <v>3.25</v>
      </c>
      <c r="DD9" s="29">
        <f t="shared" si="1"/>
        <v>0.76999999999999602</v>
      </c>
      <c r="DE9" s="29">
        <f t="shared" si="1"/>
        <v>0.51000000000000512</v>
      </c>
      <c r="DF9" s="29">
        <f t="shared" si="1"/>
        <v>-0.84000000000000341</v>
      </c>
      <c r="DG9" s="29">
        <f t="shared" si="1"/>
        <v>-0.15999999999999659</v>
      </c>
      <c r="DH9" s="29">
        <f t="shared" si="1"/>
        <v>0.12000000000000455</v>
      </c>
      <c r="DI9" s="29">
        <f t="shared" si="1"/>
        <v>1.730000000000004</v>
      </c>
      <c r="DJ9" s="29">
        <f t="shared" si="1"/>
        <v>1.269999999999996</v>
      </c>
      <c r="DK9" s="29">
        <f t="shared" si="1"/>
        <v>1.1599999999999966</v>
      </c>
      <c r="DL9" s="29">
        <f t="shared" si="1"/>
        <v>0.40000000000000568</v>
      </c>
      <c r="DM9" s="29">
        <f t="shared" si="1"/>
        <v>1.0499999999999972</v>
      </c>
      <c r="DN9" s="29">
        <f t="shared" si="1"/>
        <v>0.37999999999999545</v>
      </c>
      <c r="DO9" s="29">
        <f t="shared" si="1"/>
        <v>1.3100000000000023</v>
      </c>
      <c r="DP9" s="29">
        <f t="shared" si="1"/>
        <v>0</v>
      </c>
      <c r="DQ9" s="29">
        <f t="shared" si="1"/>
        <v>0.76000000000000512</v>
      </c>
      <c r="DR9" s="29">
        <f t="shared" si="1"/>
        <v>4.9999999999997158E-2</v>
      </c>
      <c r="DS9" s="29">
        <f t="shared" si="1"/>
        <v>0.39000000000000057</v>
      </c>
      <c r="DT9" s="29">
        <f t="shared" si="1"/>
        <v>0.51999999999999602</v>
      </c>
      <c r="DU9" s="29">
        <f t="shared" si="1"/>
        <v>-0.17000000000000171</v>
      </c>
      <c r="DV9" s="29">
        <f t="shared" si="1"/>
        <v>-1.0000000000005116E-2</v>
      </c>
      <c r="DW9" s="29">
        <f t="shared" si="1"/>
        <v>-0.48999999999999488</v>
      </c>
      <c r="DX9" s="29">
        <f t="shared" si="1"/>
        <v>-0.59000000000000341</v>
      </c>
      <c r="DY9" s="29">
        <f t="shared" si="1"/>
        <v>1.0000000000005116E-2</v>
      </c>
      <c r="DZ9" s="29">
        <f t="shared" si="1"/>
        <v>4.0000000000006253E-2</v>
      </c>
      <c r="EA9" s="29">
        <f t="shared" si="1"/>
        <v>0.65000000000000568</v>
      </c>
      <c r="EB9" s="29">
        <f t="shared" ref="EB9:ED9" si="2">EB8-100</f>
        <v>1.0300000000000011</v>
      </c>
      <c r="EC9" s="29">
        <f t="shared" si="2"/>
        <v>-0.68999999999999773</v>
      </c>
      <c r="ED9" s="29">
        <f t="shared" si="2"/>
        <v>-0.93999999999999773</v>
      </c>
      <c r="EE9" t="s">
        <v>57</v>
      </c>
      <c r="EF9" t="s">
        <v>57</v>
      </c>
      <c r="EG9" t="s">
        <v>57</v>
      </c>
    </row>
    <row r="10" spans="1:137">
      <c r="C10">
        <v>2.6800000000000068</v>
      </c>
      <c r="D10">
        <v>3.2000000000000028</v>
      </c>
      <c r="E10">
        <v>2.9500000000000028</v>
      </c>
      <c r="F10">
        <v>0.71999999999999886</v>
      </c>
      <c r="G10">
        <v>-0.25</v>
      </c>
      <c r="H10">
        <v>0.23999999999999488</v>
      </c>
      <c r="I10">
        <v>1.5900000000000034</v>
      </c>
      <c r="J10">
        <v>0.5</v>
      </c>
      <c r="K10">
        <v>0.71999999999999886</v>
      </c>
      <c r="L10">
        <v>0.35999999999999943</v>
      </c>
      <c r="M10">
        <v>-0.71999999999999886</v>
      </c>
      <c r="N10">
        <v>-1.2600000000000051</v>
      </c>
      <c r="O10">
        <v>-0.57999999999999829</v>
      </c>
      <c r="P10">
        <v>1.1700000000000017</v>
      </c>
      <c r="Q10">
        <v>1.2600000000000051</v>
      </c>
      <c r="R10">
        <v>0.12999999999999545</v>
      </c>
      <c r="S10">
        <v>1.3299999999999983</v>
      </c>
      <c r="T10">
        <v>2.0900000000000034</v>
      </c>
      <c r="U10">
        <v>0.39000000000000057</v>
      </c>
      <c r="V10">
        <v>-0.29000000000000625</v>
      </c>
      <c r="W10">
        <v>-0.43999999999999773</v>
      </c>
      <c r="X10">
        <v>0.48999999999999488</v>
      </c>
      <c r="Y10">
        <v>0.20999999999999375</v>
      </c>
      <c r="Z10">
        <v>1.7099999999999937</v>
      </c>
      <c r="AA10">
        <v>1.4699999999999989</v>
      </c>
      <c r="AB10">
        <v>-0.46999999999999886</v>
      </c>
      <c r="AC10">
        <v>-0.20999999999999375</v>
      </c>
      <c r="AD10">
        <v>1.9999999999996021E-2</v>
      </c>
      <c r="AE10">
        <v>-9.9999999999994316E-2</v>
      </c>
      <c r="AF10">
        <v>-0.12999999999999545</v>
      </c>
      <c r="AG10">
        <v>-0.43000000000000682</v>
      </c>
      <c r="AH10">
        <v>0.57999999999999829</v>
      </c>
      <c r="AI10">
        <v>1.2399999999999949</v>
      </c>
      <c r="AJ10">
        <v>1.3299999999999983</v>
      </c>
      <c r="AK10">
        <v>0.51999999999999602</v>
      </c>
      <c r="AL10">
        <v>0.29000000000000625</v>
      </c>
      <c r="AM10">
        <v>6.0000000000002274E-2</v>
      </c>
      <c r="AN10">
        <v>0.78000000000000114</v>
      </c>
      <c r="AO10">
        <v>7.9999999999998295E-2</v>
      </c>
      <c r="AP10">
        <v>1.8199999999999932</v>
      </c>
      <c r="AQ10">
        <v>3.2999999999999972</v>
      </c>
      <c r="AR10">
        <v>1.4699999999999989</v>
      </c>
      <c r="AS10">
        <v>0.40000000000000568</v>
      </c>
      <c r="AT10">
        <v>0.68000000000000682</v>
      </c>
      <c r="AU10">
        <v>1.4599999999999937</v>
      </c>
      <c r="AV10">
        <v>1.6400000000000006</v>
      </c>
      <c r="AW10">
        <v>0.25</v>
      </c>
      <c r="AX10">
        <v>-2.0400000000000063</v>
      </c>
      <c r="AY10">
        <v>-1.4300000000000068</v>
      </c>
      <c r="AZ10">
        <v>-0.57999999999999829</v>
      </c>
      <c r="BA10">
        <v>-0.39000000000000057</v>
      </c>
      <c r="BB10">
        <v>0.48999999999999488</v>
      </c>
      <c r="BC10">
        <v>1.5499999999999972</v>
      </c>
      <c r="BD10">
        <v>-1.9999999999996021E-2</v>
      </c>
      <c r="BE10">
        <v>-0.32999999999999829</v>
      </c>
      <c r="BF10">
        <v>-0.68999999999999773</v>
      </c>
      <c r="BG10">
        <v>-4.0000000000006253E-2</v>
      </c>
      <c r="BH10">
        <v>1.0000000000005116E-2</v>
      </c>
      <c r="BI10">
        <v>-0.93999999999999773</v>
      </c>
      <c r="BJ10">
        <v>-1.1099999999999994</v>
      </c>
      <c r="BK10">
        <v>0.56000000000000227</v>
      </c>
      <c r="BL10">
        <v>9.9999999999994316E-2</v>
      </c>
      <c r="BM10">
        <v>0.31000000000000227</v>
      </c>
      <c r="BN10">
        <v>-2.7099999999999937</v>
      </c>
      <c r="BO10">
        <v>-0.28000000000000114</v>
      </c>
      <c r="BP10">
        <v>1.5999999999999943</v>
      </c>
      <c r="BQ10">
        <v>1.6700000000000017</v>
      </c>
      <c r="BR10">
        <v>0.65999999999999659</v>
      </c>
      <c r="BS10">
        <v>0.73000000000000398</v>
      </c>
      <c r="BT10">
        <v>1.230000000000004</v>
      </c>
      <c r="BU10">
        <v>1.1299999999999955</v>
      </c>
      <c r="BV10">
        <v>0.92000000000000171</v>
      </c>
      <c r="BW10">
        <v>2.1700000000000017</v>
      </c>
      <c r="BX10">
        <v>2.8199999999999932</v>
      </c>
      <c r="BY10">
        <v>2.9099999999999966</v>
      </c>
      <c r="BZ10">
        <v>2.5799999999999983</v>
      </c>
      <c r="CA10">
        <v>3.0600000000000023</v>
      </c>
      <c r="CB10">
        <v>3.2999999999999972</v>
      </c>
      <c r="CC10">
        <v>2.25</v>
      </c>
      <c r="CD10">
        <v>0.56999999999999318</v>
      </c>
      <c r="CE10">
        <v>-0.23999999999999488</v>
      </c>
      <c r="CF10">
        <v>0.17000000000000171</v>
      </c>
      <c r="CG10">
        <v>1.0799999999999983</v>
      </c>
      <c r="CH10">
        <v>0.70999999999999375</v>
      </c>
      <c r="CI10">
        <v>1.4699999999999989</v>
      </c>
      <c r="CJ10">
        <v>1.1099999999999994</v>
      </c>
      <c r="CK10">
        <v>4.2199999999999989</v>
      </c>
      <c r="CL10">
        <v>5.2800000000000011</v>
      </c>
      <c r="CM10">
        <v>-1.7399999999999949</v>
      </c>
      <c r="CN10">
        <v>-2.9099999999999966</v>
      </c>
      <c r="CO10">
        <v>-2.9200000000000017</v>
      </c>
      <c r="CP10">
        <v>-0.51999999999999602</v>
      </c>
      <c r="CQ10">
        <v>-1.0900000000000034</v>
      </c>
      <c r="CR10">
        <v>-1.9000000000000057</v>
      </c>
      <c r="CS10">
        <v>-0.84999999999999432</v>
      </c>
      <c r="CT10">
        <v>-0.70000000000000284</v>
      </c>
      <c r="CU10">
        <v>-0.21999999999999886</v>
      </c>
      <c r="CV10">
        <v>0.43000000000000682</v>
      </c>
      <c r="CW10">
        <v>2.1400000000000006</v>
      </c>
      <c r="CX10">
        <v>2</v>
      </c>
      <c r="CY10">
        <v>2.019999999999996</v>
      </c>
      <c r="CZ10">
        <v>0.98000000000000398</v>
      </c>
      <c r="DA10">
        <v>0.56000000000000227</v>
      </c>
      <c r="DB10">
        <v>2.4599999999999937</v>
      </c>
      <c r="DC10">
        <v>3.25</v>
      </c>
      <c r="DD10">
        <v>0.76999999999999602</v>
      </c>
      <c r="DE10">
        <v>0.51000000000000512</v>
      </c>
      <c r="DF10">
        <v>-0.84000000000000341</v>
      </c>
      <c r="DG10">
        <v>-0.15999999999999659</v>
      </c>
      <c r="DH10">
        <v>0.12000000000000455</v>
      </c>
      <c r="DI10">
        <v>1.730000000000004</v>
      </c>
      <c r="DJ10">
        <v>1.269999999999996</v>
      </c>
      <c r="DK10">
        <v>1.1599999999999966</v>
      </c>
      <c r="DL10">
        <v>0.40000000000000568</v>
      </c>
      <c r="DM10">
        <v>1.0499999999999972</v>
      </c>
      <c r="DN10">
        <v>0.37999999999999545</v>
      </c>
      <c r="DO10">
        <v>1.3100000000000023</v>
      </c>
      <c r="DP10">
        <v>0</v>
      </c>
      <c r="DQ10">
        <v>0.76000000000000512</v>
      </c>
      <c r="DR10">
        <v>4.9999999999997158E-2</v>
      </c>
      <c r="DS10">
        <v>0.39000000000000057</v>
      </c>
      <c r="DT10">
        <v>0.51999999999999602</v>
      </c>
      <c r="DU10">
        <v>-0.17000000000000171</v>
      </c>
      <c r="DV10">
        <v>-1.0000000000005116E-2</v>
      </c>
      <c r="DW10">
        <v>-0.48999999999999488</v>
      </c>
      <c r="DX10">
        <v>-0.59000000000000341</v>
      </c>
      <c r="DY10">
        <v>1.0000000000005116E-2</v>
      </c>
      <c r="DZ10">
        <v>4.0000000000006253E-2</v>
      </c>
      <c r="EA10">
        <v>0.65000000000000568</v>
      </c>
      <c r="EB10">
        <v>1.0300000000000011</v>
      </c>
      <c r="EC10">
        <v>-0.68999999999999773</v>
      </c>
      <c r="ED10">
        <v>-0.93999999999999773</v>
      </c>
    </row>
    <row r="12" spans="1:137">
      <c r="J12" t="s">
        <v>91</v>
      </c>
    </row>
  </sheetData>
  <mergeCells count="18">
    <mergeCell ref="C6:N6"/>
    <mergeCell ref="O6:Z6"/>
    <mergeCell ref="EE6:EG6"/>
    <mergeCell ref="C5:ED5"/>
    <mergeCell ref="C4:ED4"/>
    <mergeCell ref="A1:Z1"/>
    <mergeCell ref="AA1:ED1"/>
    <mergeCell ref="C3:ED3"/>
    <mergeCell ref="BK6:BV6"/>
    <mergeCell ref="BW6:CH6"/>
    <mergeCell ref="CI6:CT6"/>
    <mergeCell ref="CU6:DF6"/>
    <mergeCell ref="DG6:DR6"/>
    <mergeCell ref="DS6:ED6"/>
    <mergeCell ref="AA6:AL6"/>
    <mergeCell ref="AM6:AX6"/>
    <mergeCell ref="AY6:BJ6"/>
    <mergeCell ref="A3:B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7684E-3E65-6D42-A597-BD6F89BAA712}">
  <dimension ref="A1:EG6"/>
  <sheetViews>
    <sheetView workbookViewId="0">
      <selection activeCell="C6" sqref="C6:ED6"/>
    </sheetView>
  </sheetViews>
  <sheetFormatPr baseColWidth="10" defaultRowHeight="16"/>
  <cols>
    <col min="1" max="1" width="25.1640625" bestFit="1" customWidth="1"/>
    <col min="2" max="2" width="6.1640625" bestFit="1" customWidth="1"/>
    <col min="3" max="3" width="7.1640625" bestFit="1" customWidth="1"/>
    <col min="4" max="4" width="5.6640625" bestFit="1" customWidth="1"/>
    <col min="5" max="5" width="6.1640625" bestFit="1" customWidth="1"/>
    <col min="6" max="9" width="5.6640625" bestFit="1" customWidth="1"/>
    <col min="10" max="10" width="7.6640625" bestFit="1" customWidth="1"/>
    <col min="11" max="11" width="6.83203125" bestFit="1" customWidth="1"/>
    <col min="12" max="12" width="6.33203125" bestFit="1" customWidth="1"/>
    <col min="13" max="13" width="7" bestFit="1" customWidth="1"/>
    <col min="14" max="14" width="6.1640625" bestFit="1" customWidth="1"/>
    <col min="15" max="15" width="7.1640625" bestFit="1" customWidth="1"/>
    <col min="16" max="16" width="5.6640625" bestFit="1" customWidth="1"/>
    <col min="17" max="17" width="6.1640625" bestFit="1" customWidth="1"/>
    <col min="18" max="21" width="5.6640625" bestFit="1" customWidth="1"/>
    <col min="22" max="22" width="7.6640625" bestFit="1" customWidth="1"/>
    <col min="23" max="23" width="6.83203125" bestFit="1" customWidth="1"/>
    <col min="24" max="24" width="6.33203125" bestFit="1" customWidth="1"/>
    <col min="25" max="25" width="7" bestFit="1" customWidth="1"/>
    <col min="26" max="26" width="6.1640625" bestFit="1" customWidth="1"/>
    <col min="27" max="27" width="7.1640625" bestFit="1" customWidth="1"/>
    <col min="28" max="28" width="4.6640625" bestFit="1" customWidth="1"/>
    <col min="29" max="29" width="6.1640625" bestFit="1" customWidth="1"/>
    <col min="30" max="30" width="4.6640625" bestFit="1" customWidth="1"/>
    <col min="31" max="32" width="5" bestFit="1" customWidth="1"/>
    <col min="33" max="33" width="5.5" bestFit="1" customWidth="1"/>
    <col min="34" max="34" width="7.6640625" bestFit="1" customWidth="1"/>
    <col min="35" max="35" width="6.83203125" bestFit="1" customWidth="1"/>
    <col min="36" max="36" width="6.33203125" bestFit="1" customWidth="1"/>
    <col min="37" max="37" width="7" bestFit="1" customWidth="1"/>
    <col min="38" max="38" width="6.1640625" bestFit="1" customWidth="1"/>
    <col min="39" max="39" width="7.1640625" bestFit="1" customWidth="1"/>
    <col min="40" max="40" width="4.6640625" bestFit="1" customWidth="1"/>
    <col min="41" max="41" width="6.1640625" bestFit="1" customWidth="1"/>
    <col min="42" max="42" width="4.6640625" bestFit="1" customWidth="1"/>
    <col min="43" max="44" width="5" bestFit="1" customWidth="1"/>
    <col min="45" max="45" width="5.5" bestFit="1" customWidth="1"/>
    <col min="46" max="46" width="7.6640625" bestFit="1" customWidth="1"/>
    <col min="47" max="47" width="6.83203125" bestFit="1" customWidth="1"/>
    <col min="48" max="48" width="6.33203125" bestFit="1" customWidth="1"/>
    <col min="49" max="49" width="7" bestFit="1" customWidth="1"/>
    <col min="50" max="50" width="6.1640625" bestFit="1" customWidth="1"/>
    <col min="51" max="51" width="7.1640625" bestFit="1" customWidth="1"/>
    <col min="52" max="52" width="4.6640625" bestFit="1" customWidth="1"/>
    <col min="53" max="53" width="6.1640625" bestFit="1" customWidth="1"/>
    <col min="54" max="54" width="4.6640625" bestFit="1" customWidth="1"/>
    <col min="55" max="56" width="5" bestFit="1" customWidth="1"/>
    <col min="57" max="57" width="5.5" bestFit="1" customWidth="1"/>
    <col min="58" max="58" width="7.6640625" bestFit="1" customWidth="1"/>
    <col min="59" max="59" width="6.83203125" bestFit="1" customWidth="1"/>
    <col min="60" max="60" width="6.33203125" bestFit="1" customWidth="1"/>
    <col min="61" max="61" width="7" bestFit="1" customWidth="1"/>
    <col min="62" max="62" width="6.1640625" bestFit="1" customWidth="1"/>
    <col min="63" max="63" width="7.1640625" bestFit="1" customWidth="1"/>
    <col min="64" max="64" width="4.6640625" bestFit="1" customWidth="1"/>
    <col min="65" max="65" width="6.1640625" bestFit="1" customWidth="1"/>
    <col min="66" max="66" width="4.6640625" bestFit="1" customWidth="1"/>
    <col min="67" max="68" width="5" bestFit="1" customWidth="1"/>
    <col min="69" max="69" width="5.5" bestFit="1" customWidth="1"/>
    <col min="70" max="70" width="7.6640625" bestFit="1" customWidth="1"/>
    <col min="71" max="71" width="6.83203125" bestFit="1" customWidth="1"/>
    <col min="72" max="72" width="6.33203125" bestFit="1" customWidth="1"/>
    <col min="73" max="73" width="7" bestFit="1" customWidth="1"/>
    <col min="74" max="74" width="6.1640625" bestFit="1" customWidth="1"/>
    <col min="75" max="75" width="7.1640625" bestFit="1" customWidth="1"/>
    <col min="76" max="76" width="4.6640625" bestFit="1" customWidth="1"/>
    <col min="77" max="77" width="6.1640625" bestFit="1" customWidth="1"/>
    <col min="78" max="78" width="4.6640625" bestFit="1" customWidth="1"/>
    <col min="79" max="80" width="5" bestFit="1" customWidth="1"/>
    <col min="81" max="81" width="5.5" bestFit="1" customWidth="1"/>
    <col min="82" max="82" width="7.6640625" bestFit="1" customWidth="1"/>
    <col min="83" max="83" width="6.83203125" bestFit="1" customWidth="1"/>
    <col min="84" max="84" width="6.33203125" bestFit="1" customWidth="1"/>
    <col min="85" max="85" width="7" bestFit="1" customWidth="1"/>
    <col min="86" max="86" width="6.1640625" bestFit="1" customWidth="1"/>
    <col min="87" max="87" width="7.1640625" bestFit="1" customWidth="1"/>
    <col min="88" max="88" width="5.6640625" bestFit="1" customWidth="1"/>
    <col min="89" max="89" width="6.1640625" bestFit="1" customWidth="1"/>
    <col min="90" max="90" width="5.6640625" bestFit="1" customWidth="1"/>
    <col min="91" max="92" width="5" bestFit="1" customWidth="1"/>
    <col min="93" max="93" width="5.5" bestFit="1" customWidth="1"/>
    <col min="94" max="94" width="7.6640625" bestFit="1" customWidth="1"/>
    <col min="95" max="95" width="6.83203125" bestFit="1" customWidth="1"/>
    <col min="96" max="96" width="6.33203125" bestFit="1" customWidth="1"/>
    <col min="97" max="97" width="7" bestFit="1" customWidth="1"/>
    <col min="98" max="98" width="6.1640625" bestFit="1" customWidth="1"/>
    <col min="99" max="99" width="7.1640625" bestFit="1" customWidth="1"/>
    <col min="100" max="100" width="4.6640625" bestFit="1" customWidth="1"/>
    <col min="101" max="101" width="6.1640625" bestFit="1" customWidth="1"/>
    <col min="102" max="102" width="4.6640625" bestFit="1" customWidth="1"/>
    <col min="103" max="104" width="5" bestFit="1" customWidth="1"/>
    <col min="105" max="105" width="5.6640625" bestFit="1" customWidth="1"/>
    <col min="106" max="106" width="7.6640625" bestFit="1" customWidth="1"/>
    <col min="107" max="107" width="6.83203125" bestFit="1" customWidth="1"/>
    <col min="108" max="108" width="6.33203125" bestFit="1" customWidth="1"/>
    <col min="109" max="109" width="7" bestFit="1" customWidth="1"/>
    <col min="110" max="110" width="6.1640625" bestFit="1" customWidth="1"/>
    <col min="111" max="111" width="7.1640625" bestFit="1" customWidth="1"/>
    <col min="112" max="112" width="5.6640625" bestFit="1" customWidth="1"/>
    <col min="113" max="113" width="6.1640625" bestFit="1" customWidth="1"/>
    <col min="114" max="117" width="5.6640625" bestFit="1" customWidth="1"/>
    <col min="118" max="118" width="7.6640625" bestFit="1" customWidth="1"/>
    <col min="119" max="119" width="6.83203125" bestFit="1" customWidth="1"/>
    <col min="120" max="120" width="6.33203125" bestFit="1" customWidth="1"/>
    <col min="121" max="121" width="7" bestFit="1" customWidth="1"/>
    <col min="122" max="122" width="6.1640625" bestFit="1" customWidth="1"/>
    <col min="123" max="123" width="7.1640625" bestFit="1" customWidth="1"/>
    <col min="124" max="124" width="5.6640625" bestFit="1" customWidth="1"/>
    <col min="125" max="125" width="6.1640625" bestFit="1" customWidth="1"/>
    <col min="126" max="129" width="5.6640625" bestFit="1" customWidth="1"/>
    <col min="130" max="130" width="7.6640625" bestFit="1" customWidth="1"/>
    <col min="131" max="131" width="6.83203125" bestFit="1" customWidth="1"/>
    <col min="132" max="132" width="6.33203125" bestFit="1" customWidth="1"/>
    <col min="133" max="133" width="7" bestFit="1" customWidth="1"/>
  </cols>
  <sheetData>
    <row r="1" spans="1:137" s="2" customFormat="1" ht="14"/>
    <row r="2" spans="1:137" s="2" customFormat="1" ht="14">
      <c r="A2" s="2" t="s">
        <v>93</v>
      </c>
      <c r="B2" s="102">
        <v>2015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>
        <v>2016</v>
      </c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>
        <v>2017</v>
      </c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>
        <v>2018</v>
      </c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>
        <v>2019</v>
      </c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>
        <v>2020</v>
      </c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>
        <v>2021</v>
      </c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>
        <v>2022</v>
      </c>
      <c r="CI2" s="102"/>
      <c r="CJ2" s="102"/>
      <c r="CK2" s="102"/>
      <c r="CL2" s="102"/>
      <c r="CM2" s="102"/>
      <c r="CN2" s="102"/>
      <c r="CO2" s="102"/>
      <c r="CP2" s="102"/>
      <c r="CQ2" s="102"/>
      <c r="CR2" s="102"/>
      <c r="CS2" s="102"/>
      <c r="CT2" s="102">
        <v>2023</v>
      </c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>
        <v>2024</v>
      </c>
      <c r="DG2" s="102"/>
      <c r="DH2" s="102"/>
      <c r="DI2" s="102"/>
      <c r="DJ2" s="102"/>
      <c r="DK2" s="102"/>
      <c r="DL2" s="102"/>
      <c r="DM2" s="102"/>
      <c r="DN2" s="102"/>
      <c r="DO2" s="102"/>
      <c r="DP2" s="102"/>
      <c r="DQ2" s="102"/>
      <c r="DR2" s="102">
        <v>2025</v>
      </c>
      <c r="DS2" s="102"/>
      <c r="DT2" s="102"/>
      <c r="DU2" s="102"/>
      <c r="DV2" s="102"/>
      <c r="DW2" s="102"/>
      <c r="DX2" s="102"/>
      <c r="DY2" s="102"/>
      <c r="DZ2" s="102"/>
      <c r="EA2" s="102"/>
      <c r="EB2" s="102"/>
      <c r="EC2" s="102"/>
    </row>
    <row r="3" spans="1:137" s="2" customFormat="1" ht="30">
      <c r="A3" s="2" t="s">
        <v>92</v>
      </c>
      <c r="B3" t="s">
        <v>181</v>
      </c>
      <c r="C3" s="8" t="s">
        <v>79</v>
      </c>
      <c r="D3" s="8" t="s">
        <v>78</v>
      </c>
      <c r="E3" s="8" t="s">
        <v>89</v>
      </c>
      <c r="F3" s="8" t="s">
        <v>88</v>
      </c>
      <c r="G3" s="8" t="s">
        <v>87</v>
      </c>
      <c r="H3" s="8" t="s">
        <v>86</v>
      </c>
      <c r="I3" s="8" t="s">
        <v>85</v>
      </c>
      <c r="J3" s="8" t="s">
        <v>84</v>
      </c>
      <c r="K3" s="8" t="s">
        <v>83</v>
      </c>
      <c r="L3" s="8" t="s">
        <v>82</v>
      </c>
      <c r="M3" s="8" t="s">
        <v>81</v>
      </c>
      <c r="N3" s="8" t="s">
        <v>80</v>
      </c>
      <c r="O3" s="8" t="s">
        <v>79</v>
      </c>
      <c r="P3" s="8" t="s">
        <v>78</v>
      </c>
      <c r="Q3" s="8" t="s">
        <v>89</v>
      </c>
      <c r="R3" s="8" t="s">
        <v>88</v>
      </c>
      <c r="S3" s="8" t="s">
        <v>87</v>
      </c>
      <c r="T3" s="8" t="s">
        <v>86</v>
      </c>
      <c r="U3" s="8" t="s">
        <v>85</v>
      </c>
      <c r="V3" s="8" t="s">
        <v>84</v>
      </c>
      <c r="W3" s="8" t="s">
        <v>83</v>
      </c>
      <c r="X3" s="8" t="s">
        <v>82</v>
      </c>
      <c r="Y3" s="8" t="s">
        <v>81</v>
      </c>
      <c r="Z3" s="8" t="s">
        <v>80</v>
      </c>
      <c r="AA3" s="8" t="s">
        <v>79</v>
      </c>
      <c r="AB3" s="8" t="s">
        <v>78</v>
      </c>
      <c r="AC3" s="8" t="s">
        <v>89</v>
      </c>
      <c r="AD3" s="8" t="s">
        <v>88</v>
      </c>
      <c r="AE3" s="8" t="s">
        <v>87</v>
      </c>
      <c r="AF3" s="8" t="s">
        <v>86</v>
      </c>
      <c r="AG3" s="8" t="s">
        <v>85</v>
      </c>
      <c r="AH3" s="8" t="s">
        <v>84</v>
      </c>
      <c r="AI3" s="8" t="s">
        <v>83</v>
      </c>
      <c r="AJ3" s="8" t="s">
        <v>82</v>
      </c>
      <c r="AK3" s="8" t="s">
        <v>81</v>
      </c>
      <c r="AL3" s="8" t="s">
        <v>80</v>
      </c>
      <c r="AM3" s="8" t="s">
        <v>79</v>
      </c>
      <c r="AN3" s="8" t="s">
        <v>78</v>
      </c>
      <c r="AO3" s="8" t="s">
        <v>89</v>
      </c>
      <c r="AP3" s="8" t="s">
        <v>88</v>
      </c>
      <c r="AQ3" s="8" t="s">
        <v>87</v>
      </c>
      <c r="AR3" s="8" t="s">
        <v>86</v>
      </c>
      <c r="AS3" s="8" t="s">
        <v>85</v>
      </c>
      <c r="AT3" s="8" t="s">
        <v>84</v>
      </c>
      <c r="AU3" s="8" t="s">
        <v>83</v>
      </c>
      <c r="AV3" s="8" t="s">
        <v>82</v>
      </c>
      <c r="AW3" s="8" t="s">
        <v>81</v>
      </c>
      <c r="AX3" s="8" t="s">
        <v>80</v>
      </c>
      <c r="AY3" s="8" t="s">
        <v>79</v>
      </c>
      <c r="AZ3" s="8" t="s">
        <v>78</v>
      </c>
      <c r="BA3" s="8" t="s">
        <v>89</v>
      </c>
      <c r="BB3" s="8" t="s">
        <v>88</v>
      </c>
      <c r="BC3" s="8" t="s">
        <v>87</v>
      </c>
      <c r="BD3" s="8" t="s">
        <v>86</v>
      </c>
      <c r="BE3" s="8" t="s">
        <v>85</v>
      </c>
      <c r="BF3" s="8" t="s">
        <v>84</v>
      </c>
      <c r="BG3" s="8" t="s">
        <v>83</v>
      </c>
      <c r="BH3" s="8" t="s">
        <v>82</v>
      </c>
      <c r="BI3" s="8" t="s">
        <v>81</v>
      </c>
      <c r="BJ3" s="8" t="s">
        <v>80</v>
      </c>
      <c r="BK3" s="8" t="s">
        <v>79</v>
      </c>
      <c r="BL3" s="8" t="s">
        <v>78</v>
      </c>
      <c r="BM3" s="8" t="s">
        <v>89</v>
      </c>
      <c r="BN3" s="8" t="s">
        <v>88</v>
      </c>
      <c r="BO3" s="8" t="s">
        <v>87</v>
      </c>
      <c r="BP3" s="8" t="s">
        <v>86</v>
      </c>
      <c r="BQ3" s="8" t="s">
        <v>85</v>
      </c>
      <c r="BR3" s="8" t="s">
        <v>84</v>
      </c>
      <c r="BS3" s="8" t="s">
        <v>83</v>
      </c>
      <c r="BT3" s="8" t="s">
        <v>82</v>
      </c>
      <c r="BU3" s="8" t="s">
        <v>81</v>
      </c>
      <c r="BV3" s="8" t="s">
        <v>80</v>
      </c>
      <c r="BW3" s="8" t="s">
        <v>79</v>
      </c>
      <c r="BX3" s="8" t="s">
        <v>78</v>
      </c>
      <c r="BY3" s="8" t="s">
        <v>89</v>
      </c>
      <c r="BZ3" s="8" t="s">
        <v>88</v>
      </c>
      <c r="CA3" s="8" t="s">
        <v>87</v>
      </c>
      <c r="CB3" s="8" t="s">
        <v>86</v>
      </c>
      <c r="CC3" s="8" t="s">
        <v>85</v>
      </c>
      <c r="CD3" s="8" t="s">
        <v>84</v>
      </c>
      <c r="CE3" s="8" t="s">
        <v>83</v>
      </c>
      <c r="CF3" s="8" t="s">
        <v>82</v>
      </c>
      <c r="CG3" s="8" t="s">
        <v>81</v>
      </c>
      <c r="CH3" s="8" t="s">
        <v>80</v>
      </c>
      <c r="CI3" s="8" t="s">
        <v>79</v>
      </c>
      <c r="CJ3" s="8" t="s">
        <v>78</v>
      </c>
      <c r="CK3" s="8" t="s">
        <v>89</v>
      </c>
      <c r="CL3" s="8" t="s">
        <v>88</v>
      </c>
      <c r="CM3" s="8" t="s">
        <v>87</v>
      </c>
      <c r="CN3" s="8" t="s">
        <v>86</v>
      </c>
      <c r="CO3" s="8" t="s">
        <v>85</v>
      </c>
      <c r="CP3" s="8" t="s">
        <v>84</v>
      </c>
      <c r="CQ3" s="8" t="s">
        <v>83</v>
      </c>
      <c r="CR3" s="8" t="s">
        <v>82</v>
      </c>
      <c r="CS3" s="8" t="s">
        <v>81</v>
      </c>
      <c r="CT3" s="8" t="s">
        <v>80</v>
      </c>
      <c r="CU3" s="8" t="s">
        <v>79</v>
      </c>
      <c r="CV3" s="8" t="s">
        <v>78</v>
      </c>
      <c r="CW3" s="8" t="s">
        <v>89</v>
      </c>
      <c r="CX3" s="8" t="s">
        <v>88</v>
      </c>
      <c r="CY3" s="8" t="s">
        <v>87</v>
      </c>
      <c r="CZ3" s="8" t="s">
        <v>86</v>
      </c>
      <c r="DA3" s="8" t="s">
        <v>85</v>
      </c>
      <c r="DB3" s="8" t="s">
        <v>84</v>
      </c>
      <c r="DC3" s="8" t="s">
        <v>83</v>
      </c>
      <c r="DD3" s="8" t="s">
        <v>82</v>
      </c>
      <c r="DE3" s="8" t="s">
        <v>81</v>
      </c>
      <c r="DF3" s="8" t="s">
        <v>80</v>
      </c>
      <c r="DG3" s="8" t="s">
        <v>79</v>
      </c>
      <c r="DH3" s="8" t="s">
        <v>78</v>
      </c>
      <c r="DI3" s="8" t="s">
        <v>89</v>
      </c>
      <c r="DJ3" s="8" t="s">
        <v>88</v>
      </c>
      <c r="DK3" s="8" t="s">
        <v>87</v>
      </c>
      <c r="DL3" s="8" t="s">
        <v>86</v>
      </c>
      <c r="DM3" s="8" t="s">
        <v>85</v>
      </c>
      <c r="DN3" s="8" t="s">
        <v>84</v>
      </c>
      <c r="DO3" s="8" t="s">
        <v>83</v>
      </c>
      <c r="DP3" s="8" t="s">
        <v>82</v>
      </c>
      <c r="DQ3" s="8" t="s">
        <v>81</v>
      </c>
      <c r="DR3" s="8" t="s">
        <v>80</v>
      </c>
      <c r="DS3" s="8" t="s">
        <v>79</v>
      </c>
      <c r="DT3" s="8" t="s">
        <v>78</v>
      </c>
      <c r="DU3" s="8" t="s">
        <v>89</v>
      </c>
      <c r="DV3" s="8" t="s">
        <v>88</v>
      </c>
      <c r="DW3" s="8" t="s">
        <v>87</v>
      </c>
      <c r="DX3" s="8" t="s">
        <v>86</v>
      </c>
      <c r="DY3" s="8" t="s">
        <v>85</v>
      </c>
      <c r="DZ3" s="8" t="s">
        <v>84</v>
      </c>
      <c r="EA3" s="8" t="s">
        <v>83</v>
      </c>
      <c r="EB3" s="8" t="s">
        <v>82</v>
      </c>
      <c r="EC3" s="8" t="s">
        <v>81</v>
      </c>
      <c r="ED3" s="8" t="s">
        <v>80</v>
      </c>
    </row>
    <row r="4" spans="1:137" s="2" customFormat="1">
      <c r="A4" s="1" t="s">
        <v>107</v>
      </c>
      <c r="B4" s="61">
        <v>17</v>
      </c>
      <c r="C4" s="20">
        <v>17</v>
      </c>
      <c r="D4" s="20">
        <v>15</v>
      </c>
      <c r="E4" s="20">
        <v>14</v>
      </c>
      <c r="F4" s="20">
        <v>14</v>
      </c>
      <c r="G4" s="20">
        <v>12.5</v>
      </c>
      <c r="H4" s="20">
        <v>11.5</v>
      </c>
      <c r="I4" s="20">
        <v>11.5</v>
      </c>
      <c r="J4" s="20">
        <v>11</v>
      </c>
      <c r="K4" s="20">
        <v>11</v>
      </c>
      <c r="L4" s="20">
        <v>11</v>
      </c>
      <c r="M4" s="20">
        <v>11</v>
      </c>
      <c r="N4" s="20">
        <v>11</v>
      </c>
      <c r="O4" s="20">
        <v>11</v>
      </c>
      <c r="P4" s="20">
        <v>11</v>
      </c>
      <c r="Q4" s="20">
        <v>11</v>
      </c>
      <c r="R4" s="20">
        <v>11</v>
      </c>
      <c r="S4" s="20">
        <v>11</v>
      </c>
      <c r="T4" s="20">
        <v>10.5</v>
      </c>
      <c r="U4" s="20">
        <v>10.5</v>
      </c>
      <c r="V4" s="20">
        <v>10.5</v>
      </c>
      <c r="W4" s="20">
        <v>10</v>
      </c>
      <c r="X4" s="20">
        <v>10</v>
      </c>
      <c r="Y4" s="20">
        <v>10</v>
      </c>
      <c r="Z4" s="20">
        <v>10</v>
      </c>
      <c r="AA4" s="20">
        <v>10</v>
      </c>
      <c r="AB4" s="20">
        <v>10</v>
      </c>
      <c r="AC4" s="20">
        <v>9.75</v>
      </c>
      <c r="AD4" s="20">
        <v>9.75</v>
      </c>
      <c r="AE4" s="20">
        <v>9.25</v>
      </c>
      <c r="AF4" s="20">
        <v>9</v>
      </c>
      <c r="AG4" s="20">
        <v>9</v>
      </c>
      <c r="AH4" s="20">
        <v>9</v>
      </c>
      <c r="AI4" s="20">
        <v>8.5</v>
      </c>
      <c r="AJ4" s="20">
        <v>8.25</v>
      </c>
      <c r="AK4" s="20">
        <v>8.25</v>
      </c>
      <c r="AL4" s="20">
        <v>7.75</v>
      </c>
      <c r="AM4" s="20">
        <v>7.75</v>
      </c>
      <c r="AN4" s="20">
        <v>7.5</v>
      </c>
      <c r="AO4" s="20">
        <v>7.25</v>
      </c>
      <c r="AP4" s="20">
        <v>7.25</v>
      </c>
      <c r="AQ4" s="20">
        <v>7.25</v>
      </c>
      <c r="AR4" s="20">
        <v>7.25</v>
      </c>
      <c r="AS4" s="20">
        <v>7.25</v>
      </c>
      <c r="AT4" s="20">
        <v>7.25</v>
      </c>
      <c r="AU4" s="20">
        <v>7.5</v>
      </c>
      <c r="AV4" s="20">
        <v>7.5</v>
      </c>
      <c r="AW4" s="20">
        <v>7.5</v>
      </c>
      <c r="AX4" s="20">
        <v>7.75</v>
      </c>
      <c r="AY4" s="20">
        <v>7.75</v>
      </c>
      <c r="AZ4" s="20">
        <v>7.75</v>
      </c>
      <c r="BA4" s="20">
        <v>7.75</v>
      </c>
      <c r="BB4" s="20">
        <v>7.75</v>
      </c>
      <c r="BC4" s="20">
        <v>7.75</v>
      </c>
      <c r="BD4" s="20">
        <v>7.5</v>
      </c>
      <c r="BE4" s="20">
        <v>7.25</v>
      </c>
      <c r="BF4" s="20">
        <v>7.25</v>
      </c>
      <c r="BG4" s="20">
        <v>7</v>
      </c>
      <c r="BH4" s="20">
        <v>6.5</v>
      </c>
      <c r="BI4" s="20">
        <v>6.5</v>
      </c>
      <c r="BJ4" s="20">
        <v>6.25</v>
      </c>
      <c r="BK4" s="20">
        <v>6.25</v>
      </c>
      <c r="BL4" s="20">
        <v>6</v>
      </c>
      <c r="BM4" s="20">
        <v>6</v>
      </c>
      <c r="BN4" s="20">
        <v>5.5</v>
      </c>
      <c r="BO4" s="20">
        <v>5.5</v>
      </c>
      <c r="BP4" s="20">
        <v>4.5</v>
      </c>
      <c r="BQ4" s="20">
        <v>4.25</v>
      </c>
      <c r="BR4" s="20">
        <v>4.25</v>
      </c>
      <c r="BS4" s="20">
        <v>4.25</v>
      </c>
      <c r="BT4" s="20">
        <v>4.25</v>
      </c>
      <c r="BU4" s="20">
        <v>4.25</v>
      </c>
      <c r="BV4" s="20">
        <v>4.25</v>
      </c>
      <c r="BW4" s="20">
        <v>4.25</v>
      </c>
      <c r="BX4" s="20">
        <v>4.25</v>
      </c>
      <c r="BY4" s="20">
        <v>4.5</v>
      </c>
      <c r="BZ4" s="20">
        <v>5</v>
      </c>
      <c r="CA4" s="20">
        <v>5</v>
      </c>
      <c r="CB4" s="20">
        <v>5.5</v>
      </c>
      <c r="CC4" s="20">
        <v>6.5</v>
      </c>
      <c r="CD4" s="20">
        <v>6.5</v>
      </c>
      <c r="CE4" s="20">
        <v>6.75</v>
      </c>
      <c r="CF4" s="20">
        <v>7.5</v>
      </c>
      <c r="CG4" s="20">
        <v>7.5</v>
      </c>
      <c r="CH4" s="20">
        <v>8.5</v>
      </c>
      <c r="CI4" s="20">
        <v>8.5</v>
      </c>
      <c r="CJ4" s="20">
        <v>20</v>
      </c>
      <c r="CK4" s="20">
        <v>20</v>
      </c>
      <c r="CL4" s="20">
        <v>17</v>
      </c>
      <c r="CM4" s="20">
        <v>11</v>
      </c>
      <c r="CN4" s="20">
        <v>9.5</v>
      </c>
      <c r="CO4" s="20">
        <v>8</v>
      </c>
      <c r="CP4" s="20">
        <v>8</v>
      </c>
      <c r="CQ4" s="20">
        <v>7.5</v>
      </c>
      <c r="CR4" s="20">
        <v>7.5</v>
      </c>
      <c r="CS4" s="20">
        <v>7.5</v>
      </c>
      <c r="CT4" s="20">
        <v>7.5</v>
      </c>
      <c r="CU4" s="20">
        <v>7.5</v>
      </c>
      <c r="CV4" s="20">
        <v>7.5</v>
      </c>
      <c r="CW4" s="20">
        <v>7.5</v>
      </c>
      <c r="CX4" s="20">
        <v>7.5</v>
      </c>
      <c r="CY4" s="20">
        <v>7.5</v>
      </c>
      <c r="CZ4" s="20">
        <v>7.5</v>
      </c>
      <c r="DA4" s="20">
        <v>8.5</v>
      </c>
      <c r="DB4" s="20">
        <v>12</v>
      </c>
      <c r="DC4" s="20">
        <v>13</v>
      </c>
      <c r="DD4" s="20">
        <v>15</v>
      </c>
      <c r="DE4" s="20">
        <v>15</v>
      </c>
      <c r="DF4" s="20">
        <v>16</v>
      </c>
      <c r="DG4" s="20">
        <v>16</v>
      </c>
      <c r="DH4" s="20">
        <v>16</v>
      </c>
      <c r="DI4" s="20">
        <v>16</v>
      </c>
      <c r="DJ4" s="20">
        <v>16</v>
      </c>
      <c r="DK4" s="20">
        <v>16</v>
      </c>
      <c r="DL4" s="20">
        <v>16</v>
      </c>
      <c r="DM4" s="20">
        <v>18</v>
      </c>
      <c r="DN4" s="20">
        <v>18</v>
      </c>
      <c r="DO4" s="20">
        <v>19</v>
      </c>
      <c r="DP4" s="20">
        <v>21</v>
      </c>
      <c r="DQ4" s="20">
        <v>21</v>
      </c>
      <c r="DR4" s="20">
        <v>21</v>
      </c>
      <c r="DS4" s="20">
        <v>21</v>
      </c>
      <c r="DT4" s="20">
        <v>21</v>
      </c>
      <c r="DU4" s="20">
        <v>21</v>
      </c>
      <c r="DV4" s="20">
        <v>21</v>
      </c>
      <c r="DW4" s="20">
        <v>21</v>
      </c>
      <c r="DX4" s="20">
        <v>20</v>
      </c>
      <c r="DY4" s="20">
        <v>18</v>
      </c>
      <c r="DZ4" s="20">
        <v>18</v>
      </c>
      <c r="EA4" s="20">
        <v>17</v>
      </c>
      <c r="EB4" s="20">
        <v>16.5</v>
      </c>
      <c r="EC4" s="20">
        <v>16.5</v>
      </c>
      <c r="ED4" s="20">
        <v>16</v>
      </c>
      <c r="EE4" s="20"/>
      <c r="EF4" s="20"/>
      <c r="EG4" s="20"/>
    </row>
    <row r="5" spans="1:137">
      <c r="C5" s="61">
        <f>C4-B4</f>
        <v>0</v>
      </c>
      <c r="D5" s="61">
        <f t="shared" ref="D5:BO5" si="0">D4-C4</f>
        <v>-2</v>
      </c>
      <c r="E5" s="61">
        <f t="shared" si="0"/>
        <v>-1</v>
      </c>
      <c r="F5" s="61">
        <f t="shared" si="0"/>
        <v>0</v>
      </c>
      <c r="G5" s="61">
        <f t="shared" si="0"/>
        <v>-1.5</v>
      </c>
      <c r="H5" s="61">
        <f t="shared" si="0"/>
        <v>-1</v>
      </c>
      <c r="I5" s="61">
        <f t="shared" si="0"/>
        <v>0</v>
      </c>
      <c r="J5" s="61">
        <f t="shared" si="0"/>
        <v>-0.5</v>
      </c>
      <c r="K5" s="61">
        <f t="shared" si="0"/>
        <v>0</v>
      </c>
      <c r="L5" s="61">
        <f t="shared" si="0"/>
        <v>0</v>
      </c>
      <c r="M5" s="61">
        <f t="shared" si="0"/>
        <v>0</v>
      </c>
      <c r="N5" s="61">
        <f t="shared" si="0"/>
        <v>0</v>
      </c>
      <c r="O5" s="61">
        <f t="shared" si="0"/>
        <v>0</v>
      </c>
      <c r="P5" s="61">
        <f t="shared" si="0"/>
        <v>0</v>
      </c>
      <c r="Q5" s="61">
        <f t="shared" si="0"/>
        <v>0</v>
      </c>
      <c r="R5" s="61">
        <f t="shared" si="0"/>
        <v>0</v>
      </c>
      <c r="S5" s="61">
        <f t="shared" si="0"/>
        <v>0</v>
      </c>
      <c r="T5" s="61">
        <f t="shared" si="0"/>
        <v>-0.5</v>
      </c>
      <c r="U5" s="61">
        <f t="shared" si="0"/>
        <v>0</v>
      </c>
      <c r="V5" s="61">
        <f t="shared" si="0"/>
        <v>0</v>
      </c>
      <c r="W5" s="61">
        <f t="shared" si="0"/>
        <v>-0.5</v>
      </c>
      <c r="X5" s="61">
        <f t="shared" si="0"/>
        <v>0</v>
      </c>
      <c r="Y5" s="61">
        <f t="shared" si="0"/>
        <v>0</v>
      </c>
      <c r="Z5" s="61">
        <f t="shared" si="0"/>
        <v>0</v>
      </c>
      <c r="AA5" s="61">
        <f t="shared" si="0"/>
        <v>0</v>
      </c>
      <c r="AB5" s="61">
        <f t="shared" si="0"/>
        <v>0</v>
      </c>
      <c r="AC5" s="61">
        <f t="shared" si="0"/>
        <v>-0.25</v>
      </c>
      <c r="AD5" s="61">
        <f t="shared" si="0"/>
        <v>0</v>
      </c>
      <c r="AE5" s="61">
        <f t="shared" si="0"/>
        <v>-0.5</v>
      </c>
      <c r="AF5" s="61">
        <f t="shared" si="0"/>
        <v>-0.25</v>
      </c>
      <c r="AG5" s="61">
        <f t="shared" si="0"/>
        <v>0</v>
      </c>
      <c r="AH5" s="61">
        <f t="shared" si="0"/>
        <v>0</v>
      </c>
      <c r="AI5" s="61">
        <f t="shared" si="0"/>
        <v>-0.5</v>
      </c>
      <c r="AJ5" s="61">
        <f t="shared" si="0"/>
        <v>-0.25</v>
      </c>
      <c r="AK5" s="61">
        <f t="shared" si="0"/>
        <v>0</v>
      </c>
      <c r="AL5" s="61">
        <f t="shared" si="0"/>
        <v>-0.5</v>
      </c>
      <c r="AM5" s="61">
        <f t="shared" si="0"/>
        <v>0</v>
      </c>
      <c r="AN5" s="61">
        <f t="shared" si="0"/>
        <v>-0.25</v>
      </c>
      <c r="AO5" s="61">
        <f t="shared" si="0"/>
        <v>-0.25</v>
      </c>
      <c r="AP5" s="61">
        <f t="shared" si="0"/>
        <v>0</v>
      </c>
      <c r="AQ5" s="61">
        <f t="shared" si="0"/>
        <v>0</v>
      </c>
      <c r="AR5" s="61">
        <f t="shared" si="0"/>
        <v>0</v>
      </c>
      <c r="AS5" s="61">
        <f t="shared" si="0"/>
        <v>0</v>
      </c>
      <c r="AT5" s="61">
        <f t="shared" si="0"/>
        <v>0</v>
      </c>
      <c r="AU5" s="61">
        <f t="shared" si="0"/>
        <v>0.25</v>
      </c>
      <c r="AV5" s="61">
        <f t="shared" si="0"/>
        <v>0</v>
      </c>
      <c r="AW5" s="61">
        <f t="shared" si="0"/>
        <v>0</v>
      </c>
      <c r="AX5" s="61">
        <f t="shared" si="0"/>
        <v>0.25</v>
      </c>
      <c r="AY5" s="61">
        <f t="shared" si="0"/>
        <v>0</v>
      </c>
      <c r="AZ5" s="61">
        <f t="shared" si="0"/>
        <v>0</v>
      </c>
      <c r="BA5" s="61">
        <f t="shared" si="0"/>
        <v>0</v>
      </c>
      <c r="BB5" s="61">
        <f t="shared" si="0"/>
        <v>0</v>
      </c>
      <c r="BC5" s="61">
        <f t="shared" si="0"/>
        <v>0</v>
      </c>
      <c r="BD5" s="61">
        <f t="shared" si="0"/>
        <v>-0.25</v>
      </c>
      <c r="BE5" s="61">
        <f t="shared" si="0"/>
        <v>-0.25</v>
      </c>
      <c r="BF5" s="61">
        <f t="shared" si="0"/>
        <v>0</v>
      </c>
      <c r="BG5" s="61">
        <f t="shared" si="0"/>
        <v>-0.25</v>
      </c>
      <c r="BH5" s="61">
        <f t="shared" si="0"/>
        <v>-0.5</v>
      </c>
      <c r="BI5" s="61">
        <f t="shared" si="0"/>
        <v>0</v>
      </c>
      <c r="BJ5" s="61">
        <f t="shared" si="0"/>
        <v>-0.25</v>
      </c>
      <c r="BK5" s="61">
        <f t="shared" si="0"/>
        <v>0</v>
      </c>
      <c r="BL5" s="61">
        <f t="shared" si="0"/>
        <v>-0.25</v>
      </c>
      <c r="BM5" s="61">
        <f t="shared" si="0"/>
        <v>0</v>
      </c>
      <c r="BN5" s="61">
        <f t="shared" si="0"/>
        <v>-0.5</v>
      </c>
      <c r="BO5" s="61">
        <f t="shared" si="0"/>
        <v>0</v>
      </c>
      <c r="BP5" s="61">
        <f t="shared" ref="BP5:EA5" si="1">BP4-BO4</f>
        <v>-1</v>
      </c>
      <c r="BQ5" s="61">
        <f t="shared" si="1"/>
        <v>-0.25</v>
      </c>
      <c r="BR5" s="61">
        <f t="shared" si="1"/>
        <v>0</v>
      </c>
      <c r="BS5" s="61">
        <f t="shared" si="1"/>
        <v>0</v>
      </c>
      <c r="BT5" s="61">
        <f t="shared" si="1"/>
        <v>0</v>
      </c>
      <c r="BU5" s="61">
        <f t="shared" si="1"/>
        <v>0</v>
      </c>
      <c r="BV5" s="61">
        <f t="shared" si="1"/>
        <v>0</v>
      </c>
      <c r="BW5" s="61">
        <f t="shared" si="1"/>
        <v>0</v>
      </c>
      <c r="BX5" s="61">
        <f t="shared" si="1"/>
        <v>0</v>
      </c>
      <c r="BY5" s="61">
        <f t="shared" si="1"/>
        <v>0.25</v>
      </c>
      <c r="BZ5" s="61">
        <f t="shared" si="1"/>
        <v>0.5</v>
      </c>
      <c r="CA5" s="61">
        <f t="shared" si="1"/>
        <v>0</v>
      </c>
      <c r="CB5" s="61">
        <f t="shared" si="1"/>
        <v>0.5</v>
      </c>
      <c r="CC5" s="61">
        <f t="shared" si="1"/>
        <v>1</v>
      </c>
      <c r="CD5" s="61">
        <f t="shared" si="1"/>
        <v>0</v>
      </c>
      <c r="CE5" s="61">
        <f t="shared" si="1"/>
        <v>0.25</v>
      </c>
      <c r="CF5" s="61">
        <f t="shared" si="1"/>
        <v>0.75</v>
      </c>
      <c r="CG5" s="61">
        <f t="shared" si="1"/>
        <v>0</v>
      </c>
      <c r="CH5" s="61">
        <f t="shared" si="1"/>
        <v>1</v>
      </c>
      <c r="CI5" s="61">
        <f t="shared" si="1"/>
        <v>0</v>
      </c>
      <c r="CJ5" s="61">
        <f t="shared" si="1"/>
        <v>11.5</v>
      </c>
      <c r="CK5" s="61">
        <f t="shared" si="1"/>
        <v>0</v>
      </c>
      <c r="CL5" s="61">
        <f t="shared" si="1"/>
        <v>-3</v>
      </c>
      <c r="CM5" s="61">
        <f t="shared" si="1"/>
        <v>-6</v>
      </c>
      <c r="CN5" s="61">
        <f t="shared" si="1"/>
        <v>-1.5</v>
      </c>
      <c r="CO5" s="61">
        <f t="shared" si="1"/>
        <v>-1.5</v>
      </c>
      <c r="CP5" s="61">
        <f t="shared" si="1"/>
        <v>0</v>
      </c>
      <c r="CQ5" s="61">
        <f t="shared" si="1"/>
        <v>-0.5</v>
      </c>
      <c r="CR5" s="61">
        <f t="shared" si="1"/>
        <v>0</v>
      </c>
      <c r="CS5" s="61">
        <f t="shared" si="1"/>
        <v>0</v>
      </c>
      <c r="CT5" s="61">
        <f t="shared" si="1"/>
        <v>0</v>
      </c>
      <c r="CU5" s="61">
        <f t="shared" si="1"/>
        <v>0</v>
      </c>
      <c r="CV5" s="61">
        <f t="shared" si="1"/>
        <v>0</v>
      </c>
      <c r="CW5" s="61">
        <f t="shared" si="1"/>
        <v>0</v>
      </c>
      <c r="CX5" s="61">
        <f t="shared" si="1"/>
        <v>0</v>
      </c>
      <c r="CY5" s="61">
        <f t="shared" si="1"/>
        <v>0</v>
      </c>
      <c r="CZ5" s="61">
        <f t="shared" si="1"/>
        <v>0</v>
      </c>
      <c r="DA5" s="61">
        <f t="shared" si="1"/>
        <v>1</v>
      </c>
      <c r="DB5" s="61">
        <f t="shared" si="1"/>
        <v>3.5</v>
      </c>
      <c r="DC5" s="61">
        <f t="shared" si="1"/>
        <v>1</v>
      </c>
      <c r="DD5" s="61">
        <f t="shared" si="1"/>
        <v>2</v>
      </c>
      <c r="DE5" s="61">
        <f t="shared" si="1"/>
        <v>0</v>
      </c>
      <c r="DF5" s="61">
        <f t="shared" si="1"/>
        <v>1</v>
      </c>
      <c r="DG5" s="61">
        <f t="shared" si="1"/>
        <v>0</v>
      </c>
      <c r="DH5" s="61">
        <f t="shared" si="1"/>
        <v>0</v>
      </c>
      <c r="DI5" s="61">
        <f t="shared" si="1"/>
        <v>0</v>
      </c>
      <c r="DJ5" s="61">
        <f t="shared" si="1"/>
        <v>0</v>
      </c>
      <c r="DK5" s="61">
        <f t="shared" si="1"/>
        <v>0</v>
      </c>
      <c r="DL5" s="61">
        <f t="shared" si="1"/>
        <v>0</v>
      </c>
      <c r="DM5" s="61">
        <f t="shared" si="1"/>
        <v>2</v>
      </c>
      <c r="DN5" s="61">
        <f t="shared" si="1"/>
        <v>0</v>
      </c>
      <c r="DO5" s="61">
        <f t="shared" si="1"/>
        <v>1</v>
      </c>
      <c r="DP5" s="61">
        <f t="shared" si="1"/>
        <v>2</v>
      </c>
      <c r="DQ5" s="61">
        <f t="shared" si="1"/>
        <v>0</v>
      </c>
      <c r="DR5" s="61">
        <f t="shared" si="1"/>
        <v>0</v>
      </c>
      <c r="DS5" s="61">
        <f t="shared" si="1"/>
        <v>0</v>
      </c>
      <c r="DT5" s="61">
        <f t="shared" si="1"/>
        <v>0</v>
      </c>
      <c r="DU5" s="61">
        <f t="shared" si="1"/>
        <v>0</v>
      </c>
      <c r="DV5" s="61">
        <f t="shared" si="1"/>
        <v>0</v>
      </c>
      <c r="DW5" s="61">
        <f t="shared" si="1"/>
        <v>0</v>
      </c>
      <c r="DX5" s="61">
        <f t="shared" si="1"/>
        <v>-1</v>
      </c>
      <c r="DY5" s="61">
        <f t="shared" si="1"/>
        <v>-2</v>
      </c>
      <c r="DZ5" s="61">
        <f t="shared" si="1"/>
        <v>0</v>
      </c>
      <c r="EA5" s="61">
        <f t="shared" si="1"/>
        <v>-1</v>
      </c>
      <c r="EB5" s="61">
        <f t="shared" ref="EB5:ED5" si="2">EB4-EA4</f>
        <v>-0.5</v>
      </c>
      <c r="EC5" s="61">
        <f t="shared" si="2"/>
        <v>0</v>
      </c>
      <c r="ED5" s="61">
        <f t="shared" si="2"/>
        <v>-0.5</v>
      </c>
    </row>
    <row r="6" spans="1:137">
      <c r="C6">
        <v>0</v>
      </c>
      <c r="D6">
        <v>-2</v>
      </c>
      <c r="E6">
        <v>-1</v>
      </c>
      <c r="F6">
        <v>0</v>
      </c>
      <c r="G6">
        <v>-1.5</v>
      </c>
      <c r="H6">
        <v>-1</v>
      </c>
      <c r="I6">
        <v>0</v>
      </c>
      <c r="J6">
        <v>-0.5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-0.5</v>
      </c>
      <c r="U6">
        <v>0</v>
      </c>
      <c r="V6">
        <v>0</v>
      </c>
      <c r="W6">
        <v>-0.5</v>
      </c>
      <c r="X6">
        <v>0</v>
      </c>
      <c r="Y6">
        <v>0</v>
      </c>
      <c r="Z6">
        <v>0</v>
      </c>
      <c r="AA6">
        <v>0</v>
      </c>
      <c r="AB6">
        <v>0</v>
      </c>
      <c r="AC6">
        <v>-0.25</v>
      </c>
      <c r="AD6">
        <v>0</v>
      </c>
      <c r="AE6">
        <v>-0.5</v>
      </c>
      <c r="AF6">
        <v>-0.25</v>
      </c>
      <c r="AG6">
        <v>0</v>
      </c>
      <c r="AH6">
        <v>0</v>
      </c>
      <c r="AI6">
        <v>-0.5</v>
      </c>
      <c r="AJ6">
        <v>-0.25</v>
      </c>
      <c r="AK6">
        <v>0</v>
      </c>
      <c r="AL6">
        <v>-0.5</v>
      </c>
      <c r="AM6">
        <v>0</v>
      </c>
      <c r="AN6">
        <v>-0.25</v>
      </c>
      <c r="AO6">
        <v>-0.25</v>
      </c>
      <c r="AP6">
        <v>0</v>
      </c>
      <c r="AQ6">
        <v>0</v>
      </c>
      <c r="AR6">
        <v>0</v>
      </c>
      <c r="AS6">
        <v>0</v>
      </c>
      <c r="AT6">
        <v>0</v>
      </c>
      <c r="AU6">
        <v>0.25</v>
      </c>
      <c r="AV6">
        <v>0</v>
      </c>
      <c r="AW6">
        <v>0</v>
      </c>
      <c r="AX6">
        <v>0.25</v>
      </c>
      <c r="AY6">
        <v>0</v>
      </c>
      <c r="AZ6">
        <v>0</v>
      </c>
      <c r="BA6">
        <v>0</v>
      </c>
      <c r="BB6">
        <v>0</v>
      </c>
      <c r="BC6">
        <v>0</v>
      </c>
      <c r="BD6">
        <v>-0.25</v>
      </c>
      <c r="BE6">
        <v>-0.25</v>
      </c>
      <c r="BF6">
        <v>0</v>
      </c>
      <c r="BG6">
        <v>-0.25</v>
      </c>
      <c r="BH6">
        <v>-0.5</v>
      </c>
      <c r="BI6">
        <v>0</v>
      </c>
      <c r="BJ6">
        <v>-0.25</v>
      </c>
      <c r="BK6">
        <v>0</v>
      </c>
      <c r="BL6">
        <v>-0.25</v>
      </c>
      <c r="BM6">
        <v>0</v>
      </c>
      <c r="BN6">
        <v>-0.5</v>
      </c>
      <c r="BO6">
        <v>0</v>
      </c>
      <c r="BP6">
        <v>-1</v>
      </c>
      <c r="BQ6">
        <v>-0.25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0.25</v>
      </c>
      <c r="BZ6">
        <v>0.5</v>
      </c>
      <c r="CA6">
        <v>0</v>
      </c>
      <c r="CB6">
        <v>0.5</v>
      </c>
      <c r="CC6">
        <v>1</v>
      </c>
      <c r="CD6">
        <v>0</v>
      </c>
      <c r="CE6">
        <v>0.25</v>
      </c>
      <c r="CF6">
        <v>0.75</v>
      </c>
      <c r="CG6">
        <v>0</v>
      </c>
      <c r="CH6">
        <v>1</v>
      </c>
      <c r="CI6">
        <v>0</v>
      </c>
      <c r="CJ6">
        <v>11.5</v>
      </c>
      <c r="CK6">
        <v>0</v>
      </c>
      <c r="CL6">
        <v>-3</v>
      </c>
      <c r="CM6">
        <v>-6</v>
      </c>
      <c r="CN6">
        <v>-1.5</v>
      </c>
      <c r="CO6">
        <v>-1.5</v>
      </c>
      <c r="CP6">
        <v>0</v>
      </c>
      <c r="CQ6">
        <v>-0.5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>
        <v>3.5</v>
      </c>
      <c r="DC6">
        <v>1</v>
      </c>
      <c r="DD6">
        <v>2</v>
      </c>
      <c r="DE6">
        <v>0</v>
      </c>
      <c r="DF6">
        <v>1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2</v>
      </c>
      <c r="DN6">
        <v>0</v>
      </c>
      <c r="DO6">
        <v>1</v>
      </c>
      <c r="DP6">
        <v>2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-1</v>
      </c>
      <c r="DY6">
        <v>-2</v>
      </c>
      <c r="DZ6">
        <v>0</v>
      </c>
      <c r="EA6">
        <v>-1</v>
      </c>
      <c r="EB6">
        <v>-0.5</v>
      </c>
      <c r="EC6">
        <v>0</v>
      </c>
      <c r="ED6">
        <v>-0.5</v>
      </c>
    </row>
  </sheetData>
  <mergeCells count="11">
    <mergeCell ref="BJ2:BU2"/>
    <mergeCell ref="B2:M2"/>
    <mergeCell ref="N2:Y2"/>
    <mergeCell ref="Z2:AK2"/>
    <mergeCell ref="AL2:AW2"/>
    <mergeCell ref="AX2:BI2"/>
    <mergeCell ref="BV2:CG2"/>
    <mergeCell ref="CH2:CS2"/>
    <mergeCell ref="CT2:DE2"/>
    <mergeCell ref="DF2:DQ2"/>
    <mergeCell ref="DR2:E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7E96-BA05-5F44-870B-A8C56D1789D9}">
  <dimension ref="A1:EQ7"/>
  <sheetViews>
    <sheetView topLeftCell="D1" workbookViewId="0">
      <selection activeCell="N6" sqref="N6:EO6"/>
    </sheetView>
  </sheetViews>
  <sheetFormatPr baseColWidth="10" defaultRowHeight="16"/>
  <cols>
    <col min="1" max="1" width="36.1640625" bestFit="1" customWidth="1"/>
    <col min="2" max="113" width="12" bestFit="1" customWidth="1"/>
    <col min="114" max="133" width="12.83203125" bestFit="1" customWidth="1"/>
    <col min="134" max="145" width="12.6640625" bestFit="1" customWidth="1"/>
  </cols>
  <sheetData>
    <row r="1" spans="1:147" s="2" customFormat="1" ht="14">
      <c r="A1" s="2" t="s">
        <v>108</v>
      </c>
    </row>
    <row r="2" spans="1:147" s="2" customFormat="1" ht="14">
      <c r="A2" s="2" t="s">
        <v>93</v>
      </c>
      <c r="B2" s="102">
        <v>2014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>
        <v>2015</v>
      </c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>
        <v>2016</v>
      </c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>
        <v>2017</v>
      </c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>
        <v>2018</v>
      </c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>
        <v>2019</v>
      </c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>
        <v>2020</v>
      </c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>
        <v>2021</v>
      </c>
      <c r="CI2" s="102"/>
      <c r="CJ2" s="102"/>
      <c r="CK2" s="102"/>
      <c r="CL2" s="102"/>
      <c r="CM2" s="102"/>
      <c r="CN2" s="102"/>
      <c r="CO2" s="102"/>
      <c r="CP2" s="102"/>
      <c r="CQ2" s="102"/>
      <c r="CR2" s="102"/>
      <c r="CS2" s="102"/>
      <c r="CT2" s="102">
        <v>2022</v>
      </c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>
        <v>2023</v>
      </c>
      <c r="DG2" s="102"/>
      <c r="DH2" s="102"/>
      <c r="DI2" s="102"/>
      <c r="DJ2" s="102"/>
      <c r="DK2" s="102"/>
      <c r="DL2" s="102"/>
      <c r="DM2" s="102"/>
      <c r="DN2" s="102"/>
      <c r="DO2" s="102"/>
      <c r="DP2" s="102"/>
      <c r="DQ2" s="102"/>
      <c r="DR2" s="102">
        <v>2024</v>
      </c>
      <c r="DS2" s="102"/>
      <c r="DT2" s="102"/>
      <c r="DU2" s="102"/>
      <c r="DV2" s="102"/>
      <c r="DW2" s="102"/>
      <c r="DX2" s="102"/>
      <c r="DY2" s="102"/>
      <c r="DZ2" s="102"/>
      <c r="EA2" s="102"/>
      <c r="EB2" s="102"/>
      <c r="EC2" s="102"/>
      <c r="ED2" s="118">
        <v>2025</v>
      </c>
      <c r="EE2" s="118"/>
      <c r="EF2" s="118"/>
      <c r="EG2" s="118"/>
      <c r="EH2" s="118"/>
      <c r="EI2" s="118"/>
      <c r="EJ2" s="118"/>
      <c r="EK2" s="118"/>
      <c r="EL2" s="118"/>
      <c r="EM2" s="118"/>
      <c r="EN2" s="118"/>
      <c r="EO2" s="118"/>
    </row>
    <row r="3" spans="1:147" s="2" customFormat="1" ht="15">
      <c r="A3" s="2" t="s">
        <v>92</v>
      </c>
      <c r="B3" s="8" t="s">
        <v>79</v>
      </c>
      <c r="C3" s="8" t="s">
        <v>78</v>
      </c>
      <c r="D3" s="8" t="s">
        <v>89</v>
      </c>
      <c r="E3" s="8" t="s">
        <v>88</v>
      </c>
      <c r="F3" s="8" t="s">
        <v>87</v>
      </c>
      <c r="G3" s="8" t="s">
        <v>86</v>
      </c>
      <c r="H3" s="8" t="s">
        <v>85</v>
      </c>
      <c r="I3" s="8" t="s">
        <v>84</v>
      </c>
      <c r="J3" s="8" t="s">
        <v>83</v>
      </c>
      <c r="K3" s="8" t="s">
        <v>82</v>
      </c>
      <c r="L3" s="8" t="s">
        <v>81</v>
      </c>
      <c r="M3" s="8" t="s">
        <v>80</v>
      </c>
      <c r="N3" s="8" t="s">
        <v>79</v>
      </c>
      <c r="O3" s="8" t="s">
        <v>78</v>
      </c>
      <c r="P3" s="8" t="s">
        <v>89</v>
      </c>
      <c r="Q3" s="8" t="s">
        <v>88</v>
      </c>
      <c r="R3" s="8" t="s">
        <v>87</v>
      </c>
      <c r="S3" s="8" t="s">
        <v>86</v>
      </c>
      <c r="T3" s="8" t="s">
        <v>85</v>
      </c>
      <c r="U3" s="8" t="s">
        <v>84</v>
      </c>
      <c r="V3" s="8" t="s">
        <v>83</v>
      </c>
      <c r="W3" s="8" t="s">
        <v>82</v>
      </c>
      <c r="X3" s="8" t="s">
        <v>81</v>
      </c>
      <c r="Y3" s="8" t="s">
        <v>80</v>
      </c>
      <c r="Z3" s="8" t="s">
        <v>79</v>
      </c>
      <c r="AA3" s="8" t="s">
        <v>78</v>
      </c>
      <c r="AB3" s="8" t="s">
        <v>89</v>
      </c>
      <c r="AC3" s="8" t="s">
        <v>88</v>
      </c>
      <c r="AD3" s="8" t="s">
        <v>87</v>
      </c>
      <c r="AE3" s="8" t="s">
        <v>86</v>
      </c>
      <c r="AF3" s="8" t="s">
        <v>85</v>
      </c>
      <c r="AG3" s="8" t="s">
        <v>84</v>
      </c>
      <c r="AH3" s="8" t="s">
        <v>83</v>
      </c>
      <c r="AI3" s="8" t="s">
        <v>82</v>
      </c>
      <c r="AJ3" s="8" t="s">
        <v>81</v>
      </c>
      <c r="AK3" s="8" t="s">
        <v>80</v>
      </c>
      <c r="AL3" s="8" t="s">
        <v>79</v>
      </c>
      <c r="AM3" s="8" t="s">
        <v>78</v>
      </c>
      <c r="AN3" s="8" t="s">
        <v>89</v>
      </c>
      <c r="AO3" s="8" t="s">
        <v>88</v>
      </c>
      <c r="AP3" s="8" t="s">
        <v>87</v>
      </c>
      <c r="AQ3" s="8" t="s">
        <v>86</v>
      </c>
      <c r="AR3" s="8" t="s">
        <v>85</v>
      </c>
      <c r="AS3" s="8" t="s">
        <v>84</v>
      </c>
      <c r="AT3" s="8" t="s">
        <v>83</v>
      </c>
      <c r="AU3" s="8" t="s">
        <v>82</v>
      </c>
      <c r="AV3" s="8" t="s">
        <v>81</v>
      </c>
      <c r="AW3" s="8" t="s">
        <v>80</v>
      </c>
      <c r="AX3" s="8" t="s">
        <v>79</v>
      </c>
      <c r="AY3" s="8" t="s">
        <v>78</v>
      </c>
      <c r="AZ3" s="8" t="s">
        <v>89</v>
      </c>
      <c r="BA3" s="8" t="s">
        <v>88</v>
      </c>
      <c r="BB3" s="8" t="s">
        <v>87</v>
      </c>
      <c r="BC3" s="8" t="s">
        <v>86</v>
      </c>
      <c r="BD3" s="8" t="s">
        <v>85</v>
      </c>
      <c r="BE3" s="8" t="s">
        <v>84</v>
      </c>
      <c r="BF3" s="8" t="s">
        <v>83</v>
      </c>
      <c r="BG3" s="8" t="s">
        <v>82</v>
      </c>
      <c r="BH3" s="8" t="s">
        <v>81</v>
      </c>
      <c r="BI3" s="8" t="s">
        <v>80</v>
      </c>
      <c r="BJ3" s="8" t="s">
        <v>79</v>
      </c>
      <c r="BK3" s="8" t="s">
        <v>78</v>
      </c>
      <c r="BL3" s="8" t="s">
        <v>89</v>
      </c>
      <c r="BM3" s="8" t="s">
        <v>88</v>
      </c>
      <c r="BN3" s="8" t="s">
        <v>87</v>
      </c>
      <c r="BO3" s="8" t="s">
        <v>86</v>
      </c>
      <c r="BP3" s="8" t="s">
        <v>85</v>
      </c>
      <c r="BQ3" s="8" t="s">
        <v>84</v>
      </c>
      <c r="BR3" s="8" t="s">
        <v>83</v>
      </c>
      <c r="BS3" s="8" t="s">
        <v>82</v>
      </c>
      <c r="BT3" s="8" t="s">
        <v>81</v>
      </c>
      <c r="BU3" s="8" t="s">
        <v>80</v>
      </c>
      <c r="BV3" s="8" t="s">
        <v>79</v>
      </c>
      <c r="BW3" s="8" t="s">
        <v>78</v>
      </c>
      <c r="BX3" s="8" t="s">
        <v>89</v>
      </c>
      <c r="BY3" s="8" t="s">
        <v>88</v>
      </c>
      <c r="BZ3" s="8" t="s">
        <v>87</v>
      </c>
      <c r="CA3" s="8" t="s">
        <v>86</v>
      </c>
      <c r="CB3" s="8" t="s">
        <v>85</v>
      </c>
      <c r="CC3" s="8" t="s">
        <v>84</v>
      </c>
      <c r="CD3" s="8" t="s">
        <v>83</v>
      </c>
      <c r="CE3" s="8" t="s">
        <v>82</v>
      </c>
      <c r="CF3" s="8" t="s">
        <v>81</v>
      </c>
      <c r="CG3" s="8" t="s">
        <v>80</v>
      </c>
      <c r="CH3" s="8" t="s">
        <v>79</v>
      </c>
      <c r="CI3" s="8" t="s">
        <v>78</v>
      </c>
      <c r="CJ3" s="8" t="s">
        <v>89</v>
      </c>
      <c r="CK3" s="8" t="s">
        <v>88</v>
      </c>
      <c r="CL3" s="8" t="s">
        <v>87</v>
      </c>
      <c r="CM3" s="8" t="s">
        <v>86</v>
      </c>
      <c r="CN3" s="8" t="s">
        <v>85</v>
      </c>
      <c r="CO3" s="8" t="s">
        <v>84</v>
      </c>
      <c r="CP3" s="8" t="s">
        <v>83</v>
      </c>
      <c r="CQ3" s="8" t="s">
        <v>82</v>
      </c>
      <c r="CR3" s="8" t="s">
        <v>81</v>
      </c>
      <c r="CS3" s="8" t="s">
        <v>80</v>
      </c>
      <c r="CT3" s="8" t="s">
        <v>79</v>
      </c>
      <c r="CU3" s="8" t="s">
        <v>78</v>
      </c>
      <c r="CV3" s="8" t="s">
        <v>89</v>
      </c>
      <c r="CW3" s="8" t="s">
        <v>88</v>
      </c>
      <c r="CX3" s="8" t="s">
        <v>87</v>
      </c>
      <c r="CY3" s="8" t="s">
        <v>86</v>
      </c>
      <c r="CZ3" s="8" t="s">
        <v>85</v>
      </c>
      <c r="DA3" s="8" t="s">
        <v>84</v>
      </c>
      <c r="DB3" s="8" t="s">
        <v>83</v>
      </c>
      <c r="DC3" s="8" t="s">
        <v>82</v>
      </c>
      <c r="DD3" s="8" t="s">
        <v>81</v>
      </c>
      <c r="DE3" s="8" t="s">
        <v>80</v>
      </c>
      <c r="DF3" s="8" t="s">
        <v>79</v>
      </c>
      <c r="DG3" s="8" t="s">
        <v>78</v>
      </c>
      <c r="DH3" s="8" t="s">
        <v>89</v>
      </c>
      <c r="DI3" s="8" t="s">
        <v>88</v>
      </c>
      <c r="DJ3" s="8" t="s">
        <v>87</v>
      </c>
      <c r="DK3" s="8" t="s">
        <v>86</v>
      </c>
      <c r="DL3" s="8" t="s">
        <v>85</v>
      </c>
      <c r="DM3" s="8" t="s">
        <v>84</v>
      </c>
      <c r="DN3" s="8" t="s">
        <v>83</v>
      </c>
      <c r="DO3" s="8" t="s">
        <v>82</v>
      </c>
      <c r="DP3" s="8" t="s">
        <v>81</v>
      </c>
      <c r="DQ3" s="8" t="s">
        <v>80</v>
      </c>
      <c r="DR3" s="8" t="s">
        <v>79</v>
      </c>
      <c r="DS3" s="8" t="s">
        <v>78</v>
      </c>
      <c r="DT3" s="8" t="s">
        <v>89</v>
      </c>
      <c r="DU3" s="8" t="s">
        <v>88</v>
      </c>
      <c r="DV3" s="8" t="s">
        <v>87</v>
      </c>
      <c r="DW3" s="8" t="s">
        <v>86</v>
      </c>
      <c r="DX3" s="8" t="s">
        <v>85</v>
      </c>
      <c r="DY3" s="8" t="s">
        <v>84</v>
      </c>
      <c r="DZ3" s="8" t="s">
        <v>83</v>
      </c>
      <c r="EA3" s="8" t="s">
        <v>82</v>
      </c>
      <c r="EB3" s="8" t="s">
        <v>81</v>
      </c>
      <c r="EC3" s="8" t="s">
        <v>80</v>
      </c>
      <c r="ED3" s="8" t="s">
        <v>79</v>
      </c>
      <c r="EE3" s="8" t="s">
        <v>78</v>
      </c>
      <c r="EF3" s="8" t="s">
        <v>89</v>
      </c>
      <c r="EG3" s="8" t="s">
        <v>88</v>
      </c>
      <c r="EH3" s="8" t="s">
        <v>87</v>
      </c>
      <c r="EI3" s="8" t="s">
        <v>86</v>
      </c>
      <c r="EJ3" s="8" t="s">
        <v>85</v>
      </c>
      <c r="EK3" s="8" t="s">
        <v>84</v>
      </c>
      <c r="EL3" s="8" t="s">
        <v>83</v>
      </c>
      <c r="EM3" s="8" t="s">
        <v>82</v>
      </c>
      <c r="EN3" s="8" t="s">
        <v>81</v>
      </c>
      <c r="EO3" s="8" t="s">
        <v>80</v>
      </c>
    </row>
    <row r="4" spans="1:147" s="2" customFormat="1" ht="14">
      <c r="A4" s="25" t="s">
        <v>109</v>
      </c>
      <c r="B4" s="22">
        <v>31155585</v>
      </c>
      <c r="C4" s="22">
        <v>29861171</v>
      </c>
      <c r="D4" s="22">
        <v>30169181</v>
      </c>
      <c r="E4" s="22">
        <v>29519413</v>
      </c>
      <c r="F4" s="22">
        <v>29879193</v>
      </c>
      <c r="G4" s="22">
        <v>29890880</v>
      </c>
      <c r="H4" s="22">
        <v>30072069</v>
      </c>
      <c r="I4" s="22">
        <v>30178262</v>
      </c>
      <c r="J4" s="22">
        <v>30340560</v>
      </c>
      <c r="K4" s="22">
        <v>30297582</v>
      </c>
      <c r="L4" s="22">
        <v>29831223</v>
      </c>
      <c r="M4" s="22">
        <v>30142000</v>
      </c>
      <c r="N4" s="23">
        <v>31615719</v>
      </c>
      <c r="O4" s="23">
        <v>31033546</v>
      </c>
      <c r="P4" s="23">
        <v>31224860</v>
      </c>
      <c r="Q4" s="23">
        <v>31028363</v>
      </c>
      <c r="R4" s="23">
        <v>31696852</v>
      </c>
      <c r="S4" s="23">
        <v>31820378</v>
      </c>
      <c r="T4" s="23">
        <v>31936294</v>
      </c>
      <c r="U4" s="23">
        <v>32045967</v>
      </c>
      <c r="V4" s="23">
        <v>32257314</v>
      </c>
      <c r="W4" s="23">
        <v>32052489</v>
      </c>
      <c r="X4" s="23">
        <v>32160984</v>
      </c>
      <c r="Y4" s="23">
        <v>32743398</v>
      </c>
      <c r="Z4" s="23">
        <v>35179687</v>
      </c>
      <c r="AA4" s="23">
        <v>33935038</v>
      </c>
      <c r="AB4" s="23">
        <v>34309650</v>
      </c>
      <c r="AC4" s="23">
        <v>34688765</v>
      </c>
      <c r="AD4" s="23">
        <v>35103591</v>
      </c>
      <c r="AE4" s="23">
        <v>35642939</v>
      </c>
      <c r="AF4" s="23">
        <v>35856892</v>
      </c>
      <c r="AG4" s="23">
        <v>36031214</v>
      </c>
      <c r="AH4" s="23">
        <v>36145615</v>
      </c>
      <c r="AI4" s="23">
        <v>36148761</v>
      </c>
      <c r="AJ4" s="23">
        <v>36051060</v>
      </c>
      <c r="AK4" s="23">
        <v>36432976</v>
      </c>
      <c r="AL4" s="23">
        <v>38417663</v>
      </c>
      <c r="AM4" s="23">
        <v>38017134</v>
      </c>
      <c r="AN4" s="23">
        <v>38462599</v>
      </c>
      <c r="AO4" s="23">
        <v>38555510</v>
      </c>
      <c r="AP4" s="23">
        <v>38664081</v>
      </c>
      <c r="AQ4" s="23">
        <v>39223161</v>
      </c>
      <c r="AR4" s="23">
        <v>39623111</v>
      </c>
      <c r="AS4" s="23">
        <v>39276279</v>
      </c>
      <c r="AT4" s="23">
        <v>39419683</v>
      </c>
      <c r="AU4" s="23">
        <v>39572371</v>
      </c>
      <c r="AV4" s="23">
        <v>39667716</v>
      </c>
      <c r="AW4" s="23">
        <v>40114460</v>
      </c>
      <c r="AX4" s="23">
        <v>42442216</v>
      </c>
      <c r="AY4" s="23">
        <v>41598139</v>
      </c>
      <c r="AZ4" s="23">
        <v>42046242</v>
      </c>
      <c r="BA4" s="23">
        <v>42376161</v>
      </c>
      <c r="BB4" s="23">
        <v>43122561</v>
      </c>
      <c r="BC4" s="23">
        <v>43257963</v>
      </c>
      <c r="BD4" s="23">
        <v>44126726</v>
      </c>
      <c r="BE4" s="23">
        <v>43911468</v>
      </c>
      <c r="BF4" s="23">
        <v>44370256</v>
      </c>
      <c r="BG4" s="23">
        <v>44253951</v>
      </c>
      <c r="BH4" s="23">
        <v>44219609</v>
      </c>
      <c r="BI4" s="23">
        <v>44892758</v>
      </c>
      <c r="BJ4" s="23">
        <v>47109269</v>
      </c>
      <c r="BK4" s="23">
        <v>45723203</v>
      </c>
      <c r="BL4" s="23">
        <v>46214692</v>
      </c>
      <c r="BM4" s="23">
        <v>46141391</v>
      </c>
      <c r="BN4" s="23">
        <v>46437536</v>
      </c>
      <c r="BO4" s="23">
        <v>46736914</v>
      </c>
      <c r="BP4" s="23">
        <v>47349383</v>
      </c>
      <c r="BQ4" s="23">
        <v>47352502</v>
      </c>
      <c r="BR4" s="23">
        <v>47586686</v>
      </c>
      <c r="BS4" s="23">
        <v>48266972</v>
      </c>
      <c r="BT4" s="23">
        <v>48084021</v>
      </c>
      <c r="BU4" s="23">
        <v>49196939</v>
      </c>
      <c r="BV4" s="23">
        <v>51660306</v>
      </c>
      <c r="BW4" s="23">
        <v>50623218</v>
      </c>
      <c r="BX4" s="23">
        <v>51314469</v>
      </c>
      <c r="BY4" s="23">
        <v>52327080</v>
      </c>
      <c r="BZ4" s="23">
        <v>52951716</v>
      </c>
      <c r="CA4" s="23">
        <v>53067401</v>
      </c>
      <c r="CB4" s="23">
        <v>54392633</v>
      </c>
      <c r="CC4" s="23">
        <v>54686796</v>
      </c>
      <c r="CD4" s="23">
        <v>55293744</v>
      </c>
      <c r="CE4" s="23">
        <v>56024943</v>
      </c>
      <c r="CF4" s="23">
        <v>55871101</v>
      </c>
      <c r="CG4" s="23">
        <v>56122616</v>
      </c>
      <c r="CH4" s="23">
        <v>58652102</v>
      </c>
      <c r="CI4" s="23">
        <v>57597855</v>
      </c>
      <c r="CJ4" s="23">
        <v>58178232</v>
      </c>
      <c r="CK4" s="23">
        <v>58262608</v>
      </c>
      <c r="CL4" s="23">
        <v>59205813</v>
      </c>
      <c r="CM4" s="23">
        <v>59194066</v>
      </c>
      <c r="CN4" s="23">
        <v>59583890</v>
      </c>
      <c r="CO4" s="23">
        <v>59379745</v>
      </c>
      <c r="CP4" s="23">
        <v>59816946</v>
      </c>
      <c r="CQ4" s="23">
        <v>60606151</v>
      </c>
      <c r="CR4" s="23">
        <v>60813709</v>
      </c>
      <c r="CS4" s="23">
        <v>62312520</v>
      </c>
      <c r="CT4" s="23">
        <v>66252865</v>
      </c>
      <c r="CU4" s="23">
        <v>65310289</v>
      </c>
      <c r="CV4" s="23">
        <v>66659714</v>
      </c>
      <c r="CW4" s="23">
        <v>68203535</v>
      </c>
      <c r="CX4" s="23">
        <v>68475281</v>
      </c>
      <c r="CY4" s="23">
        <v>68993415</v>
      </c>
      <c r="CZ4" s="23">
        <v>69623245</v>
      </c>
      <c r="DA4" s="23">
        <v>70825370</v>
      </c>
      <c r="DB4" s="23">
        <v>73333255</v>
      </c>
      <c r="DC4" s="23">
        <v>75096840</v>
      </c>
      <c r="DD4" s="23">
        <v>75636460</v>
      </c>
      <c r="DE4" s="23">
        <v>76872228</v>
      </c>
      <c r="DF4" s="23">
        <v>82388014</v>
      </c>
      <c r="DG4" s="23">
        <v>82221699</v>
      </c>
      <c r="DH4" s="23">
        <v>83955908</v>
      </c>
      <c r="DI4" s="23">
        <v>84813119</v>
      </c>
      <c r="DJ4" s="23">
        <v>84635992</v>
      </c>
      <c r="DK4" s="23">
        <v>86197318</v>
      </c>
      <c r="DL4" s="23">
        <v>87276779</v>
      </c>
      <c r="DM4" s="23">
        <v>88294039</v>
      </c>
      <c r="DN4" s="23">
        <v>90110902</v>
      </c>
      <c r="DO4" s="23">
        <v>90597312</v>
      </c>
      <c r="DP4" s="23">
        <v>91134749</v>
      </c>
      <c r="DQ4" s="23">
        <v>92546889</v>
      </c>
      <c r="DR4" s="23">
        <v>98385362</v>
      </c>
      <c r="DS4" s="23">
        <v>97816666</v>
      </c>
      <c r="DT4" s="23">
        <v>99422025</v>
      </c>
      <c r="DU4" s="23">
        <v>99595753</v>
      </c>
      <c r="DV4" s="23">
        <v>103107378</v>
      </c>
      <c r="DW4" s="23">
        <v>102519088</v>
      </c>
      <c r="DX4" s="23">
        <v>103557225</v>
      </c>
      <c r="DY4" s="23">
        <v>104351339</v>
      </c>
      <c r="DZ4" s="23">
        <v>106242659</v>
      </c>
      <c r="EA4" s="23">
        <v>107634833</v>
      </c>
      <c r="EB4" s="23">
        <v>108947855</v>
      </c>
      <c r="EC4" s="23">
        <v>111025156</v>
      </c>
      <c r="ED4" s="23">
        <v>117256388</v>
      </c>
      <c r="EE4" s="23">
        <v>116577751</v>
      </c>
      <c r="EF4" s="23">
        <v>117697618</v>
      </c>
      <c r="EG4" s="23">
        <v>116499022</v>
      </c>
      <c r="EH4" s="23">
        <v>117537103</v>
      </c>
      <c r="EI4" s="23">
        <v>118211378</v>
      </c>
      <c r="EJ4" s="23">
        <v>119088674</v>
      </c>
      <c r="EK4" s="23">
        <v>120037195</v>
      </c>
      <c r="EL4" s="23">
        <v>121566874</v>
      </c>
      <c r="EM4" s="23">
        <v>121260647</v>
      </c>
      <c r="EN4" s="23">
        <v>123065574</v>
      </c>
      <c r="EO4" s="23">
        <v>124715750</v>
      </c>
      <c r="EP4" s="24"/>
      <c r="EQ4" s="24"/>
    </row>
    <row r="5" spans="1:147" s="2" customFormat="1" ht="14">
      <c r="N5" s="2">
        <f>N4/B4-1</f>
        <v>1.4768909009411857E-2</v>
      </c>
      <c r="O5" s="2">
        <f t="shared" ref="O5:BZ5" si="0">O4/C4-1</f>
        <v>3.9260851491724758E-2</v>
      </c>
      <c r="P5" s="2">
        <f t="shared" si="0"/>
        <v>3.4991967465076268E-2</v>
      </c>
      <c r="Q5" s="2">
        <f t="shared" si="0"/>
        <v>5.1117208868618036E-2</v>
      </c>
      <c r="R5" s="2">
        <f t="shared" si="0"/>
        <v>6.0833604173981648E-2</v>
      </c>
      <c r="S5" s="2">
        <f t="shared" si="0"/>
        <v>6.4551394940530304E-2</v>
      </c>
      <c r="T5" s="2">
        <f t="shared" si="0"/>
        <v>6.1991910167537911E-2</v>
      </c>
      <c r="U5" s="2">
        <f t="shared" si="0"/>
        <v>6.1889084268669903E-2</v>
      </c>
      <c r="V5" s="2">
        <f t="shared" si="0"/>
        <v>6.3174641470032267E-2</v>
      </c>
      <c r="W5" s="2">
        <f t="shared" si="0"/>
        <v>5.7922345090113181E-2</v>
      </c>
      <c r="X5" s="2">
        <f t="shared" si="0"/>
        <v>7.8098071942943825E-2</v>
      </c>
      <c r="Y5" s="2">
        <f t="shared" si="0"/>
        <v>8.6304757481255434E-2</v>
      </c>
      <c r="Z5" s="2">
        <f t="shared" si="0"/>
        <v>0.11272772256104635</v>
      </c>
      <c r="AA5" s="2">
        <f t="shared" si="0"/>
        <v>9.3495342104959578E-2</v>
      </c>
      <c r="AB5" s="2">
        <f t="shared" si="0"/>
        <v>9.8792756796987957E-2</v>
      </c>
      <c r="AC5" s="2">
        <f t="shared" si="0"/>
        <v>0.11796954934425652</v>
      </c>
      <c r="AD5" s="2">
        <f t="shared" si="0"/>
        <v>0.10747878054262294</v>
      </c>
      <c r="AE5" s="2">
        <f t="shared" si="0"/>
        <v>0.12012933975831452</v>
      </c>
      <c r="AF5" s="2">
        <f t="shared" si="0"/>
        <v>0.1227630857857207</v>
      </c>
      <c r="AG5" s="2">
        <f t="shared" si="0"/>
        <v>0.12436032902361793</v>
      </c>
      <c r="AH5" s="2">
        <f t="shared" si="0"/>
        <v>0.12054013548679232</v>
      </c>
      <c r="AI5" s="2">
        <f t="shared" si="0"/>
        <v>0.12779887390336531</v>
      </c>
      <c r="AJ5" s="2">
        <f t="shared" si="0"/>
        <v>0.12095637372289358</v>
      </c>
      <c r="AK5" s="2">
        <f t="shared" si="0"/>
        <v>0.11268158546037288</v>
      </c>
      <c r="AL5" s="2">
        <f t="shared" si="0"/>
        <v>9.2041069040779133E-2</v>
      </c>
      <c r="AM5" s="2">
        <f t="shared" si="0"/>
        <v>0.12029148162439074</v>
      </c>
      <c r="AN5" s="2">
        <f t="shared" si="0"/>
        <v>0.12104317589949187</v>
      </c>
      <c r="AO5" s="2">
        <f t="shared" si="0"/>
        <v>0.11146966460178098</v>
      </c>
      <c r="AP5" s="2">
        <f t="shared" si="0"/>
        <v>0.10142808466518427</v>
      </c>
      <c r="AQ5" s="2">
        <f t="shared" si="0"/>
        <v>0.10044687953482168</v>
      </c>
      <c r="AR5" s="2">
        <f t="shared" si="0"/>
        <v>0.10503473084058701</v>
      </c>
      <c r="AS5" s="2">
        <f t="shared" si="0"/>
        <v>9.0062605162290588E-2</v>
      </c>
      <c r="AT5" s="2">
        <f t="shared" si="0"/>
        <v>9.057995001606689E-2</v>
      </c>
      <c r="AU5" s="2">
        <f t="shared" si="0"/>
        <v>9.4708916856099057E-2</v>
      </c>
      <c r="AV5" s="2">
        <f t="shared" si="0"/>
        <v>0.10032037892921863</v>
      </c>
      <c r="AW5" s="2">
        <f t="shared" si="0"/>
        <v>0.10104812738877</v>
      </c>
      <c r="AX5" s="2">
        <f t="shared" si="0"/>
        <v>0.10475788181077017</v>
      </c>
      <c r="AY5" s="2">
        <f t="shared" si="0"/>
        <v>9.4194501879073744E-2</v>
      </c>
      <c r="AZ5" s="2">
        <f t="shared" si="0"/>
        <v>9.3172148871166982E-2</v>
      </c>
      <c r="BA5" s="2">
        <f t="shared" si="0"/>
        <v>9.909481161058431E-2</v>
      </c>
      <c r="BB5" s="2">
        <f t="shared" si="0"/>
        <v>0.11531322831648327</v>
      </c>
      <c r="BC5" s="2">
        <f t="shared" si="0"/>
        <v>0.10286784382319425</v>
      </c>
      <c r="BD5" s="2">
        <f t="shared" si="0"/>
        <v>0.11366131750735065</v>
      </c>
      <c r="BE5" s="2">
        <f t="shared" si="0"/>
        <v>0.11801497285422591</v>
      </c>
      <c r="BF5" s="2">
        <f t="shared" si="0"/>
        <v>0.12558632193972752</v>
      </c>
      <c r="BG5" s="2">
        <f t="shared" si="0"/>
        <v>0.11830425829172575</v>
      </c>
      <c r="BH5" s="2">
        <f t="shared" si="0"/>
        <v>0.11475056945552398</v>
      </c>
      <c r="BI5" s="2">
        <f t="shared" si="0"/>
        <v>0.11911659785523732</v>
      </c>
      <c r="BJ5" s="2">
        <f t="shared" si="0"/>
        <v>0.10996251939342661</v>
      </c>
      <c r="BK5" s="2">
        <f t="shared" si="0"/>
        <v>9.9164628494558427E-2</v>
      </c>
      <c r="BL5" s="2">
        <f t="shared" si="0"/>
        <v>9.9139656761714878E-2</v>
      </c>
      <c r="BM5" s="2">
        <f t="shared" si="0"/>
        <v>8.8852550848105283E-2</v>
      </c>
      <c r="BN5" s="2">
        <f t="shared" si="0"/>
        <v>7.6873333195586424E-2</v>
      </c>
      <c r="BO5" s="2">
        <f t="shared" si="0"/>
        <v>8.0423366213522307E-2</v>
      </c>
      <c r="BP5" s="2">
        <f t="shared" si="0"/>
        <v>7.3031862821637761E-2</v>
      </c>
      <c r="BQ5" s="2">
        <f t="shared" si="0"/>
        <v>7.8362991644916002E-2</v>
      </c>
      <c r="BR5" s="2">
        <f t="shared" si="0"/>
        <v>7.2490679341584041E-2</v>
      </c>
      <c r="BS5" s="2">
        <f t="shared" si="0"/>
        <v>9.068164331812989E-2</v>
      </c>
      <c r="BT5" s="2">
        <f t="shared" si="0"/>
        <v>8.73913652198961E-2</v>
      </c>
      <c r="BU5" s="2">
        <f t="shared" si="0"/>
        <v>9.5876956367884514E-2</v>
      </c>
      <c r="BV5" s="2">
        <f t="shared" si="0"/>
        <v>9.660597790214065E-2</v>
      </c>
      <c r="BW5" s="2">
        <f t="shared" si="0"/>
        <v>0.10716692354208002</v>
      </c>
      <c r="BX5" s="2">
        <f t="shared" si="0"/>
        <v>0.11034969139251216</v>
      </c>
      <c r="BY5" s="2">
        <f t="shared" si="0"/>
        <v>0.13405943917035357</v>
      </c>
      <c r="BZ5" s="2">
        <f t="shared" si="0"/>
        <v>0.14027833001303081</v>
      </c>
      <c r="CA5" s="2">
        <f t="shared" ref="CA5:EL5" si="1">CA4/BO4-1</f>
        <v>0.13544940087400725</v>
      </c>
      <c r="CB5" s="2">
        <f t="shared" si="1"/>
        <v>0.14875061835547054</v>
      </c>
      <c r="CC5" s="2">
        <f t="shared" si="1"/>
        <v>0.15488714830739037</v>
      </c>
      <c r="CD5" s="2">
        <f t="shared" si="1"/>
        <v>0.16195828387797384</v>
      </c>
      <c r="CE5" s="2">
        <f t="shared" si="1"/>
        <v>0.16073042659481529</v>
      </c>
      <c r="CF5" s="2">
        <f t="shared" si="1"/>
        <v>0.16194735461079679</v>
      </c>
      <c r="CG5" s="2">
        <f t="shared" si="1"/>
        <v>0.14077455103456749</v>
      </c>
      <c r="CH5" s="2">
        <f t="shared" si="1"/>
        <v>0.13534174574962843</v>
      </c>
      <c r="CI5" s="2">
        <f t="shared" si="1"/>
        <v>0.13777545710349748</v>
      </c>
      <c r="CJ5" s="2">
        <f t="shared" si="1"/>
        <v>0.13375882346166335</v>
      </c>
      <c r="CK5" s="2">
        <f t="shared" si="1"/>
        <v>0.11343128643906741</v>
      </c>
      <c r="CL5" s="2">
        <f t="shared" si="1"/>
        <v>0.11810943010798747</v>
      </c>
      <c r="CM5" s="2">
        <f t="shared" si="1"/>
        <v>0.11545063230060948</v>
      </c>
      <c r="CN5" s="2">
        <f t="shared" si="1"/>
        <v>9.5440443193842039E-2</v>
      </c>
      <c r="CO5" s="2">
        <f t="shared" si="1"/>
        <v>8.5815029280559729E-2</v>
      </c>
      <c r="CP5" s="2">
        <f t="shared" si="1"/>
        <v>8.1803142142083951E-2</v>
      </c>
      <c r="CQ5" s="2">
        <f t="shared" si="1"/>
        <v>8.177086409530121E-2</v>
      </c>
      <c r="CR5" s="2">
        <f t="shared" si="1"/>
        <v>8.8464481843663734E-2</v>
      </c>
      <c r="CS5" s="2">
        <f t="shared" si="1"/>
        <v>0.11029250667859114</v>
      </c>
      <c r="CT5" s="2">
        <f t="shared" si="1"/>
        <v>0.12959063257443026</v>
      </c>
      <c r="CU5" s="2">
        <f t="shared" si="1"/>
        <v>0.13390141004382894</v>
      </c>
      <c r="CV5" s="2">
        <f t="shared" si="1"/>
        <v>0.14578445766450931</v>
      </c>
      <c r="CW5" s="2">
        <f t="shared" si="1"/>
        <v>0.17062276031309831</v>
      </c>
      <c r="CX5" s="2">
        <f t="shared" si="1"/>
        <v>0.15656347798146109</v>
      </c>
      <c r="CY5" s="2">
        <f t="shared" si="1"/>
        <v>0.16554613768211168</v>
      </c>
      <c r="CZ5" s="2">
        <f t="shared" si="1"/>
        <v>0.16849109717408517</v>
      </c>
      <c r="DA5" s="2">
        <f t="shared" si="1"/>
        <v>0.1927530170431011</v>
      </c>
      <c r="DB5" s="2">
        <f t="shared" si="1"/>
        <v>0.22596120169692391</v>
      </c>
      <c r="DC5" s="2">
        <f t="shared" si="1"/>
        <v>0.23909601188829832</v>
      </c>
      <c r="DD5" s="2">
        <f t="shared" si="1"/>
        <v>0.24374028888782306</v>
      </c>
      <c r="DE5" s="2">
        <f t="shared" si="1"/>
        <v>0.23365622189569613</v>
      </c>
      <c r="DF5" s="2">
        <f t="shared" si="1"/>
        <v>0.24353888695983184</v>
      </c>
      <c r="DG5" s="2">
        <f t="shared" si="1"/>
        <v>0.25893944520747714</v>
      </c>
      <c r="DH5" s="2">
        <f t="shared" si="1"/>
        <v>0.25946997012318418</v>
      </c>
      <c r="DI5" s="2">
        <f t="shared" si="1"/>
        <v>0.24352966455477709</v>
      </c>
      <c r="DJ5" s="2">
        <f t="shared" si="1"/>
        <v>0.23600795446169842</v>
      </c>
      <c r="DK5" s="2">
        <f t="shared" si="1"/>
        <v>0.24935572474561529</v>
      </c>
      <c r="DL5" s="2">
        <f t="shared" si="1"/>
        <v>0.25355804659779935</v>
      </c>
      <c r="DM5" s="2">
        <f t="shared" si="1"/>
        <v>0.2466442321444986</v>
      </c>
      <c r="DN5" s="2">
        <f t="shared" si="1"/>
        <v>0.22878633983995389</v>
      </c>
      <c r="DO5" s="2">
        <f t="shared" si="1"/>
        <v>0.20640644799434971</v>
      </c>
      <c r="DP5" s="2">
        <f t="shared" si="1"/>
        <v>0.20490500216430019</v>
      </c>
      <c r="DQ5" s="2">
        <f t="shared" si="1"/>
        <v>0.20390538179796214</v>
      </c>
      <c r="DR5" s="2">
        <f t="shared" si="1"/>
        <v>0.1941708171288119</v>
      </c>
      <c r="DS5" s="2">
        <f t="shared" si="1"/>
        <v>0.18966972453342268</v>
      </c>
      <c r="DT5" s="2">
        <f t="shared" si="1"/>
        <v>0.18421713692858876</v>
      </c>
      <c r="DU5" s="2">
        <f t="shared" si="1"/>
        <v>0.1742965495703559</v>
      </c>
      <c r="DV5" s="2">
        <f t="shared" si="1"/>
        <v>0.21824504638641207</v>
      </c>
      <c r="DW5" s="2">
        <f t="shared" si="1"/>
        <v>0.18935357130253161</v>
      </c>
      <c r="DX5" s="2">
        <f t="shared" si="1"/>
        <v>0.18653811685694777</v>
      </c>
      <c r="DY5" s="2">
        <f t="shared" si="1"/>
        <v>0.18186165432980128</v>
      </c>
      <c r="DZ5" s="2">
        <f t="shared" si="1"/>
        <v>0.17902114663107027</v>
      </c>
      <c r="EA5" s="2">
        <f t="shared" si="1"/>
        <v>0.18805768762764186</v>
      </c>
      <c r="EB5" s="2">
        <f t="shared" si="1"/>
        <v>0.19545899007194278</v>
      </c>
      <c r="EC5" s="2">
        <f t="shared" si="1"/>
        <v>0.19966383743055904</v>
      </c>
      <c r="ED5" s="2">
        <f t="shared" si="1"/>
        <v>0.1918072527903083</v>
      </c>
      <c r="EE5" s="2">
        <f t="shared" si="1"/>
        <v>0.19179845078751723</v>
      </c>
      <c r="EF5" s="2">
        <f t="shared" si="1"/>
        <v>0.18381835413229619</v>
      </c>
      <c r="EG5" s="2">
        <f t="shared" si="1"/>
        <v>0.16971877304848526</v>
      </c>
      <c r="EH5" s="2">
        <f t="shared" si="1"/>
        <v>0.13994852046378292</v>
      </c>
      <c r="EI5" s="2">
        <f t="shared" si="1"/>
        <v>0.15306700738500512</v>
      </c>
      <c r="EJ5" s="2">
        <f t="shared" si="1"/>
        <v>0.14997938579369996</v>
      </c>
      <c r="EK5" s="2">
        <f t="shared" si="1"/>
        <v>0.15031772615778327</v>
      </c>
      <c r="EL5" s="2">
        <f t="shared" si="1"/>
        <v>0.14423787153143452</v>
      </c>
      <c r="EM5" s="2">
        <f t="shared" ref="EM5:EO5" si="2">EM4/EA4-1</f>
        <v>0.12659297757260424</v>
      </c>
      <c r="EN5" s="2">
        <f t="shared" si="2"/>
        <v>0.12958234928076373</v>
      </c>
      <c r="EO5" s="2">
        <f t="shared" si="2"/>
        <v>0.12331073869421094</v>
      </c>
    </row>
    <row r="6" spans="1:147">
      <c r="N6" s="2">
        <v>1.4768909009411857E-2</v>
      </c>
      <c r="O6">
        <v>3.9260851491724758E-2</v>
      </c>
      <c r="P6">
        <v>3.4991967465076268E-2</v>
      </c>
      <c r="Q6">
        <v>5.1117208868618036E-2</v>
      </c>
      <c r="R6">
        <v>6.0833604173981648E-2</v>
      </c>
      <c r="S6">
        <v>6.4551394940530304E-2</v>
      </c>
      <c r="T6">
        <v>6.1991910167537911E-2</v>
      </c>
      <c r="U6">
        <v>6.1889084268669903E-2</v>
      </c>
      <c r="V6">
        <v>6.3174641470032267E-2</v>
      </c>
      <c r="W6">
        <v>5.7922345090113181E-2</v>
      </c>
      <c r="X6">
        <v>7.8098071942943825E-2</v>
      </c>
      <c r="Y6">
        <v>8.6304757481255434E-2</v>
      </c>
      <c r="Z6">
        <v>0.11272772256104635</v>
      </c>
      <c r="AA6">
        <v>9.3495342104959578E-2</v>
      </c>
      <c r="AB6">
        <v>9.8792756796987957E-2</v>
      </c>
      <c r="AC6">
        <v>0.11796954934425652</v>
      </c>
      <c r="AD6">
        <v>0.10747878054262294</v>
      </c>
      <c r="AE6">
        <v>0.12012933975831452</v>
      </c>
      <c r="AF6">
        <v>0.1227630857857207</v>
      </c>
      <c r="AG6">
        <v>0.12436032902361793</v>
      </c>
      <c r="AH6">
        <v>0.12054013548679232</v>
      </c>
      <c r="AI6">
        <v>0.12779887390336531</v>
      </c>
      <c r="AJ6">
        <v>0.12095637372289358</v>
      </c>
      <c r="AK6">
        <v>0.11268158546037288</v>
      </c>
      <c r="AL6">
        <v>9.2041069040779133E-2</v>
      </c>
      <c r="AM6">
        <v>0.12029148162439074</v>
      </c>
      <c r="AN6">
        <v>0.12104317589949187</v>
      </c>
      <c r="AO6">
        <v>0.11146966460178098</v>
      </c>
      <c r="AP6">
        <v>0.10142808466518427</v>
      </c>
      <c r="AQ6">
        <v>0.10044687953482168</v>
      </c>
      <c r="AR6">
        <v>0.10503473084058701</v>
      </c>
      <c r="AS6">
        <v>9.0062605162290588E-2</v>
      </c>
      <c r="AT6">
        <v>9.057995001606689E-2</v>
      </c>
      <c r="AU6">
        <v>9.4708916856099057E-2</v>
      </c>
      <c r="AV6">
        <v>0.10032037892921863</v>
      </c>
      <c r="AW6">
        <v>0.10104812738877</v>
      </c>
      <c r="AX6">
        <v>0.10475788181077017</v>
      </c>
      <c r="AY6">
        <v>9.4194501879073744E-2</v>
      </c>
      <c r="AZ6">
        <v>9.3172148871166982E-2</v>
      </c>
      <c r="BA6">
        <v>9.909481161058431E-2</v>
      </c>
      <c r="BB6">
        <v>0.11531322831648327</v>
      </c>
      <c r="BC6">
        <v>0.10286784382319425</v>
      </c>
      <c r="BD6">
        <v>0.11366131750735065</v>
      </c>
      <c r="BE6">
        <v>0.11801497285422591</v>
      </c>
      <c r="BF6">
        <v>0.12558632193972752</v>
      </c>
      <c r="BG6">
        <v>0.11830425829172575</v>
      </c>
      <c r="BH6">
        <v>0.11475056945552398</v>
      </c>
      <c r="BI6">
        <v>0.11911659785523732</v>
      </c>
      <c r="BJ6">
        <v>0.10996251939342661</v>
      </c>
      <c r="BK6">
        <v>9.9164628494558427E-2</v>
      </c>
      <c r="BL6">
        <v>9.9139656761714878E-2</v>
      </c>
      <c r="BM6">
        <v>8.8852550848105283E-2</v>
      </c>
      <c r="BN6">
        <v>7.6873333195586424E-2</v>
      </c>
      <c r="BO6">
        <v>8.0423366213522307E-2</v>
      </c>
      <c r="BP6">
        <v>7.3031862821637761E-2</v>
      </c>
      <c r="BQ6">
        <v>7.8362991644916002E-2</v>
      </c>
      <c r="BR6">
        <v>7.2490679341584041E-2</v>
      </c>
      <c r="BS6">
        <v>9.068164331812989E-2</v>
      </c>
      <c r="BT6">
        <v>8.73913652198961E-2</v>
      </c>
      <c r="BU6">
        <v>9.5876956367884514E-2</v>
      </c>
      <c r="BV6">
        <v>9.660597790214065E-2</v>
      </c>
      <c r="BW6">
        <v>0.10716692354208002</v>
      </c>
      <c r="BX6">
        <v>0.11034969139251216</v>
      </c>
      <c r="BY6">
        <v>0.13405943917035357</v>
      </c>
      <c r="BZ6">
        <v>0.14027833001303081</v>
      </c>
      <c r="CA6">
        <v>0.13544940087400725</v>
      </c>
      <c r="CB6">
        <v>0.14875061835547054</v>
      </c>
      <c r="CC6">
        <v>0.15488714830739037</v>
      </c>
      <c r="CD6">
        <v>0.16195828387797384</v>
      </c>
      <c r="CE6">
        <v>0.16073042659481529</v>
      </c>
      <c r="CF6">
        <v>0.16194735461079679</v>
      </c>
      <c r="CG6">
        <v>0.14077455103456749</v>
      </c>
      <c r="CH6">
        <v>0.13534174574962843</v>
      </c>
      <c r="CI6">
        <v>0.13777545710349748</v>
      </c>
      <c r="CJ6">
        <v>0.13375882346166335</v>
      </c>
      <c r="CK6">
        <v>0.11343128643906741</v>
      </c>
      <c r="CL6">
        <v>0.11810943010798747</v>
      </c>
      <c r="CM6">
        <v>0.11545063230060948</v>
      </c>
      <c r="CN6">
        <v>9.5440443193842039E-2</v>
      </c>
      <c r="CO6">
        <v>8.5815029280559729E-2</v>
      </c>
      <c r="CP6">
        <v>8.1803142142083951E-2</v>
      </c>
      <c r="CQ6">
        <v>8.177086409530121E-2</v>
      </c>
      <c r="CR6">
        <v>8.8464481843663734E-2</v>
      </c>
      <c r="CS6">
        <v>0.11029250667859114</v>
      </c>
      <c r="CT6">
        <v>0.12959063257443026</v>
      </c>
      <c r="CU6">
        <v>0.13390141004382894</v>
      </c>
      <c r="CV6">
        <v>0.14578445766450931</v>
      </c>
      <c r="CW6">
        <v>0.17062276031309831</v>
      </c>
      <c r="CX6">
        <v>0.15656347798146109</v>
      </c>
      <c r="CY6">
        <v>0.16554613768211168</v>
      </c>
      <c r="CZ6">
        <v>0.16849109717408517</v>
      </c>
      <c r="DA6">
        <v>0.1927530170431011</v>
      </c>
      <c r="DB6">
        <v>0.22596120169692391</v>
      </c>
      <c r="DC6">
        <v>0.23909601188829832</v>
      </c>
      <c r="DD6">
        <v>0.24374028888782306</v>
      </c>
      <c r="DE6">
        <v>0.23365622189569613</v>
      </c>
      <c r="DF6">
        <v>0.24353888695983184</v>
      </c>
      <c r="DG6">
        <v>0.25893944520747714</v>
      </c>
      <c r="DH6">
        <v>0.25946997012318418</v>
      </c>
      <c r="DI6">
        <v>0.24352966455477709</v>
      </c>
      <c r="DJ6">
        <v>0.23600795446169842</v>
      </c>
      <c r="DK6">
        <v>0.24935572474561529</v>
      </c>
      <c r="DL6">
        <v>0.25355804659779935</v>
      </c>
      <c r="DM6">
        <v>0.2466442321444986</v>
      </c>
      <c r="DN6">
        <v>0.22878633983995389</v>
      </c>
      <c r="DO6">
        <v>0.20640644799434971</v>
      </c>
      <c r="DP6">
        <v>0.20490500216430019</v>
      </c>
      <c r="DQ6">
        <v>0.20390538179796214</v>
      </c>
      <c r="DR6">
        <v>0.1941708171288119</v>
      </c>
      <c r="DS6">
        <v>0.18966972453342268</v>
      </c>
      <c r="DT6">
        <v>0.18421713692858876</v>
      </c>
      <c r="DU6">
        <v>0.1742965495703559</v>
      </c>
      <c r="DV6">
        <v>0.21824504638641207</v>
      </c>
      <c r="DW6">
        <v>0.18935357130253161</v>
      </c>
      <c r="DX6">
        <v>0.18653811685694777</v>
      </c>
      <c r="DY6">
        <v>0.18186165432980128</v>
      </c>
      <c r="DZ6">
        <v>0.17902114663107027</v>
      </c>
      <c r="EA6">
        <v>0.18805768762764186</v>
      </c>
      <c r="EB6">
        <v>0.19545899007194278</v>
      </c>
      <c r="EC6">
        <v>0.19966383743055904</v>
      </c>
      <c r="ED6">
        <v>0.1918072527903083</v>
      </c>
      <c r="EE6">
        <v>0.19179845078751723</v>
      </c>
      <c r="EF6">
        <v>0.18381835413229619</v>
      </c>
      <c r="EG6">
        <v>0.16971877304848526</v>
      </c>
      <c r="EH6">
        <v>0.13994852046378292</v>
      </c>
      <c r="EI6">
        <v>0.15306700738500512</v>
      </c>
      <c r="EJ6">
        <v>0.14997938579369996</v>
      </c>
      <c r="EK6">
        <v>0.15031772615778327</v>
      </c>
      <c r="EL6">
        <v>0.14423787153143452</v>
      </c>
      <c r="EM6">
        <v>0.12659297757260424</v>
      </c>
      <c r="EN6">
        <v>0.12958234928076373</v>
      </c>
      <c r="EO6">
        <v>0.12331073869421094</v>
      </c>
    </row>
    <row r="7" spans="1:147">
      <c r="N7" s="62"/>
    </row>
  </sheetData>
  <mergeCells count="12">
    <mergeCell ref="BJ2:BU2"/>
    <mergeCell ref="B2:M2"/>
    <mergeCell ref="N2:Y2"/>
    <mergeCell ref="Z2:AK2"/>
    <mergeCell ref="AL2:AW2"/>
    <mergeCell ref="AX2:BI2"/>
    <mergeCell ref="ED2:EO2"/>
    <mergeCell ref="BV2:CG2"/>
    <mergeCell ref="CH2:CS2"/>
    <mergeCell ref="CT2:DE2"/>
    <mergeCell ref="DF2:DQ2"/>
    <mergeCell ref="DR2:EC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5564-6753-5747-9EC1-C864DC4E5884}">
  <dimension ref="A1:EO7"/>
  <sheetViews>
    <sheetView topLeftCell="D1" workbookViewId="0">
      <selection activeCell="N7" sqref="N7:EO7"/>
    </sheetView>
  </sheetViews>
  <sheetFormatPr baseColWidth="10" defaultRowHeight="16"/>
  <cols>
    <col min="1" max="1" width="33.1640625" bestFit="1" customWidth="1"/>
    <col min="2" max="133" width="12" bestFit="1" customWidth="1"/>
    <col min="134" max="145" width="11.83203125" bestFit="1" customWidth="1"/>
  </cols>
  <sheetData>
    <row r="1" spans="1:145" s="2" customFormat="1" ht="14">
      <c r="A1" s="2" t="s">
        <v>110</v>
      </c>
    </row>
    <row r="2" spans="1:145" s="2" customFormat="1" ht="14">
      <c r="A2" s="2" t="s">
        <v>108</v>
      </c>
    </row>
    <row r="3" spans="1:145" s="2" customFormat="1" ht="14">
      <c r="A3" s="2" t="s">
        <v>93</v>
      </c>
      <c r="B3" s="102">
        <v>2014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>
        <v>2015</v>
      </c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>
        <v>2016</v>
      </c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>
        <v>2017</v>
      </c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>
        <v>2018</v>
      </c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>
        <v>2019</v>
      </c>
      <c r="BK3" s="102"/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>
        <v>2020</v>
      </c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  <c r="CH3" s="102">
        <v>2021</v>
      </c>
      <c r="CI3" s="102"/>
      <c r="CJ3" s="102"/>
      <c r="CK3" s="102"/>
      <c r="CL3" s="102"/>
      <c r="CM3" s="102"/>
      <c r="CN3" s="102"/>
      <c r="CO3" s="102"/>
      <c r="CP3" s="102"/>
      <c r="CQ3" s="102"/>
      <c r="CR3" s="102"/>
      <c r="CS3" s="102"/>
      <c r="CT3" s="102">
        <v>2022</v>
      </c>
      <c r="CU3" s="102"/>
      <c r="CV3" s="102"/>
      <c r="CW3" s="102"/>
      <c r="CX3" s="102"/>
      <c r="CY3" s="102"/>
      <c r="CZ3" s="102"/>
      <c r="DA3" s="102"/>
      <c r="DB3" s="102"/>
      <c r="DC3" s="102"/>
      <c r="DD3" s="102"/>
      <c r="DE3" s="102"/>
      <c r="DF3" s="102">
        <v>2023</v>
      </c>
      <c r="DG3" s="102"/>
      <c r="DH3" s="102"/>
      <c r="DI3" s="102"/>
      <c r="DJ3" s="102"/>
      <c r="DK3" s="102"/>
      <c r="DL3" s="102"/>
      <c r="DM3" s="102"/>
      <c r="DN3" s="102"/>
      <c r="DO3" s="102"/>
      <c r="DP3" s="102"/>
      <c r="DQ3" s="102"/>
      <c r="DR3" s="102">
        <v>2024</v>
      </c>
      <c r="DS3" s="102"/>
      <c r="DT3" s="102"/>
      <c r="DU3" s="102"/>
      <c r="DV3" s="102"/>
      <c r="DW3" s="102"/>
      <c r="DX3" s="102"/>
      <c r="DY3" s="102"/>
      <c r="DZ3" s="102"/>
      <c r="EA3" s="102"/>
      <c r="EB3" s="102"/>
      <c r="EC3" s="102"/>
      <c r="ED3" s="117">
        <v>2025</v>
      </c>
      <c r="EE3" s="117"/>
      <c r="EF3" s="117"/>
      <c r="EG3" s="117"/>
      <c r="EH3" s="117"/>
      <c r="EI3" s="117"/>
      <c r="EJ3" s="117"/>
      <c r="EK3" s="117"/>
      <c r="EL3" s="117"/>
      <c r="EM3" s="117"/>
      <c r="EN3" s="117"/>
      <c r="EO3" s="117"/>
    </row>
    <row r="4" spans="1:145" s="2" customFormat="1" ht="15">
      <c r="A4" s="2" t="s">
        <v>92</v>
      </c>
      <c r="B4" s="8" t="s">
        <v>79</v>
      </c>
      <c r="C4" s="8" t="s">
        <v>78</v>
      </c>
      <c r="D4" s="8" t="s">
        <v>89</v>
      </c>
      <c r="E4" s="8" t="s">
        <v>88</v>
      </c>
      <c r="F4" s="8" t="s">
        <v>87</v>
      </c>
      <c r="G4" s="8" t="s">
        <v>86</v>
      </c>
      <c r="H4" s="8" t="s">
        <v>85</v>
      </c>
      <c r="I4" s="8" t="s">
        <v>84</v>
      </c>
      <c r="J4" s="8" t="s">
        <v>83</v>
      </c>
      <c r="K4" s="8" t="s">
        <v>82</v>
      </c>
      <c r="L4" s="8" t="s">
        <v>81</v>
      </c>
      <c r="M4" s="8" t="s">
        <v>80</v>
      </c>
      <c r="N4" s="8" t="s">
        <v>79</v>
      </c>
      <c r="O4" s="8" t="s">
        <v>78</v>
      </c>
      <c r="P4" s="8" t="s">
        <v>89</v>
      </c>
      <c r="Q4" s="8" t="s">
        <v>88</v>
      </c>
      <c r="R4" s="8" t="s">
        <v>87</v>
      </c>
      <c r="S4" s="8" t="s">
        <v>86</v>
      </c>
      <c r="T4" s="8" t="s">
        <v>85</v>
      </c>
      <c r="U4" s="8" t="s">
        <v>84</v>
      </c>
      <c r="V4" s="8" t="s">
        <v>83</v>
      </c>
      <c r="W4" s="8" t="s">
        <v>82</v>
      </c>
      <c r="X4" s="8" t="s">
        <v>81</v>
      </c>
      <c r="Y4" s="8" t="s">
        <v>80</v>
      </c>
      <c r="Z4" s="8" t="s">
        <v>79</v>
      </c>
      <c r="AA4" s="8" t="s">
        <v>78</v>
      </c>
      <c r="AB4" s="8" t="s">
        <v>89</v>
      </c>
      <c r="AC4" s="8" t="s">
        <v>88</v>
      </c>
      <c r="AD4" s="8" t="s">
        <v>87</v>
      </c>
      <c r="AE4" s="8" t="s">
        <v>86</v>
      </c>
      <c r="AF4" s="8" t="s">
        <v>85</v>
      </c>
      <c r="AG4" s="8" t="s">
        <v>84</v>
      </c>
      <c r="AH4" s="8" t="s">
        <v>83</v>
      </c>
      <c r="AI4" s="8" t="s">
        <v>82</v>
      </c>
      <c r="AJ4" s="8" t="s">
        <v>81</v>
      </c>
      <c r="AK4" s="8" t="s">
        <v>80</v>
      </c>
      <c r="AL4" s="8" t="s">
        <v>79</v>
      </c>
      <c r="AM4" s="8" t="s">
        <v>78</v>
      </c>
      <c r="AN4" s="8" t="s">
        <v>89</v>
      </c>
      <c r="AO4" s="8" t="s">
        <v>88</v>
      </c>
      <c r="AP4" s="8" t="s">
        <v>87</v>
      </c>
      <c r="AQ4" s="8" t="s">
        <v>86</v>
      </c>
      <c r="AR4" s="8" t="s">
        <v>85</v>
      </c>
      <c r="AS4" s="8" t="s">
        <v>84</v>
      </c>
      <c r="AT4" s="8" t="s">
        <v>83</v>
      </c>
      <c r="AU4" s="8" t="s">
        <v>82</v>
      </c>
      <c r="AV4" s="8" t="s">
        <v>81</v>
      </c>
      <c r="AW4" s="8" t="s">
        <v>80</v>
      </c>
      <c r="AX4" s="8" t="s">
        <v>79</v>
      </c>
      <c r="AY4" s="8" t="s">
        <v>78</v>
      </c>
      <c r="AZ4" s="8" t="s">
        <v>89</v>
      </c>
      <c r="BA4" s="8" t="s">
        <v>88</v>
      </c>
      <c r="BB4" s="8" t="s">
        <v>87</v>
      </c>
      <c r="BC4" s="8" t="s">
        <v>86</v>
      </c>
      <c r="BD4" s="8" t="s">
        <v>85</v>
      </c>
      <c r="BE4" s="8" t="s">
        <v>84</v>
      </c>
      <c r="BF4" s="8" t="s">
        <v>83</v>
      </c>
      <c r="BG4" s="8" t="s">
        <v>82</v>
      </c>
      <c r="BH4" s="8" t="s">
        <v>81</v>
      </c>
      <c r="BI4" s="8" t="s">
        <v>80</v>
      </c>
      <c r="BJ4" s="8" t="s">
        <v>79</v>
      </c>
      <c r="BK4" s="8" t="s">
        <v>78</v>
      </c>
      <c r="BL4" s="8" t="s">
        <v>89</v>
      </c>
      <c r="BM4" s="8" t="s">
        <v>88</v>
      </c>
      <c r="BN4" s="8" t="s">
        <v>87</v>
      </c>
      <c r="BO4" s="8" t="s">
        <v>86</v>
      </c>
      <c r="BP4" s="8" t="s">
        <v>85</v>
      </c>
      <c r="BQ4" s="8" t="s">
        <v>84</v>
      </c>
      <c r="BR4" s="8" t="s">
        <v>83</v>
      </c>
      <c r="BS4" s="8" t="s">
        <v>82</v>
      </c>
      <c r="BT4" s="8" t="s">
        <v>81</v>
      </c>
      <c r="BU4" s="8" t="s">
        <v>80</v>
      </c>
      <c r="BV4" s="8" t="s">
        <v>79</v>
      </c>
      <c r="BW4" s="8" t="s">
        <v>78</v>
      </c>
      <c r="BX4" s="8" t="s">
        <v>89</v>
      </c>
      <c r="BY4" s="8" t="s">
        <v>88</v>
      </c>
      <c r="BZ4" s="8" t="s">
        <v>87</v>
      </c>
      <c r="CA4" s="8" t="s">
        <v>86</v>
      </c>
      <c r="CB4" s="8" t="s">
        <v>85</v>
      </c>
      <c r="CC4" s="8" t="s">
        <v>84</v>
      </c>
      <c r="CD4" s="8" t="s">
        <v>83</v>
      </c>
      <c r="CE4" s="8" t="s">
        <v>82</v>
      </c>
      <c r="CF4" s="8" t="s">
        <v>81</v>
      </c>
      <c r="CG4" s="8" t="s">
        <v>80</v>
      </c>
      <c r="CH4" s="8" t="s">
        <v>79</v>
      </c>
      <c r="CI4" s="8" t="s">
        <v>78</v>
      </c>
      <c r="CJ4" s="8" t="s">
        <v>89</v>
      </c>
      <c r="CK4" s="8" t="s">
        <v>88</v>
      </c>
      <c r="CL4" s="8" t="s">
        <v>87</v>
      </c>
      <c r="CM4" s="8" t="s">
        <v>86</v>
      </c>
      <c r="CN4" s="8" t="s">
        <v>85</v>
      </c>
      <c r="CO4" s="8" t="s">
        <v>84</v>
      </c>
      <c r="CP4" s="8" t="s">
        <v>83</v>
      </c>
      <c r="CQ4" s="8" t="s">
        <v>82</v>
      </c>
      <c r="CR4" s="8" t="s">
        <v>81</v>
      </c>
      <c r="CS4" s="8" t="s">
        <v>80</v>
      </c>
      <c r="CT4" s="8" t="s">
        <v>79</v>
      </c>
      <c r="CU4" s="8" t="s">
        <v>78</v>
      </c>
      <c r="CV4" s="8" t="s">
        <v>89</v>
      </c>
      <c r="CW4" s="8" t="s">
        <v>88</v>
      </c>
      <c r="CX4" s="8" t="s">
        <v>87</v>
      </c>
      <c r="CY4" s="8" t="s">
        <v>86</v>
      </c>
      <c r="CZ4" s="8" t="s">
        <v>85</v>
      </c>
      <c r="DA4" s="8" t="s">
        <v>84</v>
      </c>
      <c r="DB4" s="8" t="s">
        <v>83</v>
      </c>
      <c r="DC4" s="8" t="s">
        <v>82</v>
      </c>
      <c r="DD4" s="8" t="s">
        <v>81</v>
      </c>
      <c r="DE4" s="8" t="s">
        <v>80</v>
      </c>
      <c r="DF4" s="8" t="s">
        <v>79</v>
      </c>
      <c r="DG4" s="8" t="s">
        <v>78</v>
      </c>
      <c r="DH4" s="8" t="s">
        <v>89</v>
      </c>
      <c r="DI4" s="8" t="s">
        <v>88</v>
      </c>
      <c r="DJ4" s="8" t="s">
        <v>87</v>
      </c>
      <c r="DK4" s="8" t="s">
        <v>86</v>
      </c>
      <c r="DL4" s="8" t="s">
        <v>85</v>
      </c>
      <c r="DM4" s="8" t="s">
        <v>84</v>
      </c>
      <c r="DN4" s="8" t="s">
        <v>83</v>
      </c>
      <c r="DO4" s="8" t="s">
        <v>82</v>
      </c>
      <c r="DP4" s="8" t="s">
        <v>81</v>
      </c>
      <c r="DQ4" s="8" t="s">
        <v>80</v>
      </c>
      <c r="DR4" s="8" t="s">
        <v>79</v>
      </c>
      <c r="DS4" s="8" t="s">
        <v>78</v>
      </c>
      <c r="DT4" s="8" t="s">
        <v>89</v>
      </c>
      <c r="DU4" s="8" t="s">
        <v>88</v>
      </c>
      <c r="DV4" s="8" t="s">
        <v>87</v>
      </c>
      <c r="DW4" s="8" t="s">
        <v>86</v>
      </c>
      <c r="DX4" s="8" t="s">
        <v>85</v>
      </c>
      <c r="DY4" s="8" t="s">
        <v>84</v>
      </c>
      <c r="DZ4" s="8" t="s">
        <v>83</v>
      </c>
      <c r="EA4" s="8" t="s">
        <v>82</v>
      </c>
      <c r="EB4" s="8" t="s">
        <v>81</v>
      </c>
      <c r="EC4" s="8" t="s">
        <v>80</v>
      </c>
      <c r="ED4" s="8" t="s">
        <v>79</v>
      </c>
      <c r="EE4" s="8" t="s">
        <v>78</v>
      </c>
      <c r="EF4" s="8" t="s">
        <v>89</v>
      </c>
      <c r="EG4" s="8" t="s">
        <v>88</v>
      </c>
      <c r="EH4" s="8" t="s">
        <v>87</v>
      </c>
      <c r="EI4" s="8" t="s">
        <v>86</v>
      </c>
      <c r="EJ4" s="8" t="s">
        <v>85</v>
      </c>
      <c r="EK4" s="8" t="s">
        <v>84</v>
      </c>
      <c r="EL4" s="8" t="s">
        <v>83</v>
      </c>
      <c r="EM4" s="8" t="s">
        <v>82</v>
      </c>
      <c r="EN4" s="8" t="s">
        <v>81</v>
      </c>
      <c r="EO4" s="8" t="s">
        <v>80</v>
      </c>
    </row>
    <row r="5" spans="1:145" s="2" customFormat="1" ht="15">
      <c r="A5" s="27" t="s">
        <v>111</v>
      </c>
      <c r="B5" s="22">
        <v>21572054</v>
      </c>
      <c r="C5" s="22">
        <v>22110271</v>
      </c>
      <c r="D5" s="22">
        <v>22295691</v>
      </c>
      <c r="E5" s="22">
        <v>22559815</v>
      </c>
      <c r="F5" s="22">
        <v>22933956</v>
      </c>
      <c r="G5" s="22">
        <v>23130766</v>
      </c>
      <c r="H5" s="22">
        <v>23021647</v>
      </c>
      <c r="I5" s="22">
        <v>23552547</v>
      </c>
      <c r="J5" s="22">
        <v>23861407</v>
      </c>
      <c r="K5" s="22">
        <v>24458901</v>
      </c>
      <c r="L5" s="22">
        <v>25255295</v>
      </c>
      <c r="M5" s="22">
        <v>26294986</v>
      </c>
      <c r="N5" s="23">
        <v>29069575</v>
      </c>
      <c r="O5" s="23">
        <v>30744580</v>
      </c>
      <c r="P5" s="23">
        <v>29788049</v>
      </c>
      <c r="Q5" s="23">
        <v>29404976</v>
      </c>
      <c r="R5" s="23">
        <v>28721637</v>
      </c>
      <c r="S5" s="23">
        <v>28982841</v>
      </c>
      <c r="T5" s="23">
        <v>29309749</v>
      </c>
      <c r="U5" s="23">
        <v>30047391</v>
      </c>
      <c r="V5" s="23">
        <v>30987386</v>
      </c>
      <c r="W5" s="23">
        <v>31541670</v>
      </c>
      <c r="X5" s="23">
        <v>31599922</v>
      </c>
      <c r="Y5" s="23">
        <v>31995091</v>
      </c>
      <c r="Z5" s="23">
        <v>32987695</v>
      </c>
      <c r="AA5" s="23">
        <v>33406439</v>
      </c>
      <c r="AB5" s="23">
        <v>33197716</v>
      </c>
      <c r="AC5" s="23">
        <v>32476630</v>
      </c>
      <c r="AD5" s="23">
        <v>31828032</v>
      </c>
      <c r="AE5" s="23">
        <v>31110261</v>
      </c>
      <c r="AF5" s="23">
        <v>31002502</v>
      </c>
      <c r="AG5" s="23">
        <v>31563474</v>
      </c>
      <c r="AH5" s="23">
        <v>31176471</v>
      </c>
      <c r="AI5" s="23">
        <v>31003969</v>
      </c>
      <c r="AJ5" s="23">
        <v>31036706</v>
      </c>
      <c r="AK5" s="23">
        <v>31392393</v>
      </c>
      <c r="AL5" s="23">
        <v>30772915</v>
      </c>
      <c r="AM5" s="23">
        <v>30863855</v>
      </c>
      <c r="AN5" s="23">
        <v>30453540</v>
      </c>
      <c r="AO5" s="23">
        <v>30322663</v>
      </c>
      <c r="AP5" s="23">
        <v>30701952</v>
      </c>
      <c r="AQ5" s="23">
        <v>30635610</v>
      </c>
      <c r="AR5" s="23">
        <v>30847812</v>
      </c>
      <c r="AS5" s="23">
        <v>31325237</v>
      </c>
      <c r="AT5" s="23">
        <v>31193099</v>
      </c>
      <c r="AU5" s="23">
        <v>31210773</v>
      </c>
      <c r="AV5" s="23">
        <v>31442547</v>
      </c>
      <c r="AW5" s="23">
        <v>31652551</v>
      </c>
      <c r="AX5" s="23">
        <v>31092547</v>
      </c>
      <c r="AY5" s="23">
        <v>30855866</v>
      </c>
      <c r="AZ5" s="23">
        <v>30760905</v>
      </c>
      <c r="BA5" s="23">
        <v>31100276</v>
      </c>
      <c r="BB5" s="23">
        <v>31999432</v>
      </c>
      <c r="BC5" s="23">
        <v>32088125</v>
      </c>
      <c r="BD5" s="23">
        <v>32112578</v>
      </c>
      <c r="BE5" s="23">
        <v>32327027</v>
      </c>
      <c r="BF5" s="23">
        <v>33238592</v>
      </c>
      <c r="BG5" s="23">
        <v>33040701</v>
      </c>
      <c r="BH5" s="23">
        <v>33073041</v>
      </c>
      <c r="BI5" s="23">
        <v>33107677</v>
      </c>
      <c r="BJ5" s="23">
        <v>33245765</v>
      </c>
      <c r="BK5" s="23">
        <v>33550351</v>
      </c>
      <c r="BL5" s="23">
        <v>33685870</v>
      </c>
      <c r="BM5" s="23">
        <v>33679105</v>
      </c>
      <c r="BN5" s="23">
        <v>33983178</v>
      </c>
      <c r="BO5" s="23">
        <v>34027092</v>
      </c>
      <c r="BP5" s="23">
        <v>33841944</v>
      </c>
      <c r="BQ5" s="23">
        <v>33984403</v>
      </c>
      <c r="BR5" s="23">
        <v>34510171</v>
      </c>
      <c r="BS5" s="23">
        <v>34356028</v>
      </c>
      <c r="BT5" s="23">
        <v>34636633</v>
      </c>
      <c r="BU5" s="23">
        <v>34602413</v>
      </c>
      <c r="BV5" s="23">
        <v>34230522</v>
      </c>
      <c r="BW5" s="23">
        <v>34313844</v>
      </c>
      <c r="BX5" s="23">
        <v>34635246</v>
      </c>
      <c r="BY5" s="23">
        <v>36383715</v>
      </c>
      <c r="BZ5" s="23">
        <v>36411173</v>
      </c>
      <c r="CA5" s="23">
        <v>36176825</v>
      </c>
      <c r="CB5" s="23">
        <v>36241489</v>
      </c>
      <c r="CC5" s="23">
        <v>36939364</v>
      </c>
      <c r="CD5" s="23">
        <v>37506539</v>
      </c>
      <c r="CE5" s="23">
        <v>37965779</v>
      </c>
      <c r="CF5" s="23">
        <v>38321055</v>
      </c>
      <c r="CG5" s="23">
        <v>38240599</v>
      </c>
      <c r="CH5" s="23">
        <v>37932628</v>
      </c>
      <c r="CI5" s="23">
        <v>38160251</v>
      </c>
      <c r="CJ5" s="23">
        <v>38131808</v>
      </c>
      <c r="CK5" s="23">
        <v>38390565</v>
      </c>
      <c r="CL5" s="23">
        <v>39132633</v>
      </c>
      <c r="CM5" s="23">
        <v>39544420</v>
      </c>
      <c r="CN5" s="23">
        <v>39718953</v>
      </c>
      <c r="CO5" s="23">
        <v>40316637</v>
      </c>
      <c r="CP5" s="23">
        <v>40896362</v>
      </c>
      <c r="CQ5" s="23">
        <v>41268833</v>
      </c>
      <c r="CR5" s="23">
        <v>41910362</v>
      </c>
      <c r="CS5" s="23">
        <v>42580658</v>
      </c>
      <c r="CT5" s="23">
        <v>42476741</v>
      </c>
      <c r="CU5" s="23">
        <v>42865090</v>
      </c>
      <c r="CV5" s="23">
        <v>44360275</v>
      </c>
      <c r="CW5" s="23">
        <v>44754387</v>
      </c>
      <c r="CX5" s="23">
        <v>44538928</v>
      </c>
      <c r="CY5" s="23">
        <v>44092058</v>
      </c>
      <c r="CZ5" s="23">
        <v>43240330</v>
      </c>
      <c r="DA5" s="23">
        <v>44407059</v>
      </c>
      <c r="DB5" s="23">
        <v>45578087</v>
      </c>
      <c r="DC5" s="23">
        <v>46195327</v>
      </c>
      <c r="DD5" s="23">
        <v>47852409</v>
      </c>
      <c r="DE5" s="23">
        <v>48588664</v>
      </c>
      <c r="DF5" s="23">
        <v>50131614</v>
      </c>
      <c r="DG5" s="23">
        <v>50270227</v>
      </c>
      <c r="DH5" s="23">
        <v>51783193</v>
      </c>
      <c r="DI5" s="23">
        <v>52689199</v>
      </c>
      <c r="DJ5" s="23">
        <v>53805379</v>
      </c>
      <c r="DK5" s="23">
        <v>54427947</v>
      </c>
      <c r="DL5" s="23">
        <v>55392035</v>
      </c>
      <c r="DM5" s="23">
        <v>57279794</v>
      </c>
      <c r="DN5" s="23">
        <v>58583997</v>
      </c>
      <c r="DO5" s="23">
        <v>59684412</v>
      </c>
      <c r="DP5" s="23">
        <v>60768989</v>
      </c>
      <c r="DQ5" s="23">
        <v>61416314</v>
      </c>
      <c r="DR5" s="23">
        <v>61883716</v>
      </c>
      <c r="DS5" s="23">
        <v>62273679</v>
      </c>
      <c r="DT5" s="23">
        <v>62981593</v>
      </c>
      <c r="DU5" s="23">
        <v>64082576</v>
      </c>
      <c r="DV5" s="23">
        <v>65321655</v>
      </c>
      <c r="DW5" s="23">
        <v>66439132</v>
      </c>
      <c r="DX5" s="23">
        <v>66862735</v>
      </c>
      <c r="DY5" s="23">
        <v>68462282</v>
      </c>
      <c r="DZ5" s="23">
        <v>70291402</v>
      </c>
      <c r="EA5" s="23">
        <v>71745291</v>
      </c>
      <c r="EB5" s="23">
        <v>73815985</v>
      </c>
      <c r="EC5" s="23">
        <v>76113909</v>
      </c>
      <c r="ED5" s="23">
        <v>74926895</v>
      </c>
      <c r="EE5" s="23">
        <v>74010761</v>
      </c>
      <c r="EF5" s="23">
        <v>73678704</v>
      </c>
      <c r="EG5" s="23">
        <v>73760668</v>
      </c>
      <c r="EH5" s="23">
        <v>74703685</v>
      </c>
      <c r="EI5" s="23">
        <v>75351138</v>
      </c>
      <c r="EJ5" s="23">
        <v>75538109</v>
      </c>
      <c r="EK5" s="23">
        <v>76636259</v>
      </c>
      <c r="EL5" s="23">
        <v>77891775</v>
      </c>
      <c r="EM5" s="23">
        <v>78535411</v>
      </c>
      <c r="EN5" s="23">
        <v>80469027</v>
      </c>
      <c r="EO5" s="23">
        <v>82099539</v>
      </c>
    </row>
    <row r="6" spans="1:145" s="2" customFormat="1" ht="14">
      <c r="N6" s="2">
        <f>N5/B5-1</f>
        <v>0.34755712182066678</v>
      </c>
      <c r="O6" s="2">
        <f t="shared" ref="O6:BZ6" si="0">O5/C5-1</f>
        <v>0.39051122439883246</v>
      </c>
      <c r="P6" s="2">
        <f t="shared" si="0"/>
        <v>0.33604511293235984</v>
      </c>
      <c r="Q6" s="2">
        <f t="shared" si="0"/>
        <v>0.30342274526630653</v>
      </c>
      <c r="R6" s="2">
        <f t="shared" si="0"/>
        <v>0.25236295909872686</v>
      </c>
      <c r="S6" s="2">
        <f t="shared" si="0"/>
        <v>0.25299961964078488</v>
      </c>
      <c r="T6" s="2">
        <f t="shared" si="0"/>
        <v>0.2731386681413368</v>
      </c>
      <c r="U6" s="2">
        <f t="shared" si="0"/>
        <v>0.2757597299349408</v>
      </c>
      <c r="V6" s="2">
        <f t="shared" si="0"/>
        <v>0.29864035259949251</v>
      </c>
      <c r="W6" s="2">
        <f t="shared" si="0"/>
        <v>0.28957838293715654</v>
      </c>
      <c r="X6" s="2">
        <f t="shared" si="0"/>
        <v>0.25121967492361508</v>
      </c>
      <c r="Y6" s="2">
        <f t="shared" si="0"/>
        <v>0.21677535785719759</v>
      </c>
      <c r="Z6" s="2">
        <f t="shared" si="0"/>
        <v>0.13478422027153814</v>
      </c>
      <c r="AA6" s="2">
        <f t="shared" si="0"/>
        <v>8.6579780891461233E-2</v>
      </c>
      <c r="AB6" s="2">
        <f t="shared" si="0"/>
        <v>0.11446426048245062</v>
      </c>
      <c r="AC6" s="2">
        <f t="shared" si="0"/>
        <v>0.10446034711948071</v>
      </c>
      <c r="AD6" s="2">
        <f t="shared" si="0"/>
        <v>0.10815522109690345</v>
      </c>
      <c r="AE6" s="2">
        <f t="shared" si="0"/>
        <v>7.340274198792307E-2</v>
      </c>
      <c r="AF6" s="2">
        <f t="shared" si="0"/>
        <v>5.7753923447109612E-2</v>
      </c>
      <c r="AG6" s="2">
        <f t="shared" si="0"/>
        <v>5.0456394034343877E-2</v>
      </c>
      <c r="AH6" s="2">
        <f t="shared" si="0"/>
        <v>6.1019990521304912E-3</v>
      </c>
      <c r="AI6" s="2">
        <f t="shared" si="0"/>
        <v>-1.7047321844404606E-2</v>
      </c>
      <c r="AJ6" s="2">
        <f t="shared" si="0"/>
        <v>-1.7823335133548723E-2</v>
      </c>
      <c r="AK6" s="2">
        <f t="shared" si="0"/>
        <v>-1.8837202244556872E-2</v>
      </c>
      <c r="AL6" s="2">
        <f t="shared" si="0"/>
        <v>-6.7139580379896202E-2</v>
      </c>
      <c r="AM6" s="2">
        <f t="shared" si="0"/>
        <v>-7.6110596523023655E-2</v>
      </c>
      <c r="AN6" s="2">
        <f t="shared" si="0"/>
        <v>-8.2661590333503621E-2</v>
      </c>
      <c r="AO6" s="2">
        <f t="shared" si="0"/>
        <v>-6.6323599462136285E-2</v>
      </c>
      <c r="AP6" s="2">
        <f t="shared" si="0"/>
        <v>-3.5380132833849109E-2</v>
      </c>
      <c r="AQ6" s="2">
        <f t="shared" si="0"/>
        <v>-1.5257056184774576E-2</v>
      </c>
      <c r="AR6" s="2">
        <f t="shared" si="0"/>
        <v>-4.9895972912121778E-3</v>
      </c>
      <c r="AS6" s="2">
        <f t="shared" si="0"/>
        <v>-7.5478700475112293E-3</v>
      </c>
      <c r="AT6" s="2">
        <f t="shared" si="0"/>
        <v>5.3335093635187292E-4</v>
      </c>
      <c r="AU6" s="2">
        <f t="shared" si="0"/>
        <v>6.6702427679501408E-3</v>
      </c>
      <c r="AV6" s="2">
        <f t="shared" si="0"/>
        <v>1.3076162141691272E-2</v>
      </c>
      <c r="AW6" s="2">
        <f t="shared" si="0"/>
        <v>8.2872943136256261E-3</v>
      </c>
      <c r="AX6" s="2">
        <f t="shared" si="0"/>
        <v>1.038679631097672E-2</v>
      </c>
      <c r="AY6" s="2">
        <f t="shared" si="0"/>
        <v>-2.5884647267815364E-4</v>
      </c>
      <c r="AZ6" s="2">
        <f t="shared" si="0"/>
        <v>1.0092915306397776E-2</v>
      </c>
      <c r="BA6" s="2">
        <f t="shared" si="0"/>
        <v>2.564461439287169E-2</v>
      </c>
      <c r="BB6" s="2">
        <f t="shared" si="0"/>
        <v>4.226050513009727E-2</v>
      </c>
      <c r="BC6" s="2">
        <f t="shared" si="0"/>
        <v>4.7412635165416939E-2</v>
      </c>
      <c r="BD6" s="2">
        <f t="shared" si="0"/>
        <v>4.1000185037434855E-2</v>
      </c>
      <c r="BE6" s="2">
        <f t="shared" si="0"/>
        <v>3.1980284778052814E-2</v>
      </c>
      <c r="BF6" s="2">
        <f t="shared" si="0"/>
        <v>6.5575177381381744E-2</v>
      </c>
      <c r="BG6" s="2">
        <f t="shared" si="0"/>
        <v>5.863129375232079E-2</v>
      </c>
      <c r="BH6" s="2">
        <f t="shared" si="0"/>
        <v>5.1856295229518068E-2</v>
      </c>
      <c r="BI6" s="2">
        <f t="shared" si="0"/>
        <v>4.5971839678893511E-2</v>
      </c>
      <c r="BJ6" s="2">
        <f t="shared" si="0"/>
        <v>6.9251901428339036E-2</v>
      </c>
      <c r="BK6" s="2">
        <f t="shared" si="0"/>
        <v>8.7324886619613906E-2</v>
      </c>
      <c r="BL6" s="2">
        <f t="shared" si="0"/>
        <v>9.508709187847364E-2</v>
      </c>
      <c r="BM6" s="2">
        <f t="shared" si="0"/>
        <v>8.2919810743801836E-2</v>
      </c>
      <c r="BN6" s="2">
        <f t="shared" si="0"/>
        <v>6.1993162878641206E-2</v>
      </c>
      <c r="BO6" s="2">
        <f t="shared" si="0"/>
        <v>6.0426310356245461E-2</v>
      </c>
      <c r="BP6" s="2">
        <f t="shared" si="0"/>
        <v>5.3853228476393289E-2</v>
      </c>
      <c r="BQ6" s="2">
        <f t="shared" si="0"/>
        <v>5.1269051125548915E-2</v>
      </c>
      <c r="BR6" s="2">
        <f t="shared" si="0"/>
        <v>3.8256103026265365E-2</v>
      </c>
      <c r="BS6" s="2">
        <f t="shared" si="0"/>
        <v>3.9809294603041279E-2</v>
      </c>
      <c r="BT6" s="2">
        <f t="shared" si="0"/>
        <v>4.7276934709451046E-2</v>
      </c>
      <c r="BU6" s="2">
        <f t="shared" si="0"/>
        <v>4.5147716041811004E-2</v>
      </c>
      <c r="BV6" s="2">
        <f t="shared" si="0"/>
        <v>2.9620524599148101E-2</v>
      </c>
      <c r="BW6" s="2">
        <f t="shared" si="0"/>
        <v>2.2756632262953103E-2</v>
      </c>
      <c r="BX6" s="2">
        <f t="shared" si="0"/>
        <v>2.8183211536469077E-2</v>
      </c>
      <c r="BY6" s="2">
        <f t="shared" si="0"/>
        <v>8.0305281271577655E-2</v>
      </c>
      <c r="BZ6" s="2">
        <f t="shared" si="0"/>
        <v>7.1446967084714652E-2</v>
      </c>
      <c r="CA6" s="2">
        <f t="shared" ref="CA6:EL6" si="1">CA5/BO5-1</f>
        <v>6.3177100176529999E-2</v>
      </c>
      <c r="CB6" s="2">
        <f t="shared" si="1"/>
        <v>7.0904466953789713E-2</v>
      </c>
      <c r="CC6" s="2">
        <f t="shared" si="1"/>
        <v>8.6950504912503446E-2</v>
      </c>
      <c r="CD6" s="2">
        <f t="shared" si="1"/>
        <v>8.6825649168762453E-2</v>
      </c>
      <c r="CE6" s="2">
        <f t="shared" si="1"/>
        <v>0.10506892705990345</v>
      </c>
      <c r="CF6" s="2">
        <f t="shared" si="1"/>
        <v>0.10637356119458841</v>
      </c>
      <c r="CG6" s="2">
        <f t="shared" si="1"/>
        <v>0.10514255176365883</v>
      </c>
      <c r="CH6" s="2">
        <f t="shared" si="1"/>
        <v>0.10815219236212648</v>
      </c>
      <c r="CI6" s="2">
        <f t="shared" si="1"/>
        <v>0.11209490257051935</v>
      </c>
      <c r="CJ6" s="2">
        <f t="shared" si="1"/>
        <v>0.100953866474631</v>
      </c>
      <c r="CK6" s="2">
        <f t="shared" si="1"/>
        <v>5.5157918865624378E-2</v>
      </c>
      <c r="CL6" s="2">
        <f t="shared" si="1"/>
        <v>7.4742442381628305E-2</v>
      </c>
      <c r="CM6" s="2">
        <f t="shared" si="1"/>
        <v>9.3087079919257798E-2</v>
      </c>
      <c r="CN6" s="2">
        <f t="shared" si="1"/>
        <v>9.5952569719196745E-2</v>
      </c>
      <c r="CO6" s="2">
        <f t="shared" si="1"/>
        <v>9.1427480992904986E-2</v>
      </c>
      <c r="CP6" s="2">
        <f t="shared" si="1"/>
        <v>9.0379520221793852E-2</v>
      </c>
      <c r="CQ6" s="2">
        <f t="shared" si="1"/>
        <v>8.7000822503865871E-2</v>
      </c>
      <c r="CR6" s="2">
        <f t="shared" si="1"/>
        <v>9.3664096669572317E-2</v>
      </c>
      <c r="CS6" s="2">
        <f t="shared" si="1"/>
        <v>0.113493488948748</v>
      </c>
      <c r="CT6" s="2">
        <f t="shared" si="1"/>
        <v>0.11979431005940322</v>
      </c>
      <c r="CU6" s="2">
        <f t="shared" si="1"/>
        <v>0.12329161566573554</v>
      </c>
      <c r="CV6" s="2">
        <f t="shared" si="1"/>
        <v>0.16334045844351253</v>
      </c>
      <c r="CW6" s="2">
        <f t="shared" si="1"/>
        <v>0.16576526029247041</v>
      </c>
      <c r="CX6" s="2">
        <f t="shared" si="1"/>
        <v>0.13815311124094309</v>
      </c>
      <c r="CY6" s="2">
        <f t="shared" si="1"/>
        <v>0.1150007510541311</v>
      </c>
      <c r="CZ6" s="2">
        <f t="shared" si="1"/>
        <v>8.8657347035305811E-2</v>
      </c>
      <c r="DA6" s="2">
        <f t="shared" si="1"/>
        <v>0.10145742066730423</v>
      </c>
      <c r="DB6" s="2">
        <f t="shared" si="1"/>
        <v>0.11447778655715157</v>
      </c>
      <c r="DC6" s="2">
        <f t="shared" si="1"/>
        <v>0.11937565571577946</v>
      </c>
      <c r="DD6" s="2">
        <f t="shared" si="1"/>
        <v>0.14177990159092402</v>
      </c>
      <c r="DE6" s="2">
        <f t="shared" si="1"/>
        <v>0.14109706806315669</v>
      </c>
      <c r="DF6" s="2">
        <f t="shared" si="1"/>
        <v>0.18021328425361061</v>
      </c>
      <c r="DG6" s="2">
        <f t="shared" si="1"/>
        <v>0.17275449555804046</v>
      </c>
      <c r="DH6" s="2">
        <f t="shared" si="1"/>
        <v>0.16733255147764536</v>
      </c>
      <c r="DI6" s="2">
        <f t="shared" si="1"/>
        <v>0.17729685360230718</v>
      </c>
      <c r="DJ6" s="2">
        <f t="shared" si="1"/>
        <v>0.2080528521027718</v>
      </c>
      <c r="DK6" s="2">
        <f t="shared" si="1"/>
        <v>0.23441611638994031</v>
      </c>
      <c r="DL6" s="2">
        <f t="shared" si="1"/>
        <v>0.28102711057015517</v>
      </c>
      <c r="DM6" s="2">
        <f t="shared" si="1"/>
        <v>0.28988037690133894</v>
      </c>
      <c r="DN6" s="2">
        <f t="shared" si="1"/>
        <v>0.28535445114227809</v>
      </c>
      <c r="DO6" s="2">
        <f t="shared" si="1"/>
        <v>0.2920010718833097</v>
      </c>
      <c r="DP6" s="2">
        <f t="shared" si="1"/>
        <v>0.26992538661951171</v>
      </c>
      <c r="DQ6" s="2">
        <f t="shared" si="1"/>
        <v>0.26400499507457131</v>
      </c>
      <c r="DR6" s="2">
        <f t="shared" si="1"/>
        <v>0.23442496784563938</v>
      </c>
      <c r="DS6" s="2">
        <f t="shared" si="1"/>
        <v>0.2387785517658394</v>
      </c>
      <c r="DT6" s="2">
        <f t="shared" si="1"/>
        <v>0.21625549432612234</v>
      </c>
      <c r="DU6" s="2">
        <f t="shared" si="1"/>
        <v>0.2162374303697423</v>
      </c>
      <c r="DV6" s="2">
        <f t="shared" si="1"/>
        <v>0.21403577512203742</v>
      </c>
      <c r="DW6" s="2">
        <f t="shared" si="1"/>
        <v>0.22068047137622138</v>
      </c>
      <c r="DX6" s="2">
        <f t="shared" si="1"/>
        <v>0.20708211929747655</v>
      </c>
      <c r="DY6" s="2">
        <f t="shared" si="1"/>
        <v>0.19522570210360746</v>
      </c>
      <c r="DZ6" s="2">
        <f t="shared" si="1"/>
        <v>0.1998396422149209</v>
      </c>
      <c r="EA6" s="2">
        <f t="shared" si="1"/>
        <v>0.20207753743138168</v>
      </c>
      <c r="EB6" s="2">
        <f t="shared" si="1"/>
        <v>0.21469825670458342</v>
      </c>
      <c r="EC6" s="2">
        <f t="shared" si="1"/>
        <v>0.23931092640955298</v>
      </c>
      <c r="ED6" s="2">
        <f t="shared" si="1"/>
        <v>0.210769162601677</v>
      </c>
      <c r="EE6" s="2">
        <f t="shared" si="1"/>
        <v>0.18847580853541679</v>
      </c>
      <c r="EF6" s="2">
        <f t="shared" si="1"/>
        <v>0.16984503710472998</v>
      </c>
      <c r="EG6" s="2">
        <f t="shared" si="1"/>
        <v>0.15102532707174565</v>
      </c>
      <c r="EH6" s="2">
        <f t="shared" si="1"/>
        <v>0.14362817353601964</v>
      </c>
      <c r="EI6" s="2">
        <f t="shared" si="1"/>
        <v>0.13413790535373038</v>
      </c>
      <c r="EJ6" s="2">
        <f t="shared" si="1"/>
        <v>0.1297490149034437</v>
      </c>
      <c r="EK6" s="2">
        <f t="shared" si="1"/>
        <v>0.11939387296497062</v>
      </c>
      <c r="EL6" s="2">
        <f t="shared" si="1"/>
        <v>0.10812663830492375</v>
      </c>
      <c r="EM6" s="2">
        <f t="shared" ref="EM6:EO6" si="2">EM5/EA5-1</f>
        <v>9.4642030234430408E-2</v>
      </c>
      <c r="EN6" s="2">
        <f t="shared" si="2"/>
        <v>9.0130098514569656E-2</v>
      </c>
      <c r="EO6" s="2">
        <f t="shared" si="2"/>
        <v>7.8640423000742254E-2</v>
      </c>
    </row>
    <row r="7" spans="1:145" s="2" customFormat="1" ht="14">
      <c r="I7" s="2" t="s">
        <v>91</v>
      </c>
      <c r="N7" s="2">
        <v>0.34755712182066678</v>
      </c>
      <c r="O7" s="2">
        <v>0.39051122439883246</v>
      </c>
      <c r="P7" s="2">
        <v>0.33604511293235984</v>
      </c>
      <c r="Q7" s="2">
        <v>0.30342274526630653</v>
      </c>
      <c r="R7" s="2">
        <v>0.25236295909872686</v>
      </c>
      <c r="S7" s="2">
        <v>0.25299961964078488</v>
      </c>
      <c r="T7" s="2">
        <v>0.2731386681413368</v>
      </c>
      <c r="U7" s="2">
        <v>0.2757597299349408</v>
      </c>
      <c r="V7" s="2">
        <v>0.29864035259949251</v>
      </c>
      <c r="W7" s="2">
        <v>0.28957838293715654</v>
      </c>
      <c r="X7" s="2">
        <v>0.25121967492361508</v>
      </c>
      <c r="Y7" s="2">
        <v>0.21677535785719759</v>
      </c>
      <c r="Z7" s="2">
        <v>0.13478422027153814</v>
      </c>
      <c r="AA7" s="2">
        <v>8.6579780891461233E-2</v>
      </c>
      <c r="AB7" s="2">
        <v>0.11446426048245062</v>
      </c>
      <c r="AC7" s="2">
        <v>0.10446034711948071</v>
      </c>
      <c r="AD7" s="2">
        <v>0.10815522109690345</v>
      </c>
      <c r="AE7" s="2">
        <v>7.340274198792307E-2</v>
      </c>
      <c r="AF7" s="2">
        <v>5.7753923447109612E-2</v>
      </c>
      <c r="AG7" s="2">
        <v>5.0456394034343877E-2</v>
      </c>
      <c r="AH7" s="2">
        <v>6.1019990521304912E-3</v>
      </c>
      <c r="AI7" s="2">
        <v>-1.7047321844404606E-2</v>
      </c>
      <c r="AJ7" s="2">
        <v>-1.7823335133548723E-2</v>
      </c>
      <c r="AK7" s="2">
        <v>-1.8837202244556872E-2</v>
      </c>
      <c r="AL7" s="2">
        <v>-6.7139580379896202E-2</v>
      </c>
      <c r="AM7" s="2">
        <v>-7.6110596523023655E-2</v>
      </c>
      <c r="AN7" s="2">
        <v>-8.2661590333503621E-2</v>
      </c>
      <c r="AO7" s="2">
        <v>-6.6323599462136285E-2</v>
      </c>
      <c r="AP7" s="2">
        <v>-3.5380132833849109E-2</v>
      </c>
      <c r="AQ7" s="2">
        <v>-1.5257056184774576E-2</v>
      </c>
      <c r="AR7" s="2">
        <v>-4.9895972912121778E-3</v>
      </c>
      <c r="AS7" s="2">
        <v>-7.5478700475112293E-3</v>
      </c>
      <c r="AT7" s="2">
        <v>5.3335093635187292E-4</v>
      </c>
      <c r="AU7" s="2">
        <v>6.6702427679501408E-3</v>
      </c>
      <c r="AV7" s="2">
        <v>1.3076162141691272E-2</v>
      </c>
      <c r="AW7" s="2">
        <v>8.2872943136256261E-3</v>
      </c>
      <c r="AX7" s="2">
        <v>1.038679631097672E-2</v>
      </c>
      <c r="AY7" s="2">
        <v>-2.5884647267815364E-4</v>
      </c>
      <c r="AZ7" s="2">
        <v>1.0092915306397776E-2</v>
      </c>
      <c r="BA7" s="2">
        <v>2.564461439287169E-2</v>
      </c>
      <c r="BB7" s="2">
        <v>4.226050513009727E-2</v>
      </c>
      <c r="BC7" s="2">
        <v>4.7412635165416939E-2</v>
      </c>
      <c r="BD7" s="2">
        <v>4.1000185037434855E-2</v>
      </c>
      <c r="BE7" s="2">
        <v>3.1980284778052814E-2</v>
      </c>
      <c r="BF7" s="2">
        <v>6.5575177381381744E-2</v>
      </c>
      <c r="BG7" s="2">
        <v>5.863129375232079E-2</v>
      </c>
      <c r="BH7" s="2">
        <v>5.1856295229518068E-2</v>
      </c>
      <c r="BI7" s="2">
        <v>4.5971839678893511E-2</v>
      </c>
      <c r="BJ7" s="2">
        <v>6.9251901428339036E-2</v>
      </c>
      <c r="BK7" s="2">
        <v>8.7324886619613906E-2</v>
      </c>
      <c r="BL7" s="2">
        <v>9.508709187847364E-2</v>
      </c>
      <c r="BM7" s="2">
        <v>8.2919810743801836E-2</v>
      </c>
      <c r="BN7" s="2">
        <v>6.1993162878641206E-2</v>
      </c>
      <c r="BO7" s="2">
        <v>6.0426310356245461E-2</v>
      </c>
      <c r="BP7" s="2">
        <v>5.3853228476393289E-2</v>
      </c>
      <c r="BQ7" s="2">
        <v>5.1269051125548915E-2</v>
      </c>
      <c r="BR7" s="2">
        <v>3.8256103026265365E-2</v>
      </c>
      <c r="BS7" s="2">
        <v>3.9809294603041279E-2</v>
      </c>
      <c r="BT7" s="2">
        <v>4.7276934709451046E-2</v>
      </c>
      <c r="BU7" s="2">
        <v>4.5147716041811004E-2</v>
      </c>
      <c r="BV7" s="2">
        <v>2.9620524599148101E-2</v>
      </c>
      <c r="BW7" s="2">
        <v>2.2756632262953103E-2</v>
      </c>
      <c r="BX7" s="2">
        <v>2.8183211536469077E-2</v>
      </c>
      <c r="BY7" s="2">
        <v>8.0305281271577655E-2</v>
      </c>
      <c r="BZ7" s="2">
        <v>7.1446967084714652E-2</v>
      </c>
      <c r="CA7" s="2">
        <v>6.3177100176529999E-2</v>
      </c>
      <c r="CB7" s="2">
        <v>7.0904466953789713E-2</v>
      </c>
      <c r="CC7" s="2">
        <v>8.6950504912503446E-2</v>
      </c>
      <c r="CD7" s="2">
        <v>8.6825649168762453E-2</v>
      </c>
      <c r="CE7" s="2">
        <v>0.10506892705990345</v>
      </c>
      <c r="CF7" s="2">
        <v>0.10637356119458841</v>
      </c>
      <c r="CG7" s="2">
        <v>0.10514255176365883</v>
      </c>
      <c r="CH7" s="2">
        <v>0.10815219236212648</v>
      </c>
      <c r="CI7" s="2">
        <v>0.11209490257051935</v>
      </c>
      <c r="CJ7" s="2">
        <v>0.100953866474631</v>
      </c>
      <c r="CK7" s="2">
        <v>5.5157918865624378E-2</v>
      </c>
      <c r="CL7" s="2">
        <v>7.4742442381628305E-2</v>
      </c>
      <c r="CM7" s="2">
        <v>9.3087079919257798E-2</v>
      </c>
      <c r="CN7" s="2">
        <v>9.5952569719196745E-2</v>
      </c>
      <c r="CO7" s="2">
        <v>9.1427480992904986E-2</v>
      </c>
      <c r="CP7" s="2">
        <v>9.0379520221793852E-2</v>
      </c>
      <c r="CQ7" s="2">
        <v>8.7000822503865871E-2</v>
      </c>
      <c r="CR7" s="2">
        <v>9.3664096669572317E-2</v>
      </c>
      <c r="CS7" s="2">
        <v>0.113493488948748</v>
      </c>
      <c r="CT7" s="2">
        <v>0.11979431005940322</v>
      </c>
      <c r="CU7" s="2">
        <v>0.12329161566573554</v>
      </c>
      <c r="CV7" s="2">
        <v>0.16334045844351253</v>
      </c>
      <c r="CW7" s="2">
        <v>0.16576526029247041</v>
      </c>
      <c r="CX7" s="2">
        <v>0.13815311124094309</v>
      </c>
      <c r="CY7" s="2">
        <v>0.1150007510541311</v>
      </c>
      <c r="CZ7" s="2">
        <v>8.8657347035305811E-2</v>
      </c>
      <c r="DA7" s="2">
        <v>0.10145742066730423</v>
      </c>
      <c r="DB7" s="2">
        <v>0.11447778655715157</v>
      </c>
      <c r="DC7" s="2">
        <v>0.11937565571577946</v>
      </c>
      <c r="DD7" s="2">
        <v>0.14177990159092402</v>
      </c>
      <c r="DE7" s="2">
        <v>0.14109706806315669</v>
      </c>
      <c r="DF7" s="2">
        <v>0.18021328425361061</v>
      </c>
      <c r="DG7" s="2">
        <v>0.17275449555804046</v>
      </c>
      <c r="DH7" s="2">
        <v>0.16733255147764536</v>
      </c>
      <c r="DI7" s="2">
        <v>0.17729685360230718</v>
      </c>
      <c r="DJ7" s="2">
        <v>0.2080528521027718</v>
      </c>
      <c r="DK7" s="2">
        <v>0.23441611638994031</v>
      </c>
      <c r="DL7" s="2">
        <v>0.28102711057015517</v>
      </c>
      <c r="DM7" s="2">
        <v>0.28988037690133894</v>
      </c>
      <c r="DN7" s="2">
        <v>0.28535445114227809</v>
      </c>
      <c r="DO7" s="2">
        <v>0.2920010718833097</v>
      </c>
      <c r="DP7" s="2">
        <v>0.26992538661951171</v>
      </c>
      <c r="DQ7" s="2">
        <v>0.26400499507457131</v>
      </c>
      <c r="DR7" s="2">
        <v>0.23442496784563938</v>
      </c>
      <c r="DS7" s="2">
        <v>0.2387785517658394</v>
      </c>
      <c r="DT7" s="2">
        <v>0.21625549432612234</v>
      </c>
      <c r="DU7" s="2">
        <v>0.2162374303697423</v>
      </c>
      <c r="DV7" s="2">
        <v>0.21403577512203742</v>
      </c>
      <c r="DW7" s="2">
        <v>0.22068047137622138</v>
      </c>
      <c r="DX7" s="2">
        <v>0.20708211929747655</v>
      </c>
      <c r="DY7" s="2">
        <v>0.19522570210360746</v>
      </c>
      <c r="DZ7" s="2">
        <v>0.1998396422149209</v>
      </c>
      <c r="EA7" s="2">
        <v>0.20207753743138168</v>
      </c>
      <c r="EB7" s="2">
        <v>0.21469825670458342</v>
      </c>
      <c r="EC7" s="2">
        <v>0.23931092640955298</v>
      </c>
      <c r="ED7" s="2">
        <v>0.210769162601677</v>
      </c>
      <c r="EE7" s="2">
        <v>0.18847580853541679</v>
      </c>
      <c r="EF7" s="2">
        <v>0.16984503710472998</v>
      </c>
      <c r="EG7" s="2">
        <v>0.15102532707174565</v>
      </c>
      <c r="EH7" s="2">
        <v>0.14362817353601964</v>
      </c>
      <c r="EI7" s="2">
        <v>0.13413790535373038</v>
      </c>
      <c r="EJ7" s="2">
        <v>0.1297490149034437</v>
      </c>
      <c r="EK7" s="2">
        <v>0.11939387296497062</v>
      </c>
      <c r="EL7" s="2">
        <v>0.10812663830492375</v>
      </c>
      <c r="EM7" s="2">
        <v>9.4642030234430408E-2</v>
      </c>
      <c r="EN7" s="2">
        <v>9.0130098514569656E-2</v>
      </c>
      <c r="EO7" s="2">
        <v>7.8640423000742254E-2</v>
      </c>
    </row>
  </sheetData>
  <mergeCells count="12">
    <mergeCell ref="ED3:EO3"/>
    <mergeCell ref="BJ3:BU3"/>
    <mergeCell ref="B3:M3"/>
    <mergeCell ref="N3:Y3"/>
    <mergeCell ref="Z3:AK3"/>
    <mergeCell ref="AL3:AW3"/>
    <mergeCell ref="AX3:BI3"/>
    <mergeCell ref="BV3:CG3"/>
    <mergeCell ref="CH3:CS3"/>
    <mergeCell ref="CT3:DE3"/>
    <mergeCell ref="DF3:DQ3"/>
    <mergeCell ref="DR3:EC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5A2F-FB3B-A146-9192-81184E1A050A}">
  <dimension ref="A1:EO7"/>
  <sheetViews>
    <sheetView topLeftCell="D1" zoomScale="133" workbookViewId="0">
      <selection activeCell="N7" sqref="N7:EO7"/>
    </sheetView>
  </sheetViews>
  <sheetFormatPr baseColWidth="10" defaultRowHeight="16"/>
  <cols>
    <col min="1" max="1" width="56.1640625" bestFit="1" customWidth="1"/>
    <col min="2" max="145" width="12" bestFit="1" customWidth="1"/>
  </cols>
  <sheetData>
    <row r="1" spans="1:145">
      <c r="A1" t="s">
        <v>112</v>
      </c>
    </row>
    <row r="2" spans="1:145" s="2" customFormat="1" ht="14">
      <c r="A2" s="2" t="s">
        <v>108</v>
      </c>
    </row>
    <row r="3" spans="1:145" s="2" customFormat="1" ht="14">
      <c r="A3" s="2" t="s">
        <v>93</v>
      </c>
      <c r="B3" s="102">
        <v>2014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>
        <v>2015</v>
      </c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>
        <v>2016</v>
      </c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>
        <v>2017</v>
      </c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>
        <v>2018</v>
      </c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>
        <v>2019</v>
      </c>
      <c r="BK3" s="102"/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>
        <v>2020</v>
      </c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  <c r="CH3" s="102">
        <v>2021</v>
      </c>
      <c r="CI3" s="102"/>
      <c r="CJ3" s="102"/>
      <c r="CK3" s="102"/>
      <c r="CL3" s="102"/>
      <c r="CM3" s="102"/>
      <c r="CN3" s="102"/>
      <c r="CO3" s="102"/>
      <c r="CP3" s="102"/>
      <c r="CQ3" s="102"/>
      <c r="CR3" s="102"/>
      <c r="CS3" s="102"/>
      <c r="CT3" s="102">
        <v>2022</v>
      </c>
      <c r="CU3" s="102"/>
      <c r="CV3" s="102"/>
      <c r="CW3" s="102"/>
      <c r="CX3" s="102"/>
      <c r="CY3" s="102"/>
      <c r="CZ3" s="102"/>
      <c r="DA3" s="102"/>
      <c r="DB3" s="102"/>
      <c r="DC3" s="102"/>
      <c r="DD3" s="102"/>
      <c r="DE3" s="102"/>
      <c r="DF3" s="102">
        <v>2023</v>
      </c>
      <c r="DG3" s="102"/>
      <c r="DH3" s="102"/>
      <c r="DI3" s="102"/>
      <c r="DJ3" s="102"/>
      <c r="DK3" s="102"/>
      <c r="DL3" s="102"/>
      <c r="DM3" s="102"/>
      <c r="DN3" s="102"/>
      <c r="DO3" s="102"/>
      <c r="DP3" s="102"/>
      <c r="DQ3" s="102"/>
      <c r="DR3" s="102">
        <v>2024</v>
      </c>
      <c r="DS3" s="102"/>
      <c r="DT3" s="102"/>
      <c r="DU3" s="102"/>
      <c r="DV3" s="102"/>
      <c r="DW3" s="102"/>
      <c r="DX3" s="102"/>
      <c r="DY3" s="102"/>
      <c r="DZ3" s="102"/>
      <c r="EA3" s="102"/>
      <c r="EB3" s="102"/>
      <c r="EC3" s="102"/>
      <c r="ED3" s="117">
        <v>2025</v>
      </c>
      <c r="EE3" s="117"/>
      <c r="EF3" s="117"/>
      <c r="EG3" s="117"/>
      <c r="EH3" s="117"/>
      <c r="EI3" s="117"/>
      <c r="EJ3" s="117"/>
      <c r="EK3" s="117"/>
      <c r="EL3" s="117"/>
      <c r="EM3" s="117"/>
      <c r="EN3" s="117"/>
      <c r="EO3" s="117"/>
    </row>
    <row r="4" spans="1:145" s="2" customFormat="1" ht="15">
      <c r="A4" s="2" t="s">
        <v>92</v>
      </c>
      <c r="B4" s="8" t="s">
        <v>79</v>
      </c>
      <c r="C4" s="8" t="s">
        <v>78</v>
      </c>
      <c r="D4" s="8" t="s">
        <v>89</v>
      </c>
      <c r="E4" s="8" t="s">
        <v>88</v>
      </c>
      <c r="F4" s="8" t="s">
        <v>87</v>
      </c>
      <c r="G4" s="8" t="s">
        <v>86</v>
      </c>
      <c r="H4" s="8" t="s">
        <v>85</v>
      </c>
      <c r="I4" s="8" t="s">
        <v>84</v>
      </c>
      <c r="J4" s="8" t="s">
        <v>83</v>
      </c>
      <c r="K4" s="8" t="s">
        <v>82</v>
      </c>
      <c r="L4" s="8" t="s">
        <v>81</v>
      </c>
      <c r="M4" s="8" t="s">
        <v>80</v>
      </c>
      <c r="N4" s="8" t="s">
        <v>79</v>
      </c>
      <c r="O4" s="8" t="s">
        <v>78</v>
      </c>
      <c r="P4" s="8" t="s">
        <v>89</v>
      </c>
      <c r="Q4" s="8" t="s">
        <v>88</v>
      </c>
      <c r="R4" s="8" t="s">
        <v>87</v>
      </c>
      <c r="S4" s="8" t="s">
        <v>86</v>
      </c>
      <c r="T4" s="8" t="s">
        <v>85</v>
      </c>
      <c r="U4" s="8" t="s">
        <v>84</v>
      </c>
      <c r="V4" s="8" t="s">
        <v>83</v>
      </c>
      <c r="W4" s="8" t="s">
        <v>82</v>
      </c>
      <c r="X4" s="8" t="s">
        <v>81</v>
      </c>
      <c r="Y4" s="8" t="s">
        <v>80</v>
      </c>
      <c r="Z4" s="8" t="s">
        <v>79</v>
      </c>
      <c r="AA4" s="8" t="s">
        <v>78</v>
      </c>
      <c r="AB4" s="8" t="s">
        <v>89</v>
      </c>
      <c r="AC4" s="8" t="s">
        <v>88</v>
      </c>
      <c r="AD4" s="8" t="s">
        <v>87</v>
      </c>
      <c r="AE4" s="8" t="s">
        <v>86</v>
      </c>
      <c r="AF4" s="8" t="s">
        <v>85</v>
      </c>
      <c r="AG4" s="8" t="s">
        <v>84</v>
      </c>
      <c r="AH4" s="8" t="s">
        <v>83</v>
      </c>
      <c r="AI4" s="8" t="s">
        <v>82</v>
      </c>
      <c r="AJ4" s="8" t="s">
        <v>81</v>
      </c>
      <c r="AK4" s="8" t="s">
        <v>80</v>
      </c>
      <c r="AL4" s="8" t="s">
        <v>79</v>
      </c>
      <c r="AM4" s="8" t="s">
        <v>78</v>
      </c>
      <c r="AN4" s="8" t="s">
        <v>89</v>
      </c>
      <c r="AO4" s="8" t="s">
        <v>88</v>
      </c>
      <c r="AP4" s="8" t="s">
        <v>87</v>
      </c>
      <c r="AQ4" s="8" t="s">
        <v>86</v>
      </c>
      <c r="AR4" s="8" t="s">
        <v>85</v>
      </c>
      <c r="AS4" s="8" t="s">
        <v>84</v>
      </c>
      <c r="AT4" s="8" t="s">
        <v>83</v>
      </c>
      <c r="AU4" s="8" t="s">
        <v>82</v>
      </c>
      <c r="AV4" s="8" t="s">
        <v>81</v>
      </c>
      <c r="AW4" s="8" t="s">
        <v>80</v>
      </c>
      <c r="AX4" s="8" t="s">
        <v>79</v>
      </c>
      <c r="AY4" s="8" t="s">
        <v>78</v>
      </c>
      <c r="AZ4" s="8" t="s">
        <v>89</v>
      </c>
      <c r="BA4" s="8" t="s">
        <v>88</v>
      </c>
      <c r="BB4" s="8" t="s">
        <v>87</v>
      </c>
      <c r="BC4" s="8" t="s">
        <v>86</v>
      </c>
      <c r="BD4" s="8" t="s">
        <v>85</v>
      </c>
      <c r="BE4" s="8" t="s">
        <v>84</v>
      </c>
      <c r="BF4" s="8" t="s">
        <v>83</v>
      </c>
      <c r="BG4" s="8" t="s">
        <v>82</v>
      </c>
      <c r="BH4" s="8" t="s">
        <v>81</v>
      </c>
      <c r="BI4" s="8" t="s">
        <v>80</v>
      </c>
      <c r="BJ4" s="8" t="s">
        <v>79</v>
      </c>
      <c r="BK4" s="8" t="s">
        <v>78</v>
      </c>
      <c r="BL4" s="8" t="s">
        <v>89</v>
      </c>
      <c r="BM4" s="8" t="s">
        <v>88</v>
      </c>
      <c r="BN4" s="8" t="s">
        <v>87</v>
      </c>
      <c r="BO4" s="8" t="s">
        <v>86</v>
      </c>
      <c r="BP4" s="8" t="s">
        <v>85</v>
      </c>
      <c r="BQ4" s="8" t="s">
        <v>84</v>
      </c>
      <c r="BR4" s="8" t="s">
        <v>83</v>
      </c>
      <c r="BS4" s="8" t="s">
        <v>82</v>
      </c>
      <c r="BT4" s="8" t="s">
        <v>81</v>
      </c>
      <c r="BU4" s="8" t="s">
        <v>80</v>
      </c>
      <c r="BV4" s="8" t="s">
        <v>79</v>
      </c>
      <c r="BW4" s="8" t="s">
        <v>78</v>
      </c>
      <c r="BX4" s="8" t="s">
        <v>89</v>
      </c>
      <c r="BY4" s="8" t="s">
        <v>88</v>
      </c>
      <c r="BZ4" s="8" t="s">
        <v>87</v>
      </c>
      <c r="CA4" s="8" t="s">
        <v>86</v>
      </c>
      <c r="CB4" s="8" t="s">
        <v>85</v>
      </c>
      <c r="CC4" s="8" t="s">
        <v>84</v>
      </c>
      <c r="CD4" s="8" t="s">
        <v>83</v>
      </c>
      <c r="CE4" s="8" t="s">
        <v>82</v>
      </c>
      <c r="CF4" s="8" t="s">
        <v>81</v>
      </c>
      <c r="CG4" s="8" t="s">
        <v>80</v>
      </c>
      <c r="CH4" s="8" t="s">
        <v>79</v>
      </c>
      <c r="CI4" s="8" t="s">
        <v>78</v>
      </c>
      <c r="CJ4" s="8" t="s">
        <v>89</v>
      </c>
      <c r="CK4" s="8" t="s">
        <v>88</v>
      </c>
      <c r="CL4" s="8" t="s">
        <v>87</v>
      </c>
      <c r="CM4" s="8" t="s">
        <v>86</v>
      </c>
      <c r="CN4" s="8" t="s">
        <v>85</v>
      </c>
      <c r="CO4" s="8" t="s">
        <v>84</v>
      </c>
      <c r="CP4" s="8" t="s">
        <v>83</v>
      </c>
      <c r="CQ4" s="8" t="s">
        <v>82</v>
      </c>
      <c r="CR4" s="8" t="s">
        <v>81</v>
      </c>
      <c r="CS4" s="8" t="s">
        <v>80</v>
      </c>
      <c r="CT4" s="8" t="s">
        <v>79</v>
      </c>
      <c r="CU4" s="8" t="s">
        <v>78</v>
      </c>
      <c r="CV4" s="8" t="s">
        <v>89</v>
      </c>
      <c r="CW4" s="8" t="s">
        <v>88</v>
      </c>
      <c r="CX4" s="8" t="s">
        <v>87</v>
      </c>
      <c r="CY4" s="8" t="s">
        <v>86</v>
      </c>
      <c r="CZ4" s="8" t="s">
        <v>85</v>
      </c>
      <c r="DA4" s="8" t="s">
        <v>84</v>
      </c>
      <c r="DB4" s="8" t="s">
        <v>83</v>
      </c>
      <c r="DC4" s="8" t="s">
        <v>82</v>
      </c>
      <c r="DD4" s="8" t="s">
        <v>81</v>
      </c>
      <c r="DE4" s="8" t="s">
        <v>80</v>
      </c>
      <c r="DF4" s="8" t="s">
        <v>79</v>
      </c>
      <c r="DG4" s="8" t="s">
        <v>78</v>
      </c>
      <c r="DH4" s="8" t="s">
        <v>89</v>
      </c>
      <c r="DI4" s="8" t="s">
        <v>88</v>
      </c>
      <c r="DJ4" s="8" t="s">
        <v>87</v>
      </c>
      <c r="DK4" s="8" t="s">
        <v>86</v>
      </c>
      <c r="DL4" s="8" t="s">
        <v>85</v>
      </c>
      <c r="DM4" s="8" t="s">
        <v>84</v>
      </c>
      <c r="DN4" s="8" t="s">
        <v>83</v>
      </c>
      <c r="DO4" s="8" t="s">
        <v>82</v>
      </c>
      <c r="DP4" s="8" t="s">
        <v>81</v>
      </c>
      <c r="DQ4" s="8" t="s">
        <v>80</v>
      </c>
      <c r="DR4" s="8" t="s">
        <v>79</v>
      </c>
      <c r="DS4" s="8" t="s">
        <v>78</v>
      </c>
      <c r="DT4" s="8" t="s">
        <v>89</v>
      </c>
      <c r="DU4" s="8" t="s">
        <v>88</v>
      </c>
      <c r="DV4" s="8" t="s">
        <v>87</v>
      </c>
      <c r="DW4" s="8" t="s">
        <v>86</v>
      </c>
      <c r="DX4" s="8" t="s">
        <v>85</v>
      </c>
      <c r="DY4" s="8" t="s">
        <v>84</v>
      </c>
      <c r="DZ4" s="8" t="s">
        <v>83</v>
      </c>
      <c r="EA4" s="8" t="s">
        <v>82</v>
      </c>
      <c r="EB4" s="8" t="s">
        <v>81</v>
      </c>
      <c r="EC4" s="8" t="s">
        <v>80</v>
      </c>
      <c r="ED4" s="8" t="s">
        <v>79</v>
      </c>
      <c r="EE4" s="8" t="s">
        <v>78</v>
      </c>
      <c r="EF4" s="8" t="s">
        <v>89</v>
      </c>
      <c r="EG4" s="8" t="s">
        <v>88</v>
      </c>
      <c r="EH4" s="8" t="s">
        <v>87</v>
      </c>
      <c r="EI4" s="8" t="s">
        <v>86</v>
      </c>
      <c r="EJ4" s="8" t="s">
        <v>85</v>
      </c>
      <c r="EK4" s="8" t="s">
        <v>84</v>
      </c>
      <c r="EL4" s="8" t="s">
        <v>83</v>
      </c>
      <c r="EM4" s="8" t="s">
        <v>82</v>
      </c>
      <c r="EN4" s="8" t="s">
        <v>81</v>
      </c>
      <c r="EO4" s="8" t="s">
        <v>80</v>
      </c>
    </row>
    <row r="5" spans="1:145">
      <c r="A5" s="26" t="s">
        <v>111</v>
      </c>
      <c r="B5" s="22">
        <v>10791086</v>
      </c>
      <c r="C5" s="22">
        <v>10815171</v>
      </c>
      <c r="D5" s="22">
        <v>10931281</v>
      </c>
      <c r="E5" s="22">
        <v>11091763</v>
      </c>
      <c r="F5" s="22">
        <v>11297150</v>
      </c>
      <c r="G5" s="22">
        <v>11419695</v>
      </c>
      <c r="H5" s="22">
        <v>11543848</v>
      </c>
      <c r="I5" s="22">
        <v>11727088</v>
      </c>
      <c r="J5" s="22">
        <v>11871737</v>
      </c>
      <c r="K5" s="22">
        <v>12004983</v>
      </c>
      <c r="L5" s="22">
        <v>12119474</v>
      </c>
      <c r="M5" s="22">
        <v>12240033</v>
      </c>
      <c r="N5" s="22">
        <v>12346021</v>
      </c>
      <c r="O5" s="22">
        <v>12263246</v>
      </c>
      <c r="P5" s="22">
        <v>12071988</v>
      </c>
      <c r="Q5" s="22">
        <v>11912644</v>
      </c>
      <c r="R5" s="22">
        <v>11783356</v>
      </c>
      <c r="S5" s="22">
        <v>11717220</v>
      </c>
      <c r="T5" s="22">
        <v>11660932</v>
      </c>
      <c r="U5" s="22">
        <v>11664170</v>
      </c>
      <c r="V5" s="22">
        <v>11682459</v>
      </c>
      <c r="W5" s="22">
        <v>11710223</v>
      </c>
      <c r="X5" s="22">
        <v>11665476</v>
      </c>
      <c r="Y5" s="22">
        <v>11630839</v>
      </c>
      <c r="Z5" s="22">
        <v>11647101</v>
      </c>
      <c r="AA5" s="22">
        <v>11590907</v>
      </c>
      <c r="AB5" s="22">
        <v>11570003</v>
      </c>
      <c r="AC5" s="22">
        <v>11517781</v>
      </c>
      <c r="AD5" s="22">
        <v>11500386</v>
      </c>
      <c r="AE5" s="22">
        <v>11524406</v>
      </c>
      <c r="AF5" s="22">
        <v>11519169</v>
      </c>
      <c r="AG5" s="22">
        <v>11589587</v>
      </c>
      <c r="AH5" s="22">
        <v>11600286</v>
      </c>
      <c r="AI5" s="22">
        <v>11670434</v>
      </c>
      <c r="AJ5" s="22">
        <v>11690076</v>
      </c>
      <c r="AK5" s="22">
        <v>11738015</v>
      </c>
      <c r="AL5" s="22">
        <v>11755135</v>
      </c>
      <c r="AM5" s="22">
        <v>11716161</v>
      </c>
      <c r="AN5" s="22">
        <v>11726484</v>
      </c>
      <c r="AO5" s="22">
        <v>11836171</v>
      </c>
      <c r="AP5" s="22">
        <v>11960898</v>
      </c>
      <c r="AQ5" s="22">
        <v>12036591</v>
      </c>
      <c r="AR5" s="22">
        <v>12177323</v>
      </c>
      <c r="AS5" s="22">
        <v>12311827</v>
      </c>
      <c r="AT5" s="22">
        <v>12515543</v>
      </c>
      <c r="AU5" s="22">
        <v>12662384</v>
      </c>
      <c r="AV5" s="22">
        <v>12804252</v>
      </c>
      <c r="AW5" s="22">
        <v>13013607</v>
      </c>
      <c r="AX5" s="22">
        <v>13171437</v>
      </c>
      <c r="AY5" s="22">
        <v>13329735</v>
      </c>
      <c r="AZ5" s="22">
        <v>13442118</v>
      </c>
      <c r="BA5" s="22">
        <v>13708868</v>
      </c>
      <c r="BB5" s="22">
        <v>13923565</v>
      </c>
      <c r="BC5" s="22">
        <v>14181568</v>
      </c>
      <c r="BD5" s="22">
        <v>14434874</v>
      </c>
      <c r="BE5" s="22">
        <v>14695933</v>
      </c>
      <c r="BF5" s="22">
        <v>15035171</v>
      </c>
      <c r="BG5" s="22">
        <v>15318834</v>
      </c>
      <c r="BH5" s="22">
        <v>15562507</v>
      </c>
      <c r="BI5" s="22">
        <v>15906465</v>
      </c>
      <c r="BJ5" s="22">
        <v>16069357</v>
      </c>
      <c r="BK5" s="22">
        <v>16543366</v>
      </c>
      <c r="BL5" s="22">
        <v>16700069</v>
      </c>
      <c r="BM5" s="22">
        <v>16949559</v>
      </c>
      <c r="BN5" s="22">
        <v>17258979</v>
      </c>
      <c r="BO5" s="22">
        <v>17523362</v>
      </c>
      <c r="BP5" s="22">
        <v>17769158</v>
      </c>
      <c r="BQ5" s="22">
        <v>17962985</v>
      </c>
      <c r="BR5" s="22">
        <v>18284648</v>
      </c>
      <c r="BS5" s="22">
        <v>18537781</v>
      </c>
      <c r="BT5" s="22">
        <v>18689092</v>
      </c>
      <c r="BU5" s="22">
        <v>18923250</v>
      </c>
      <c r="BV5" s="22">
        <v>19100407</v>
      </c>
      <c r="BW5" s="22">
        <v>19246575</v>
      </c>
      <c r="BX5" s="22">
        <v>19470790</v>
      </c>
      <c r="BY5" s="22">
        <v>19810115</v>
      </c>
      <c r="BZ5" s="22">
        <v>19691000</v>
      </c>
      <c r="CA5" s="22">
        <v>19739546</v>
      </c>
      <c r="CB5" s="22">
        <v>19909839</v>
      </c>
      <c r="CC5" s="22">
        <v>20216659</v>
      </c>
      <c r="CD5" s="22">
        <v>20602844</v>
      </c>
      <c r="CE5" s="22">
        <v>20956501</v>
      </c>
      <c r="CF5" s="22">
        <v>21343797</v>
      </c>
      <c r="CG5" s="22">
        <v>21464763</v>
      </c>
      <c r="CH5" s="22">
        <v>21588518</v>
      </c>
      <c r="CI5" s="22">
        <v>21774914</v>
      </c>
      <c r="CJ5" s="22">
        <v>22052680</v>
      </c>
      <c r="CK5" s="22">
        <v>22488111</v>
      </c>
      <c r="CL5" s="22">
        <v>22929234</v>
      </c>
      <c r="CM5" s="22">
        <v>23413243</v>
      </c>
      <c r="CN5" s="22">
        <v>23969486</v>
      </c>
      <c r="CO5" s="22">
        <v>24398777</v>
      </c>
      <c r="CP5" s="22">
        <v>24866853</v>
      </c>
      <c r="CQ5" s="22">
        <v>25292196</v>
      </c>
      <c r="CR5" s="22">
        <v>25702371</v>
      </c>
      <c r="CS5" s="22">
        <v>25913271</v>
      </c>
      <c r="CT5" s="22">
        <v>26346737</v>
      </c>
      <c r="CU5" s="22">
        <v>26586661</v>
      </c>
      <c r="CV5" s="22">
        <v>27020955</v>
      </c>
      <c r="CW5" s="22">
        <v>27047914</v>
      </c>
      <c r="CX5" s="22">
        <v>26814867</v>
      </c>
      <c r="CY5" s="22">
        <v>26766975</v>
      </c>
      <c r="CZ5" s="22">
        <v>26864180</v>
      </c>
      <c r="DA5" s="22">
        <v>27142117</v>
      </c>
      <c r="DB5" s="22">
        <v>27423768</v>
      </c>
      <c r="DC5" s="22">
        <v>27846254</v>
      </c>
      <c r="DD5" s="22">
        <v>28114878</v>
      </c>
      <c r="DE5" s="22">
        <v>28441987</v>
      </c>
      <c r="DF5" s="22">
        <v>28810931</v>
      </c>
      <c r="DG5" s="22">
        <v>28942906</v>
      </c>
      <c r="DH5" s="22">
        <v>29209579</v>
      </c>
      <c r="DI5" s="22">
        <v>29754223</v>
      </c>
      <c r="DJ5" s="22">
        <v>30281582</v>
      </c>
      <c r="DK5" s="22">
        <v>30892612</v>
      </c>
      <c r="DL5" s="22">
        <v>31523600</v>
      </c>
      <c r="DM5" s="22">
        <v>32094641</v>
      </c>
      <c r="DN5" s="22">
        <v>33105679</v>
      </c>
      <c r="DO5" s="22">
        <v>34072473</v>
      </c>
      <c r="DP5" s="22">
        <v>34813898</v>
      </c>
      <c r="DQ5" s="22">
        <v>35358687</v>
      </c>
      <c r="DR5" s="22">
        <v>35457451</v>
      </c>
      <c r="DS5" s="22">
        <v>35683839</v>
      </c>
      <c r="DT5" s="22">
        <v>35960824</v>
      </c>
      <c r="DU5" s="22">
        <v>36594293</v>
      </c>
      <c r="DV5" s="22">
        <v>37195947</v>
      </c>
      <c r="DW5" s="22">
        <v>37871536</v>
      </c>
      <c r="DX5" s="22">
        <v>38874452</v>
      </c>
      <c r="DY5" s="22">
        <v>39182545</v>
      </c>
      <c r="DZ5" s="22">
        <v>39623258</v>
      </c>
      <c r="EA5" s="22">
        <v>39821998</v>
      </c>
      <c r="EB5" s="22">
        <v>40014711</v>
      </c>
      <c r="EC5" s="22">
        <v>39357158</v>
      </c>
      <c r="ED5" s="22">
        <v>38916305</v>
      </c>
      <c r="EE5" s="22">
        <v>38746431</v>
      </c>
      <c r="EF5" s="22">
        <v>38619807</v>
      </c>
      <c r="EG5" s="22">
        <v>38675782</v>
      </c>
      <c r="EH5" s="22">
        <v>38710876</v>
      </c>
      <c r="EI5" s="22">
        <v>38867506</v>
      </c>
      <c r="EJ5" s="22">
        <v>38879838</v>
      </c>
      <c r="EK5" s="22">
        <v>38830088</v>
      </c>
      <c r="EL5" s="22">
        <v>39156079</v>
      </c>
      <c r="EM5" s="22">
        <v>39364187</v>
      </c>
      <c r="EN5" s="22">
        <v>39688369</v>
      </c>
      <c r="EO5" s="22">
        <v>39866533</v>
      </c>
    </row>
    <row r="6" spans="1:145">
      <c r="N6">
        <f>N5/B5-1</f>
        <v>0.14409439420647741</v>
      </c>
      <c r="O6">
        <f t="shared" ref="O6:BZ6" si="0">O5/C5-1</f>
        <v>0.13389293613573017</v>
      </c>
      <c r="P6">
        <f t="shared" si="0"/>
        <v>0.10435254568975028</v>
      </c>
      <c r="Q6">
        <f t="shared" si="0"/>
        <v>7.4008162633839136E-2</v>
      </c>
      <c r="R6">
        <f t="shared" si="0"/>
        <v>4.3037934346273232E-2</v>
      </c>
      <c r="S6">
        <f t="shared" si="0"/>
        <v>2.6053673062196525E-2</v>
      </c>
      <c r="T6">
        <f t="shared" si="0"/>
        <v>1.0142545189437691E-2</v>
      </c>
      <c r="U6">
        <f t="shared" si="0"/>
        <v>-5.3651852872597106E-3</v>
      </c>
      <c r="V6">
        <f t="shared" si="0"/>
        <v>-1.5943580960393611E-2</v>
      </c>
      <c r="W6">
        <f t="shared" si="0"/>
        <v>-2.4553137642927103E-2</v>
      </c>
      <c r="X6">
        <f t="shared" si="0"/>
        <v>-3.7460206606326318E-2</v>
      </c>
      <c r="Y6">
        <f t="shared" si="0"/>
        <v>-4.9770617448498755E-2</v>
      </c>
      <c r="Z6">
        <f t="shared" si="0"/>
        <v>-5.6610951820023625E-2</v>
      </c>
      <c r="AA6">
        <f t="shared" si="0"/>
        <v>-5.4825533141877769E-2</v>
      </c>
      <c r="AB6">
        <f t="shared" si="0"/>
        <v>-4.1582629141115768E-2</v>
      </c>
      <c r="AC6">
        <f t="shared" si="0"/>
        <v>-3.3146545804608962E-2</v>
      </c>
      <c r="AD6">
        <f t="shared" si="0"/>
        <v>-2.4014380962435466E-2</v>
      </c>
      <c r="AE6">
        <f t="shared" si="0"/>
        <v>-1.6455609777745961E-2</v>
      </c>
      <c r="AF6">
        <f t="shared" si="0"/>
        <v>-1.215709001647558E-2</v>
      </c>
      <c r="AG6">
        <f t="shared" si="0"/>
        <v>-6.3941969295715495E-3</v>
      </c>
      <c r="AH6">
        <f t="shared" si="0"/>
        <v>-7.033878740768551E-3</v>
      </c>
      <c r="AI6">
        <f t="shared" si="0"/>
        <v>-3.3978003663978074E-3</v>
      </c>
      <c r="AJ6">
        <f t="shared" si="0"/>
        <v>2.1087866453113335E-3</v>
      </c>
      <c r="AK6">
        <f t="shared" si="0"/>
        <v>9.2148124481818972E-3</v>
      </c>
      <c r="AL6">
        <f t="shared" si="0"/>
        <v>9.2756128756847911E-3</v>
      </c>
      <c r="AM6">
        <f t="shared" si="0"/>
        <v>1.0806229400339484E-2</v>
      </c>
      <c r="AN6">
        <f t="shared" si="0"/>
        <v>1.352471559428281E-2</v>
      </c>
      <c r="AO6">
        <f t="shared" si="0"/>
        <v>2.7643345536783492E-2</v>
      </c>
      <c r="AP6">
        <f t="shared" si="0"/>
        <v>4.0043177681166497E-2</v>
      </c>
      <c r="AQ6">
        <f t="shared" si="0"/>
        <v>4.4443505374593739E-2</v>
      </c>
      <c r="AR6">
        <f t="shared" si="0"/>
        <v>5.7135545107463992E-2</v>
      </c>
      <c r="AS6">
        <f t="shared" si="0"/>
        <v>6.2318010124088108E-2</v>
      </c>
      <c r="AT6">
        <f t="shared" si="0"/>
        <v>7.889952023596658E-2</v>
      </c>
      <c r="AU6">
        <f t="shared" si="0"/>
        <v>8.4996839020725412E-2</v>
      </c>
      <c r="AV6">
        <f t="shared" si="0"/>
        <v>9.5309560006282323E-2</v>
      </c>
      <c r="AW6">
        <f t="shared" si="0"/>
        <v>0.10867186658050776</v>
      </c>
      <c r="AX6">
        <f t="shared" si="0"/>
        <v>0.12048368649105257</v>
      </c>
      <c r="AY6">
        <f t="shared" si="0"/>
        <v>0.13772207466251096</v>
      </c>
      <c r="AZ6">
        <f t="shared" si="0"/>
        <v>0.14630421190187959</v>
      </c>
      <c r="BA6">
        <f t="shared" si="0"/>
        <v>0.15821814335058182</v>
      </c>
      <c r="BB6">
        <f t="shared" si="0"/>
        <v>0.16409027148296063</v>
      </c>
      <c r="BC6">
        <f t="shared" si="0"/>
        <v>0.17820469267419647</v>
      </c>
      <c r="BD6">
        <f t="shared" si="0"/>
        <v>0.18538976095156556</v>
      </c>
      <c r="BE6">
        <f t="shared" si="0"/>
        <v>0.1936435591565735</v>
      </c>
      <c r="BF6">
        <f t="shared" si="0"/>
        <v>0.20131991077015199</v>
      </c>
      <c r="BG6">
        <f t="shared" si="0"/>
        <v>0.20979066817117542</v>
      </c>
      <c r="BH6">
        <f t="shared" si="0"/>
        <v>0.21541711300277444</v>
      </c>
      <c r="BI6">
        <f t="shared" si="0"/>
        <v>0.22229486413720645</v>
      </c>
      <c r="BJ6">
        <f t="shared" si="0"/>
        <v>0.22001547743044281</v>
      </c>
      <c r="BK6">
        <f t="shared" si="0"/>
        <v>0.24108738845896038</v>
      </c>
      <c r="BL6">
        <f t="shared" si="0"/>
        <v>0.24236887371469296</v>
      </c>
      <c r="BM6">
        <f t="shared" si="0"/>
        <v>0.23639377080587543</v>
      </c>
      <c r="BN6">
        <f t="shared" si="0"/>
        <v>0.23955172400171931</v>
      </c>
      <c r="BO6">
        <f t="shared" si="0"/>
        <v>0.23564347750544923</v>
      </c>
      <c r="BP6">
        <f t="shared" si="0"/>
        <v>0.23098809175611779</v>
      </c>
      <c r="BQ6">
        <f t="shared" si="0"/>
        <v>0.22230994112452751</v>
      </c>
      <c r="BR6">
        <f t="shared" si="0"/>
        <v>0.21612504440421731</v>
      </c>
      <c r="BS6">
        <f t="shared" si="0"/>
        <v>0.21013002686758009</v>
      </c>
      <c r="BT6">
        <f t="shared" si="0"/>
        <v>0.20090496987406969</v>
      </c>
      <c r="BU6">
        <f t="shared" si="0"/>
        <v>0.18965779008723804</v>
      </c>
      <c r="BV6">
        <f t="shared" si="0"/>
        <v>0.18862297974959419</v>
      </c>
      <c r="BW6">
        <f t="shared" si="0"/>
        <v>0.16340139001941933</v>
      </c>
      <c r="BX6">
        <f t="shared" si="0"/>
        <v>0.1659107516262357</v>
      </c>
      <c r="BY6">
        <f t="shared" si="0"/>
        <v>0.1687687567564442</v>
      </c>
      <c r="BZ6">
        <f t="shared" si="0"/>
        <v>0.14091337616205446</v>
      </c>
      <c r="CA6">
        <f t="shared" ref="CA6:EL6" si="1">CA5/BO5-1</f>
        <v>0.12647025154191294</v>
      </c>
      <c r="CB6">
        <f t="shared" si="1"/>
        <v>0.12047171846859595</v>
      </c>
      <c r="CC6">
        <f t="shared" si="1"/>
        <v>0.12546211000009189</v>
      </c>
      <c r="CD6">
        <f t="shared" si="1"/>
        <v>0.12678373682665378</v>
      </c>
      <c r="CE6">
        <f t="shared" si="1"/>
        <v>0.13047516312766883</v>
      </c>
      <c r="CF6">
        <f t="shared" si="1"/>
        <v>0.14204569167940306</v>
      </c>
      <c r="CG6">
        <f t="shared" si="1"/>
        <v>0.13430636914906269</v>
      </c>
      <c r="CH6">
        <f t="shared" si="1"/>
        <v>0.13026481582303462</v>
      </c>
      <c r="CI6">
        <f t="shared" si="1"/>
        <v>0.1313656585652252</v>
      </c>
      <c r="CJ6">
        <f t="shared" si="1"/>
        <v>0.13260324825032788</v>
      </c>
      <c r="CK6">
        <f t="shared" si="1"/>
        <v>0.13518326370139699</v>
      </c>
      <c r="CL6">
        <f t="shared" si="1"/>
        <v>0.16445249098572945</v>
      </c>
      <c r="CM6">
        <f t="shared" si="1"/>
        <v>0.18610848496718213</v>
      </c>
      <c r="CN6">
        <f t="shared" si="1"/>
        <v>0.20390154837515251</v>
      </c>
      <c r="CO6">
        <f t="shared" si="1"/>
        <v>0.20686494242198972</v>
      </c>
      <c r="CP6">
        <f t="shared" si="1"/>
        <v>0.20696215532185747</v>
      </c>
      <c r="CQ6">
        <f t="shared" si="1"/>
        <v>0.20689021511749495</v>
      </c>
      <c r="CR6">
        <f t="shared" si="1"/>
        <v>0.20420799541899681</v>
      </c>
      <c r="CS6">
        <f t="shared" si="1"/>
        <v>0.20724701223116226</v>
      </c>
      <c r="CT6">
        <f t="shared" si="1"/>
        <v>0.220405078292081</v>
      </c>
      <c r="CU6">
        <f t="shared" si="1"/>
        <v>0.22097662475268565</v>
      </c>
      <c r="CV6">
        <f t="shared" si="1"/>
        <v>0.22529121177108635</v>
      </c>
      <c r="CW6">
        <f t="shared" si="1"/>
        <v>0.20276505216467489</v>
      </c>
      <c r="CX6">
        <f t="shared" si="1"/>
        <v>0.16946196283748516</v>
      </c>
      <c r="CY6">
        <f t="shared" si="1"/>
        <v>0.14324081461077398</v>
      </c>
      <c r="CZ6">
        <f t="shared" si="1"/>
        <v>0.1207657936428006</v>
      </c>
      <c r="DA6">
        <f t="shared" si="1"/>
        <v>0.112437602917556</v>
      </c>
      <c r="DB6">
        <f t="shared" si="1"/>
        <v>0.10282422950744907</v>
      </c>
      <c r="DC6">
        <f t="shared" si="1"/>
        <v>0.10098205786480552</v>
      </c>
      <c r="DD6">
        <f t="shared" si="1"/>
        <v>9.3863208184178815E-2</v>
      </c>
      <c r="DE6">
        <f t="shared" si="1"/>
        <v>9.7583821046752561E-2</v>
      </c>
      <c r="DF6">
        <f t="shared" si="1"/>
        <v>9.3529380886900659E-2</v>
      </c>
      <c r="DG6">
        <f t="shared" si="1"/>
        <v>8.8625081577562437E-2</v>
      </c>
      <c r="DH6">
        <f t="shared" si="1"/>
        <v>8.0997285255091755E-2</v>
      </c>
      <c r="DI6">
        <f t="shared" si="1"/>
        <v>0.10005610783885222</v>
      </c>
      <c r="DJ6">
        <f t="shared" si="1"/>
        <v>0.12928331883950794</v>
      </c>
      <c r="DK6">
        <f t="shared" si="1"/>
        <v>0.15413161180895485</v>
      </c>
      <c r="DL6">
        <f t="shared" si="1"/>
        <v>0.17344359664058229</v>
      </c>
      <c r="DM6">
        <f t="shared" si="1"/>
        <v>0.18246638609655985</v>
      </c>
      <c r="DN6">
        <f t="shared" si="1"/>
        <v>0.20718928923261015</v>
      </c>
      <c r="DO6">
        <f t="shared" si="1"/>
        <v>0.22359269580748631</v>
      </c>
      <c r="DP6">
        <f t="shared" si="1"/>
        <v>0.23827313068902511</v>
      </c>
      <c r="DQ6">
        <f t="shared" si="1"/>
        <v>0.24318624433658598</v>
      </c>
      <c r="DR6">
        <f t="shared" si="1"/>
        <v>0.23069438471113624</v>
      </c>
      <c r="DS6">
        <f t="shared" si="1"/>
        <v>0.23290449825598025</v>
      </c>
      <c r="DT6">
        <f t="shared" si="1"/>
        <v>0.23113119843322627</v>
      </c>
      <c r="DU6">
        <f t="shared" si="1"/>
        <v>0.22988568715103064</v>
      </c>
      <c r="DV6">
        <f t="shared" si="1"/>
        <v>0.2283356596098578</v>
      </c>
      <c r="DW6">
        <f t="shared" si="1"/>
        <v>0.22590915912192866</v>
      </c>
      <c r="DX6">
        <f t="shared" si="1"/>
        <v>0.23318567676280622</v>
      </c>
      <c r="DY6">
        <f t="shared" si="1"/>
        <v>0.2208438474198855</v>
      </c>
      <c r="DZ6">
        <f t="shared" si="1"/>
        <v>0.19687193245605994</v>
      </c>
      <c r="EA6">
        <f t="shared" si="1"/>
        <v>0.16874398873248797</v>
      </c>
      <c r="EB6">
        <f t="shared" si="1"/>
        <v>0.14938898827129332</v>
      </c>
      <c r="EC6">
        <f t="shared" si="1"/>
        <v>0.11308313003817139</v>
      </c>
      <c r="ED6">
        <f t="shared" si="1"/>
        <v>9.7549426212279133E-2</v>
      </c>
      <c r="EE6">
        <f t="shared" si="1"/>
        <v>8.5825743132626586E-2</v>
      </c>
      <c r="EF6">
        <f t="shared" si="1"/>
        <v>7.3941103240571016E-2</v>
      </c>
      <c r="EG6">
        <f t="shared" si="1"/>
        <v>5.6880153416271728E-2</v>
      </c>
      <c r="EH6">
        <f t="shared" si="1"/>
        <v>4.0728335267280702E-2</v>
      </c>
      <c r="EI6">
        <f t="shared" si="1"/>
        <v>2.6298642864656996E-2</v>
      </c>
      <c r="EJ6">
        <f t="shared" si="1"/>
        <v>1.385485768390371E-4</v>
      </c>
      <c r="EK6">
        <f t="shared" si="1"/>
        <v>-8.9952554128375217E-3</v>
      </c>
      <c r="EL6">
        <f t="shared" si="1"/>
        <v>-1.1790524645903688E-2</v>
      </c>
      <c r="EM6">
        <f t="shared" ref="EM6:EN6" si="2">EM5/EA5-1</f>
        <v>-1.149643470927797E-2</v>
      </c>
      <c r="EN6">
        <f t="shared" si="2"/>
        <v>-8.1555505923809335E-3</v>
      </c>
      <c r="EO6">
        <f>EO5/EC5-1</f>
        <v>1.2942372515820422E-2</v>
      </c>
    </row>
    <row r="7" spans="1:145">
      <c r="N7">
        <v>0.14409439420647741</v>
      </c>
      <c r="O7">
        <v>0.13389293613573017</v>
      </c>
      <c r="P7">
        <v>0.10435254568975028</v>
      </c>
      <c r="Q7">
        <v>7.4008162633839136E-2</v>
      </c>
      <c r="R7">
        <v>4.3037934346273232E-2</v>
      </c>
      <c r="S7">
        <v>2.6053673062196525E-2</v>
      </c>
      <c r="T7">
        <v>1.0142545189437691E-2</v>
      </c>
      <c r="U7">
        <v>-5.3651852872597106E-3</v>
      </c>
      <c r="V7">
        <v>-1.5943580960393611E-2</v>
      </c>
      <c r="W7">
        <v>-2.4553137642927103E-2</v>
      </c>
      <c r="X7">
        <v>-3.7460206606326318E-2</v>
      </c>
      <c r="Y7">
        <v>-4.9770617448498755E-2</v>
      </c>
      <c r="Z7">
        <v>-5.6610951820023625E-2</v>
      </c>
      <c r="AA7">
        <v>-5.4825533141877769E-2</v>
      </c>
      <c r="AB7">
        <v>-4.1582629141115768E-2</v>
      </c>
      <c r="AC7">
        <v>-3.3146545804608962E-2</v>
      </c>
      <c r="AD7">
        <v>-2.4014380962435466E-2</v>
      </c>
      <c r="AE7">
        <v>-1.6455609777745961E-2</v>
      </c>
      <c r="AF7">
        <v>-1.215709001647558E-2</v>
      </c>
      <c r="AG7">
        <v>-6.3941969295715495E-3</v>
      </c>
      <c r="AH7">
        <v>-7.033878740768551E-3</v>
      </c>
      <c r="AI7">
        <v>-3.3978003663978074E-3</v>
      </c>
      <c r="AJ7">
        <v>2.1087866453113335E-3</v>
      </c>
      <c r="AK7">
        <v>9.2148124481818972E-3</v>
      </c>
      <c r="AL7">
        <v>9.2756128756847911E-3</v>
      </c>
      <c r="AM7">
        <v>1.0806229400339484E-2</v>
      </c>
      <c r="AN7">
        <v>1.352471559428281E-2</v>
      </c>
      <c r="AO7">
        <v>2.7643345536783492E-2</v>
      </c>
      <c r="AP7">
        <v>4.0043177681166497E-2</v>
      </c>
      <c r="AQ7">
        <v>4.4443505374593739E-2</v>
      </c>
      <c r="AR7">
        <v>5.7135545107463992E-2</v>
      </c>
      <c r="AS7">
        <v>6.2318010124088108E-2</v>
      </c>
      <c r="AT7">
        <v>7.889952023596658E-2</v>
      </c>
      <c r="AU7">
        <v>8.4996839020725412E-2</v>
      </c>
      <c r="AV7">
        <v>9.5309560006282323E-2</v>
      </c>
      <c r="AW7">
        <v>0.10867186658050776</v>
      </c>
      <c r="AX7">
        <v>0.12048368649105257</v>
      </c>
      <c r="AY7">
        <v>0.13772207466251096</v>
      </c>
      <c r="AZ7">
        <v>0.14630421190187959</v>
      </c>
      <c r="BA7">
        <v>0.15821814335058182</v>
      </c>
      <c r="BB7">
        <v>0.16409027148296063</v>
      </c>
      <c r="BC7">
        <v>0.17820469267419647</v>
      </c>
      <c r="BD7">
        <v>0.18538976095156556</v>
      </c>
      <c r="BE7">
        <v>0.1936435591565735</v>
      </c>
      <c r="BF7">
        <v>0.20131991077015199</v>
      </c>
      <c r="BG7">
        <v>0.20979066817117542</v>
      </c>
      <c r="BH7">
        <v>0.21541711300277444</v>
      </c>
      <c r="BI7">
        <v>0.22229486413720645</v>
      </c>
      <c r="BJ7">
        <v>0.22001547743044281</v>
      </c>
      <c r="BK7">
        <v>0.24108738845896038</v>
      </c>
      <c r="BL7">
        <v>0.24236887371469296</v>
      </c>
      <c r="BM7">
        <v>0.23639377080587543</v>
      </c>
      <c r="BN7">
        <v>0.23955172400171931</v>
      </c>
      <c r="BO7">
        <v>0.23564347750544923</v>
      </c>
      <c r="BP7">
        <v>0.23098809175611779</v>
      </c>
      <c r="BQ7">
        <v>0.22230994112452751</v>
      </c>
      <c r="BR7">
        <v>0.21612504440421731</v>
      </c>
      <c r="BS7">
        <v>0.21013002686758009</v>
      </c>
      <c r="BT7">
        <v>0.20090496987406969</v>
      </c>
      <c r="BU7">
        <v>0.18965779008723804</v>
      </c>
      <c r="BV7">
        <v>0.18862297974959419</v>
      </c>
      <c r="BW7">
        <v>0.16340139001941933</v>
      </c>
      <c r="BX7">
        <v>0.1659107516262357</v>
      </c>
      <c r="BY7">
        <v>0.1687687567564442</v>
      </c>
      <c r="BZ7">
        <v>0.14091337616205446</v>
      </c>
      <c r="CA7">
        <v>0.12647025154191294</v>
      </c>
      <c r="CB7">
        <v>0.12047171846859595</v>
      </c>
      <c r="CC7">
        <v>0.12546211000009189</v>
      </c>
      <c r="CD7">
        <v>0.12678373682665378</v>
      </c>
      <c r="CE7">
        <v>0.13047516312766883</v>
      </c>
      <c r="CF7">
        <v>0.14204569167940306</v>
      </c>
      <c r="CG7">
        <v>0.13430636914906269</v>
      </c>
      <c r="CH7">
        <v>0.13026481582303462</v>
      </c>
      <c r="CI7">
        <v>0.1313656585652252</v>
      </c>
      <c r="CJ7">
        <v>0.13260324825032788</v>
      </c>
      <c r="CK7">
        <v>0.13518326370139699</v>
      </c>
      <c r="CL7">
        <v>0.16445249098572945</v>
      </c>
      <c r="CM7">
        <v>0.18610848496718213</v>
      </c>
      <c r="CN7">
        <v>0.20390154837515251</v>
      </c>
      <c r="CO7">
        <v>0.20686494242198972</v>
      </c>
      <c r="CP7">
        <v>0.20696215532185747</v>
      </c>
      <c r="CQ7">
        <v>0.20689021511749495</v>
      </c>
      <c r="CR7">
        <v>0.20420799541899681</v>
      </c>
      <c r="CS7">
        <v>0.20724701223116226</v>
      </c>
      <c r="CT7">
        <v>0.220405078292081</v>
      </c>
      <c r="CU7">
        <v>0.22097662475268565</v>
      </c>
      <c r="CV7">
        <v>0.22529121177108635</v>
      </c>
      <c r="CW7">
        <v>0.20276505216467489</v>
      </c>
      <c r="CX7">
        <v>0.16946196283748516</v>
      </c>
      <c r="CY7">
        <v>0.14324081461077398</v>
      </c>
      <c r="CZ7">
        <v>0.1207657936428006</v>
      </c>
      <c r="DA7">
        <v>0.112437602917556</v>
      </c>
      <c r="DB7">
        <v>0.10282422950744907</v>
      </c>
      <c r="DC7">
        <v>0.10098205786480552</v>
      </c>
      <c r="DD7">
        <v>9.3863208184178815E-2</v>
      </c>
      <c r="DE7">
        <v>9.7583821046752561E-2</v>
      </c>
      <c r="DF7">
        <v>9.3529380886900659E-2</v>
      </c>
      <c r="DG7">
        <v>8.8625081577562437E-2</v>
      </c>
      <c r="DH7">
        <v>8.0997285255091755E-2</v>
      </c>
      <c r="DI7">
        <v>0.10005610783885222</v>
      </c>
      <c r="DJ7">
        <v>0.12928331883950794</v>
      </c>
      <c r="DK7">
        <v>0.15413161180895485</v>
      </c>
      <c r="DL7">
        <v>0.17344359664058229</v>
      </c>
      <c r="DM7">
        <v>0.18246638609655985</v>
      </c>
      <c r="DN7">
        <v>0.20718928923261015</v>
      </c>
      <c r="DO7">
        <v>0.22359269580748631</v>
      </c>
      <c r="DP7">
        <v>0.23827313068902511</v>
      </c>
      <c r="DQ7">
        <v>0.24318624433658598</v>
      </c>
      <c r="DR7">
        <v>0.23069438471113624</v>
      </c>
      <c r="DS7">
        <v>0.23290449825598025</v>
      </c>
      <c r="DT7">
        <v>0.23113119843322627</v>
      </c>
      <c r="DU7">
        <v>0.22988568715103064</v>
      </c>
      <c r="DV7">
        <v>0.2283356596098578</v>
      </c>
      <c r="DW7">
        <v>0.22590915912192866</v>
      </c>
      <c r="DX7">
        <v>0.23318567676280622</v>
      </c>
      <c r="DY7">
        <v>0.2208438474198855</v>
      </c>
      <c r="DZ7">
        <v>0.19687193245605994</v>
      </c>
      <c r="EA7">
        <v>0.16874398873248797</v>
      </c>
      <c r="EB7">
        <v>0.14938898827129332</v>
      </c>
      <c r="EC7">
        <v>0.11308313003817139</v>
      </c>
      <c r="ED7">
        <v>9.7549426212279133E-2</v>
      </c>
      <c r="EE7">
        <v>8.5825743132626586E-2</v>
      </c>
      <c r="EF7">
        <v>7.3941103240571016E-2</v>
      </c>
      <c r="EG7">
        <v>5.6880153416271728E-2</v>
      </c>
      <c r="EH7">
        <v>4.0728335267280702E-2</v>
      </c>
      <c r="EI7">
        <v>2.6298642864656996E-2</v>
      </c>
      <c r="EJ7">
        <v>1.385485768390371E-4</v>
      </c>
      <c r="EK7">
        <v>-8.9952554128375217E-3</v>
      </c>
      <c r="EL7">
        <v>-1.1790524645903688E-2</v>
      </c>
      <c r="EM7">
        <v>-1.149643470927797E-2</v>
      </c>
      <c r="EN7">
        <v>-8.1555505923809335E-3</v>
      </c>
      <c r="EO7">
        <v>1.2942372515820422E-2</v>
      </c>
    </row>
  </sheetData>
  <mergeCells count="12">
    <mergeCell ref="ED3:EO3"/>
    <mergeCell ref="BJ3:BU3"/>
    <mergeCell ref="B3:M3"/>
    <mergeCell ref="N3:Y3"/>
    <mergeCell ref="Z3:AK3"/>
    <mergeCell ref="AL3:AW3"/>
    <mergeCell ref="AX3:BI3"/>
    <mergeCell ref="BV3:CG3"/>
    <mergeCell ref="CH3:CS3"/>
    <mergeCell ref="CT3:DE3"/>
    <mergeCell ref="DF3:DQ3"/>
    <mergeCell ref="DR3:EC3"/>
  </mergeCells>
  <phoneticPr fontId="3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04E5-AACB-454B-8CE7-CFB243004ABB}">
  <dimension ref="A1:CZL11"/>
  <sheetViews>
    <sheetView zoomScale="138" workbookViewId="0">
      <selection activeCell="A3" sqref="A3:XFD4"/>
    </sheetView>
  </sheetViews>
  <sheetFormatPr baseColWidth="10" defaultRowHeight="16"/>
  <cols>
    <col min="1" max="1" width="13" bestFit="1" customWidth="1"/>
    <col min="2" max="2716" width="11.6640625" bestFit="1" customWidth="1"/>
  </cols>
  <sheetData>
    <row r="1" spans="1:2716">
      <c r="A1" t="s">
        <v>114</v>
      </c>
    </row>
    <row r="2" spans="1:2716">
      <c r="A2" t="s">
        <v>115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3">
        <v>1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 s="3">
        <v>1</v>
      </c>
      <c r="AX2" s="3">
        <v>1</v>
      </c>
      <c r="AY2" s="3">
        <v>1</v>
      </c>
      <c r="AZ2" s="3">
        <v>1</v>
      </c>
      <c r="BA2" s="3">
        <v>1</v>
      </c>
      <c r="BB2" s="3">
        <v>1</v>
      </c>
      <c r="BC2" s="3">
        <v>1</v>
      </c>
      <c r="BD2" s="3">
        <v>1</v>
      </c>
      <c r="BE2" s="3">
        <v>1</v>
      </c>
      <c r="BF2" s="3">
        <v>1</v>
      </c>
      <c r="BG2" s="3">
        <v>1</v>
      </c>
      <c r="BH2" s="3">
        <v>1</v>
      </c>
      <c r="BI2" s="3">
        <v>1</v>
      </c>
      <c r="BJ2" s="3">
        <v>1</v>
      </c>
      <c r="BK2" s="3">
        <v>1</v>
      </c>
      <c r="BL2" s="3">
        <v>1</v>
      </c>
      <c r="BM2" s="3">
        <v>1</v>
      </c>
      <c r="BN2" s="3">
        <v>1</v>
      </c>
      <c r="BO2" s="3">
        <v>1</v>
      </c>
      <c r="BP2" s="3">
        <v>1</v>
      </c>
      <c r="BQ2" s="3">
        <v>1</v>
      </c>
      <c r="BR2" s="3">
        <v>1</v>
      </c>
      <c r="BS2" s="3">
        <v>1</v>
      </c>
      <c r="BT2" s="3">
        <v>1</v>
      </c>
      <c r="BU2" s="3">
        <v>1</v>
      </c>
      <c r="BV2" s="3">
        <v>1</v>
      </c>
      <c r="BW2" s="3">
        <v>1</v>
      </c>
      <c r="BX2" s="3">
        <v>1</v>
      </c>
      <c r="BY2" s="3">
        <v>1</v>
      </c>
      <c r="BZ2" s="3">
        <v>1</v>
      </c>
      <c r="CA2" s="3">
        <v>1</v>
      </c>
      <c r="CB2" s="3">
        <v>1</v>
      </c>
      <c r="CC2" s="3">
        <v>1</v>
      </c>
      <c r="CD2" s="3">
        <v>1</v>
      </c>
      <c r="CE2" s="3">
        <v>1</v>
      </c>
      <c r="CF2" s="3">
        <v>1</v>
      </c>
      <c r="CG2" s="3">
        <v>1</v>
      </c>
      <c r="CH2" s="3">
        <v>1</v>
      </c>
      <c r="CI2" s="3">
        <v>1</v>
      </c>
      <c r="CJ2" s="3">
        <v>1</v>
      </c>
      <c r="CK2" s="3">
        <v>1</v>
      </c>
      <c r="CL2" s="3">
        <v>1</v>
      </c>
      <c r="CM2" s="3">
        <v>1</v>
      </c>
      <c r="CN2" s="3">
        <v>1</v>
      </c>
      <c r="CO2" s="3">
        <v>1</v>
      </c>
      <c r="CP2" s="3">
        <v>1</v>
      </c>
      <c r="CQ2" s="3">
        <v>1</v>
      </c>
      <c r="CR2" s="3">
        <v>1</v>
      </c>
      <c r="CS2" s="3">
        <v>1</v>
      </c>
      <c r="CT2" s="3">
        <v>1</v>
      </c>
      <c r="CU2" s="3">
        <v>1</v>
      </c>
      <c r="CV2" s="3">
        <v>1</v>
      </c>
      <c r="CW2" s="3">
        <v>1</v>
      </c>
      <c r="CX2" s="3">
        <v>1</v>
      </c>
      <c r="CY2" s="3">
        <v>1</v>
      </c>
      <c r="CZ2" s="3">
        <v>1</v>
      </c>
      <c r="DA2" s="3">
        <v>1</v>
      </c>
      <c r="DB2" s="3">
        <v>1</v>
      </c>
      <c r="DC2" s="3">
        <v>1</v>
      </c>
      <c r="DD2" s="3">
        <v>1</v>
      </c>
      <c r="DE2" s="3">
        <v>1</v>
      </c>
      <c r="DF2" s="3">
        <v>1</v>
      </c>
      <c r="DG2" s="3">
        <v>1</v>
      </c>
      <c r="DH2" s="3">
        <v>1</v>
      </c>
      <c r="DI2" s="3">
        <v>1</v>
      </c>
      <c r="DJ2" s="3">
        <v>1</v>
      </c>
      <c r="DK2" s="3">
        <v>1</v>
      </c>
      <c r="DL2" s="3">
        <v>1</v>
      </c>
      <c r="DM2" s="3">
        <v>1</v>
      </c>
      <c r="DN2" s="3">
        <v>1</v>
      </c>
      <c r="DO2" s="3">
        <v>1</v>
      </c>
      <c r="DP2" s="3">
        <v>1</v>
      </c>
      <c r="DQ2" s="3">
        <v>1</v>
      </c>
      <c r="DR2" s="3">
        <v>1</v>
      </c>
      <c r="DS2" s="3">
        <v>1</v>
      </c>
      <c r="DT2" s="3">
        <v>1</v>
      </c>
      <c r="DU2" s="3">
        <v>1</v>
      </c>
      <c r="DV2" s="3">
        <v>1</v>
      </c>
      <c r="DW2" s="3">
        <v>1</v>
      </c>
      <c r="DX2" s="3">
        <v>1</v>
      </c>
      <c r="DY2" s="3">
        <v>1</v>
      </c>
      <c r="DZ2" s="3">
        <v>1</v>
      </c>
      <c r="EA2" s="3">
        <v>1</v>
      </c>
      <c r="EB2" s="3">
        <v>1</v>
      </c>
      <c r="EC2" s="3">
        <v>1</v>
      </c>
      <c r="ED2" s="3">
        <v>1</v>
      </c>
      <c r="EE2" s="3">
        <v>1</v>
      </c>
      <c r="EF2" s="3">
        <v>1</v>
      </c>
      <c r="EG2" s="3">
        <v>1</v>
      </c>
      <c r="EH2" s="3">
        <v>1</v>
      </c>
      <c r="EI2" s="3">
        <v>1</v>
      </c>
      <c r="EJ2" s="3">
        <v>1</v>
      </c>
      <c r="EK2" s="3">
        <v>1</v>
      </c>
      <c r="EL2" s="3">
        <v>1</v>
      </c>
      <c r="EM2" s="3">
        <v>1</v>
      </c>
      <c r="EN2" s="3">
        <v>1</v>
      </c>
      <c r="EO2" s="3">
        <v>1</v>
      </c>
      <c r="EP2" s="3">
        <v>1</v>
      </c>
      <c r="EQ2" s="3">
        <v>1</v>
      </c>
      <c r="ER2" s="3">
        <v>1</v>
      </c>
      <c r="ES2" s="3">
        <v>1</v>
      </c>
      <c r="ET2" s="3">
        <v>1</v>
      </c>
      <c r="EU2" s="3">
        <v>1</v>
      </c>
      <c r="EV2" s="3">
        <v>1</v>
      </c>
      <c r="EW2" s="3">
        <v>1</v>
      </c>
      <c r="EX2" s="3">
        <v>1</v>
      </c>
      <c r="EY2" s="3">
        <v>1</v>
      </c>
      <c r="EZ2" s="3">
        <v>1</v>
      </c>
      <c r="FA2" s="3">
        <v>1</v>
      </c>
      <c r="FB2" s="3">
        <v>1</v>
      </c>
      <c r="FC2" s="3">
        <v>1</v>
      </c>
      <c r="FD2" s="3">
        <v>1</v>
      </c>
      <c r="FE2" s="3">
        <v>1</v>
      </c>
      <c r="FF2" s="3">
        <v>1</v>
      </c>
      <c r="FG2" s="3">
        <v>1</v>
      </c>
      <c r="FH2" s="3">
        <v>1</v>
      </c>
      <c r="FI2" s="3">
        <v>1</v>
      </c>
      <c r="FJ2" s="3">
        <v>1</v>
      </c>
      <c r="FK2" s="3">
        <v>1</v>
      </c>
      <c r="FL2" s="3">
        <v>1</v>
      </c>
      <c r="FM2" s="3">
        <v>1</v>
      </c>
      <c r="FN2" s="3">
        <v>1</v>
      </c>
      <c r="FO2" s="3">
        <v>1</v>
      </c>
      <c r="FP2" s="3">
        <v>1</v>
      </c>
      <c r="FQ2" s="3">
        <v>1</v>
      </c>
      <c r="FR2" s="3">
        <v>1</v>
      </c>
      <c r="FS2" s="3">
        <v>1</v>
      </c>
      <c r="FT2" s="3">
        <v>1</v>
      </c>
      <c r="FU2" s="3">
        <v>1</v>
      </c>
      <c r="FV2" s="3">
        <v>1</v>
      </c>
      <c r="FW2" s="3">
        <v>1</v>
      </c>
      <c r="FX2" s="3">
        <v>1</v>
      </c>
      <c r="FY2" s="3">
        <v>1</v>
      </c>
      <c r="FZ2" s="3">
        <v>1</v>
      </c>
      <c r="GA2" s="3">
        <v>1</v>
      </c>
      <c r="GB2" s="3">
        <v>1</v>
      </c>
      <c r="GC2" s="3">
        <v>1</v>
      </c>
      <c r="GD2" s="3">
        <v>1</v>
      </c>
      <c r="GE2" s="3">
        <v>1</v>
      </c>
      <c r="GF2" s="3">
        <v>1</v>
      </c>
      <c r="GG2" s="3">
        <v>1</v>
      </c>
      <c r="GH2" s="3">
        <v>1</v>
      </c>
      <c r="GI2" s="3">
        <v>1</v>
      </c>
      <c r="GJ2" s="3">
        <v>1</v>
      </c>
      <c r="GK2" s="3">
        <v>1</v>
      </c>
      <c r="GL2" s="3">
        <v>1</v>
      </c>
      <c r="GM2" s="3">
        <v>1</v>
      </c>
      <c r="GN2" s="3">
        <v>1</v>
      </c>
      <c r="GO2" s="3">
        <v>1</v>
      </c>
      <c r="GP2" s="3">
        <v>1</v>
      </c>
      <c r="GQ2" s="3">
        <v>1</v>
      </c>
      <c r="GR2" s="3">
        <v>1</v>
      </c>
      <c r="GS2" s="3">
        <v>1</v>
      </c>
      <c r="GT2" s="3">
        <v>1</v>
      </c>
      <c r="GU2" s="3">
        <v>1</v>
      </c>
      <c r="GV2" s="3">
        <v>1</v>
      </c>
      <c r="GW2" s="3">
        <v>1</v>
      </c>
      <c r="GX2" s="3">
        <v>1</v>
      </c>
      <c r="GY2" s="3">
        <v>1</v>
      </c>
      <c r="GZ2" s="3">
        <v>1</v>
      </c>
      <c r="HA2" s="3">
        <v>1</v>
      </c>
      <c r="HB2" s="3">
        <v>1</v>
      </c>
      <c r="HC2" s="3">
        <v>1</v>
      </c>
      <c r="HD2" s="3">
        <v>1</v>
      </c>
      <c r="HE2" s="3">
        <v>1</v>
      </c>
      <c r="HF2" s="3">
        <v>1</v>
      </c>
      <c r="HG2" s="3">
        <v>1</v>
      </c>
      <c r="HH2" s="3">
        <v>1</v>
      </c>
      <c r="HI2" s="3">
        <v>1</v>
      </c>
      <c r="HJ2" s="3">
        <v>1</v>
      </c>
      <c r="HK2" s="3">
        <v>1</v>
      </c>
      <c r="HL2" s="3">
        <v>1</v>
      </c>
      <c r="HM2" s="3">
        <v>1</v>
      </c>
      <c r="HN2" s="3">
        <v>1</v>
      </c>
      <c r="HO2" s="3">
        <v>1</v>
      </c>
      <c r="HP2" s="3">
        <v>1</v>
      </c>
      <c r="HQ2" s="3">
        <v>1</v>
      </c>
      <c r="HR2" s="3">
        <v>1</v>
      </c>
      <c r="HS2" s="3">
        <v>1</v>
      </c>
      <c r="HT2" s="3">
        <v>1</v>
      </c>
      <c r="HU2" s="3">
        <v>1</v>
      </c>
      <c r="HV2" s="3">
        <v>1</v>
      </c>
      <c r="HW2" s="3">
        <v>1</v>
      </c>
      <c r="HX2" s="3">
        <v>1</v>
      </c>
      <c r="HY2" s="3">
        <v>1</v>
      </c>
      <c r="HZ2" s="3">
        <v>1</v>
      </c>
      <c r="IA2" s="3">
        <v>1</v>
      </c>
      <c r="IB2" s="3">
        <v>1</v>
      </c>
      <c r="IC2" s="3">
        <v>1</v>
      </c>
      <c r="ID2" s="3">
        <v>1</v>
      </c>
      <c r="IE2" s="3">
        <v>1</v>
      </c>
      <c r="IF2" s="3">
        <v>1</v>
      </c>
      <c r="IG2" s="3">
        <v>1</v>
      </c>
      <c r="IH2" s="3">
        <v>1</v>
      </c>
      <c r="II2" s="3">
        <v>1</v>
      </c>
      <c r="IJ2" s="3">
        <v>1</v>
      </c>
      <c r="IK2" s="3">
        <v>1</v>
      </c>
      <c r="IL2" s="3">
        <v>1</v>
      </c>
      <c r="IM2" s="3">
        <v>1</v>
      </c>
      <c r="IN2" s="3">
        <v>1</v>
      </c>
      <c r="IO2" s="3">
        <v>1</v>
      </c>
      <c r="IP2" s="3">
        <v>1</v>
      </c>
      <c r="IQ2" s="3">
        <v>1</v>
      </c>
      <c r="IR2" s="3">
        <v>1</v>
      </c>
      <c r="IS2" s="3">
        <v>1</v>
      </c>
      <c r="IT2" s="3">
        <v>1</v>
      </c>
      <c r="IU2" s="3">
        <v>1</v>
      </c>
      <c r="IV2" s="3">
        <v>1</v>
      </c>
      <c r="IW2" s="3">
        <v>1</v>
      </c>
      <c r="IX2" s="3">
        <v>1</v>
      </c>
      <c r="IY2" s="3">
        <v>1</v>
      </c>
      <c r="IZ2" s="3">
        <v>1</v>
      </c>
      <c r="JA2" s="3">
        <v>1</v>
      </c>
      <c r="JB2" s="3">
        <v>1</v>
      </c>
      <c r="JC2" s="3">
        <v>1</v>
      </c>
      <c r="JD2" s="3">
        <v>1</v>
      </c>
      <c r="JE2" s="3">
        <v>1</v>
      </c>
      <c r="JF2" s="3">
        <v>1</v>
      </c>
      <c r="JG2" s="3">
        <v>1</v>
      </c>
      <c r="JH2" s="3">
        <v>1</v>
      </c>
      <c r="JI2" s="3">
        <v>1</v>
      </c>
      <c r="JJ2" s="3">
        <v>1</v>
      </c>
      <c r="JK2" s="3">
        <v>1</v>
      </c>
      <c r="JL2" s="3">
        <v>1</v>
      </c>
      <c r="JM2" s="3">
        <v>1</v>
      </c>
      <c r="JN2" s="3">
        <v>1</v>
      </c>
      <c r="JO2" s="3">
        <v>1</v>
      </c>
      <c r="JP2" s="3">
        <v>1</v>
      </c>
      <c r="JQ2" s="3">
        <v>1</v>
      </c>
      <c r="JR2" s="3">
        <v>1</v>
      </c>
      <c r="JS2" s="3">
        <v>1</v>
      </c>
      <c r="JT2" s="3">
        <v>1</v>
      </c>
      <c r="JU2" s="3">
        <v>1</v>
      </c>
      <c r="JV2" s="3">
        <v>1</v>
      </c>
      <c r="JW2" s="3">
        <v>1</v>
      </c>
      <c r="JX2" s="3">
        <v>1</v>
      </c>
      <c r="JY2" s="3">
        <v>1</v>
      </c>
      <c r="JZ2" s="3">
        <v>1</v>
      </c>
      <c r="KA2" s="3">
        <v>1</v>
      </c>
      <c r="KB2" s="3">
        <v>1</v>
      </c>
      <c r="KC2" s="3">
        <v>1</v>
      </c>
      <c r="KD2" s="3">
        <v>1</v>
      </c>
      <c r="KE2" s="3">
        <v>1</v>
      </c>
      <c r="KF2" s="3">
        <v>1</v>
      </c>
      <c r="KG2" s="3">
        <v>1</v>
      </c>
      <c r="KH2" s="3">
        <v>1</v>
      </c>
      <c r="KI2" s="3">
        <v>1</v>
      </c>
      <c r="KJ2" s="3">
        <v>1</v>
      </c>
      <c r="KK2" s="3">
        <v>1</v>
      </c>
      <c r="KL2" s="3">
        <v>1</v>
      </c>
      <c r="KM2" s="3">
        <v>1</v>
      </c>
      <c r="KN2" s="3">
        <v>1</v>
      </c>
      <c r="KO2" s="3">
        <v>1</v>
      </c>
      <c r="KP2" s="3">
        <v>1</v>
      </c>
      <c r="KQ2" s="3">
        <v>1</v>
      </c>
      <c r="KR2" s="3">
        <v>1</v>
      </c>
      <c r="KS2" s="3">
        <v>1</v>
      </c>
      <c r="KT2" s="3">
        <v>1</v>
      </c>
      <c r="KU2" s="3">
        <v>1</v>
      </c>
      <c r="KV2" s="3">
        <v>1</v>
      </c>
      <c r="KW2" s="3">
        <v>1</v>
      </c>
      <c r="KX2" s="3">
        <v>1</v>
      </c>
      <c r="KY2" s="3">
        <v>1</v>
      </c>
      <c r="KZ2" s="3">
        <v>1</v>
      </c>
      <c r="LA2" s="3">
        <v>1</v>
      </c>
      <c r="LB2" s="3">
        <v>1</v>
      </c>
      <c r="LC2" s="3">
        <v>1</v>
      </c>
      <c r="LD2" s="3">
        <v>1</v>
      </c>
      <c r="LE2" s="3">
        <v>1</v>
      </c>
      <c r="LF2" s="3">
        <v>1</v>
      </c>
      <c r="LG2" s="3">
        <v>1</v>
      </c>
      <c r="LH2" s="3">
        <v>1</v>
      </c>
      <c r="LI2" s="3">
        <v>1</v>
      </c>
      <c r="LJ2" s="3">
        <v>1</v>
      </c>
      <c r="LK2" s="3">
        <v>1</v>
      </c>
      <c r="LL2" s="3">
        <v>1</v>
      </c>
      <c r="LM2" s="3">
        <v>1</v>
      </c>
      <c r="LN2" s="3">
        <v>1</v>
      </c>
      <c r="LO2" s="3">
        <v>1</v>
      </c>
      <c r="LP2" s="3">
        <v>1</v>
      </c>
      <c r="LQ2" s="3">
        <v>1</v>
      </c>
      <c r="LR2" s="3">
        <v>1</v>
      </c>
      <c r="LS2" s="3">
        <v>1</v>
      </c>
      <c r="LT2" s="3">
        <v>1</v>
      </c>
      <c r="LU2" s="3">
        <v>1</v>
      </c>
      <c r="LV2" s="3">
        <v>1</v>
      </c>
      <c r="LW2" s="3">
        <v>1</v>
      </c>
      <c r="LX2" s="3">
        <v>1</v>
      </c>
      <c r="LY2" s="3">
        <v>1</v>
      </c>
      <c r="LZ2" s="3">
        <v>1</v>
      </c>
      <c r="MA2" s="3">
        <v>1</v>
      </c>
      <c r="MB2" s="3">
        <v>1</v>
      </c>
      <c r="MC2" s="3">
        <v>1</v>
      </c>
      <c r="MD2" s="3">
        <v>1</v>
      </c>
      <c r="ME2" s="3">
        <v>1</v>
      </c>
      <c r="MF2" s="3">
        <v>1</v>
      </c>
      <c r="MG2" s="3">
        <v>1</v>
      </c>
      <c r="MH2" s="3">
        <v>1</v>
      </c>
      <c r="MI2" s="3">
        <v>1</v>
      </c>
      <c r="MJ2" s="3">
        <v>1</v>
      </c>
      <c r="MK2" s="3">
        <v>1</v>
      </c>
      <c r="ML2" s="3">
        <v>1</v>
      </c>
      <c r="MM2" s="3">
        <v>1</v>
      </c>
      <c r="MN2" s="3">
        <v>1</v>
      </c>
      <c r="MO2" s="3">
        <v>1</v>
      </c>
      <c r="MP2" s="3">
        <v>1</v>
      </c>
      <c r="MQ2" s="3">
        <v>1</v>
      </c>
      <c r="MR2" s="3">
        <v>1</v>
      </c>
      <c r="MS2" s="3">
        <v>1</v>
      </c>
      <c r="MT2" s="3">
        <v>1</v>
      </c>
      <c r="MU2" s="3">
        <v>1</v>
      </c>
      <c r="MV2" s="3">
        <v>1</v>
      </c>
      <c r="MW2" s="3">
        <v>1</v>
      </c>
      <c r="MX2" s="3">
        <v>1</v>
      </c>
      <c r="MY2" s="3">
        <v>1</v>
      </c>
      <c r="MZ2" s="3">
        <v>1</v>
      </c>
      <c r="NA2" s="3">
        <v>1</v>
      </c>
      <c r="NB2" s="3">
        <v>1</v>
      </c>
      <c r="NC2" s="3">
        <v>1</v>
      </c>
      <c r="ND2" s="3">
        <v>1</v>
      </c>
      <c r="NE2" s="3">
        <v>1</v>
      </c>
      <c r="NF2" s="3">
        <v>1</v>
      </c>
      <c r="NG2" s="3">
        <v>1</v>
      </c>
      <c r="NH2" s="3">
        <v>1</v>
      </c>
      <c r="NI2" s="3">
        <v>1</v>
      </c>
      <c r="NJ2" s="3">
        <v>1</v>
      </c>
      <c r="NK2" s="3">
        <v>1</v>
      </c>
      <c r="NL2" s="3">
        <v>1</v>
      </c>
      <c r="NM2" s="3">
        <v>1</v>
      </c>
      <c r="NN2" s="3">
        <v>1</v>
      </c>
      <c r="NO2" s="3">
        <v>1</v>
      </c>
      <c r="NP2" s="3">
        <v>1</v>
      </c>
      <c r="NQ2" s="3">
        <v>1</v>
      </c>
      <c r="NR2" s="3">
        <v>1</v>
      </c>
      <c r="NS2" s="3">
        <v>1</v>
      </c>
      <c r="NT2" s="3">
        <v>1</v>
      </c>
      <c r="NU2" s="3">
        <v>1</v>
      </c>
      <c r="NV2" s="3">
        <v>1</v>
      </c>
      <c r="NW2" s="3">
        <v>1</v>
      </c>
      <c r="NX2" s="3">
        <v>1</v>
      </c>
      <c r="NY2" s="3">
        <v>1</v>
      </c>
      <c r="NZ2" s="3">
        <v>1</v>
      </c>
      <c r="OA2" s="3">
        <v>1</v>
      </c>
      <c r="OB2" s="3">
        <v>1</v>
      </c>
      <c r="OC2" s="3">
        <v>1</v>
      </c>
      <c r="OD2" s="3">
        <v>1</v>
      </c>
      <c r="OE2" s="3">
        <v>1</v>
      </c>
      <c r="OF2" s="3">
        <v>1</v>
      </c>
      <c r="OG2" s="3">
        <v>1</v>
      </c>
      <c r="OH2" s="3">
        <v>1</v>
      </c>
      <c r="OI2" s="3">
        <v>1</v>
      </c>
      <c r="OJ2" s="3">
        <v>1</v>
      </c>
      <c r="OK2" s="3">
        <v>1</v>
      </c>
      <c r="OL2" s="3">
        <v>1</v>
      </c>
      <c r="OM2" s="3">
        <v>1</v>
      </c>
      <c r="ON2" s="3">
        <v>1</v>
      </c>
      <c r="OO2" s="3">
        <v>1</v>
      </c>
      <c r="OP2" s="3">
        <v>1</v>
      </c>
      <c r="OQ2" s="3">
        <v>1</v>
      </c>
      <c r="OR2" s="3">
        <v>1</v>
      </c>
      <c r="OS2" s="3">
        <v>1</v>
      </c>
      <c r="OT2" s="3">
        <v>1</v>
      </c>
      <c r="OU2" s="3">
        <v>1</v>
      </c>
      <c r="OV2" s="3">
        <v>1</v>
      </c>
      <c r="OW2" s="3">
        <v>1</v>
      </c>
      <c r="OX2" s="3">
        <v>1</v>
      </c>
      <c r="OY2" s="3">
        <v>1</v>
      </c>
      <c r="OZ2" s="3">
        <v>1</v>
      </c>
      <c r="PA2" s="3">
        <v>1</v>
      </c>
      <c r="PB2" s="3">
        <v>1</v>
      </c>
      <c r="PC2" s="3">
        <v>1</v>
      </c>
      <c r="PD2" s="3">
        <v>1</v>
      </c>
      <c r="PE2" s="3">
        <v>1</v>
      </c>
      <c r="PF2" s="3">
        <v>1</v>
      </c>
      <c r="PG2" s="3">
        <v>1</v>
      </c>
      <c r="PH2" s="3">
        <v>1</v>
      </c>
      <c r="PI2" s="3">
        <v>1</v>
      </c>
      <c r="PJ2" s="3">
        <v>1</v>
      </c>
      <c r="PK2" s="3">
        <v>1</v>
      </c>
      <c r="PL2" s="3">
        <v>1</v>
      </c>
      <c r="PM2" s="3">
        <v>1</v>
      </c>
      <c r="PN2" s="3">
        <v>1</v>
      </c>
      <c r="PO2" s="3">
        <v>1</v>
      </c>
      <c r="PP2" s="3">
        <v>1</v>
      </c>
      <c r="PQ2" s="3">
        <v>1</v>
      </c>
      <c r="PR2" s="3">
        <v>1</v>
      </c>
      <c r="PS2" s="3">
        <v>1</v>
      </c>
      <c r="PT2" s="3">
        <v>1</v>
      </c>
      <c r="PU2" s="3">
        <v>1</v>
      </c>
      <c r="PV2" s="3">
        <v>1</v>
      </c>
      <c r="PW2" s="3">
        <v>1</v>
      </c>
      <c r="PX2" s="3">
        <v>1</v>
      </c>
      <c r="PY2" s="3">
        <v>1</v>
      </c>
      <c r="PZ2" s="3">
        <v>1</v>
      </c>
      <c r="QA2" s="3">
        <v>1</v>
      </c>
      <c r="QB2" s="3">
        <v>1</v>
      </c>
      <c r="QC2" s="3">
        <v>1</v>
      </c>
      <c r="QD2" s="3">
        <v>1</v>
      </c>
      <c r="QE2" s="3">
        <v>1</v>
      </c>
      <c r="QF2" s="3">
        <v>1</v>
      </c>
      <c r="QG2" s="3">
        <v>1</v>
      </c>
      <c r="QH2" s="3">
        <v>1</v>
      </c>
      <c r="QI2" s="3">
        <v>1</v>
      </c>
      <c r="QJ2" s="3">
        <v>1</v>
      </c>
      <c r="QK2" s="3">
        <v>1</v>
      </c>
      <c r="QL2" s="3">
        <v>1</v>
      </c>
      <c r="QM2" s="3">
        <v>1</v>
      </c>
      <c r="QN2" s="3">
        <v>1</v>
      </c>
      <c r="QO2" s="3">
        <v>1</v>
      </c>
      <c r="QP2" s="3">
        <v>1</v>
      </c>
      <c r="QQ2" s="3">
        <v>1</v>
      </c>
      <c r="QR2" s="3">
        <v>1</v>
      </c>
      <c r="QS2" s="3">
        <v>1</v>
      </c>
      <c r="QT2" s="3">
        <v>1</v>
      </c>
      <c r="QU2" s="3">
        <v>1</v>
      </c>
      <c r="QV2" s="3">
        <v>1</v>
      </c>
      <c r="QW2" s="3">
        <v>1</v>
      </c>
      <c r="QX2" s="3">
        <v>1</v>
      </c>
      <c r="QY2" s="3">
        <v>1</v>
      </c>
      <c r="QZ2" s="3">
        <v>1</v>
      </c>
      <c r="RA2" s="3">
        <v>1</v>
      </c>
      <c r="RB2" s="3">
        <v>1</v>
      </c>
      <c r="RC2" s="3">
        <v>1</v>
      </c>
      <c r="RD2" s="3">
        <v>1</v>
      </c>
      <c r="RE2" s="3">
        <v>1</v>
      </c>
      <c r="RF2" s="3">
        <v>1</v>
      </c>
      <c r="RG2" s="3">
        <v>1</v>
      </c>
      <c r="RH2" s="3">
        <v>1</v>
      </c>
      <c r="RI2" s="3">
        <v>1</v>
      </c>
      <c r="RJ2" s="3">
        <v>1</v>
      </c>
      <c r="RK2" s="3">
        <v>1</v>
      </c>
      <c r="RL2" s="3">
        <v>1</v>
      </c>
      <c r="RM2" s="3">
        <v>1</v>
      </c>
      <c r="RN2" s="3">
        <v>1</v>
      </c>
      <c r="RO2" s="3">
        <v>1</v>
      </c>
      <c r="RP2" s="3">
        <v>1</v>
      </c>
      <c r="RQ2" s="3">
        <v>1</v>
      </c>
      <c r="RR2" s="3">
        <v>1</v>
      </c>
      <c r="RS2" s="3">
        <v>1</v>
      </c>
      <c r="RT2" s="3">
        <v>1</v>
      </c>
      <c r="RU2" s="3">
        <v>1</v>
      </c>
      <c r="RV2" s="3">
        <v>1</v>
      </c>
      <c r="RW2" s="3">
        <v>1</v>
      </c>
      <c r="RX2" s="3">
        <v>1</v>
      </c>
      <c r="RY2" s="3">
        <v>1</v>
      </c>
      <c r="RZ2" s="3">
        <v>1</v>
      </c>
      <c r="SA2" s="3">
        <v>1</v>
      </c>
      <c r="SB2" s="3">
        <v>1</v>
      </c>
      <c r="SC2" s="3">
        <v>1</v>
      </c>
      <c r="SD2" s="3">
        <v>1</v>
      </c>
      <c r="SE2" s="3">
        <v>1</v>
      </c>
      <c r="SF2" s="3">
        <v>1</v>
      </c>
      <c r="SG2" s="3">
        <v>1</v>
      </c>
      <c r="SH2" s="3">
        <v>1</v>
      </c>
      <c r="SI2" s="3">
        <v>1</v>
      </c>
      <c r="SJ2" s="3">
        <v>1</v>
      </c>
      <c r="SK2" s="3">
        <v>1</v>
      </c>
      <c r="SL2" s="3">
        <v>1</v>
      </c>
      <c r="SM2" s="3">
        <v>1</v>
      </c>
      <c r="SN2" s="3">
        <v>1</v>
      </c>
      <c r="SO2" s="3">
        <v>1</v>
      </c>
      <c r="SP2" s="3">
        <v>1</v>
      </c>
      <c r="SQ2" s="3">
        <v>1</v>
      </c>
      <c r="SR2" s="3">
        <v>1</v>
      </c>
      <c r="SS2" s="3">
        <v>1</v>
      </c>
      <c r="ST2" s="3">
        <v>1</v>
      </c>
      <c r="SU2" s="3">
        <v>1</v>
      </c>
      <c r="SV2" s="3">
        <v>1</v>
      </c>
      <c r="SW2" s="3">
        <v>1</v>
      </c>
      <c r="SX2" s="3">
        <v>1</v>
      </c>
      <c r="SY2" s="3">
        <v>1</v>
      </c>
      <c r="SZ2" s="3">
        <v>1</v>
      </c>
      <c r="TA2" s="3">
        <v>1</v>
      </c>
      <c r="TB2" s="3">
        <v>1</v>
      </c>
      <c r="TC2" s="3">
        <v>1</v>
      </c>
      <c r="TD2" s="3">
        <v>1</v>
      </c>
      <c r="TE2" s="3">
        <v>1</v>
      </c>
      <c r="TF2" s="3">
        <v>1</v>
      </c>
      <c r="TG2" s="3">
        <v>1</v>
      </c>
      <c r="TH2" s="3">
        <v>1</v>
      </c>
      <c r="TI2" s="3">
        <v>1</v>
      </c>
      <c r="TJ2" s="3">
        <v>1</v>
      </c>
      <c r="TK2" s="3">
        <v>1</v>
      </c>
      <c r="TL2" s="3">
        <v>1</v>
      </c>
      <c r="TM2" s="3">
        <v>1</v>
      </c>
      <c r="TN2" s="3">
        <v>1</v>
      </c>
      <c r="TO2" s="3">
        <v>1</v>
      </c>
      <c r="TP2" s="3">
        <v>1</v>
      </c>
      <c r="TQ2" s="3">
        <v>1</v>
      </c>
      <c r="TR2" s="3">
        <v>1</v>
      </c>
      <c r="TS2" s="3">
        <v>1</v>
      </c>
      <c r="TT2" s="3">
        <v>1</v>
      </c>
      <c r="TU2" s="3">
        <v>1</v>
      </c>
      <c r="TV2" s="3">
        <v>1</v>
      </c>
      <c r="TW2" s="3">
        <v>1</v>
      </c>
      <c r="TX2" s="3">
        <v>1</v>
      </c>
      <c r="TY2" s="3">
        <v>1</v>
      </c>
      <c r="TZ2" s="3">
        <v>1</v>
      </c>
      <c r="UA2" s="3">
        <v>1</v>
      </c>
      <c r="UB2" s="3">
        <v>1</v>
      </c>
      <c r="UC2" s="3">
        <v>1</v>
      </c>
      <c r="UD2" s="3">
        <v>1</v>
      </c>
      <c r="UE2" s="3">
        <v>1</v>
      </c>
      <c r="UF2" s="3">
        <v>1</v>
      </c>
      <c r="UG2" s="3">
        <v>1</v>
      </c>
      <c r="UH2" s="3">
        <v>1</v>
      </c>
      <c r="UI2" s="3">
        <v>1</v>
      </c>
      <c r="UJ2" s="3">
        <v>1</v>
      </c>
      <c r="UK2" s="3">
        <v>1</v>
      </c>
      <c r="UL2" s="3">
        <v>1</v>
      </c>
      <c r="UM2" s="3">
        <v>1</v>
      </c>
      <c r="UN2" s="3">
        <v>1</v>
      </c>
      <c r="UO2" s="3">
        <v>1</v>
      </c>
      <c r="UP2" s="3">
        <v>1</v>
      </c>
      <c r="UQ2" s="3">
        <v>1</v>
      </c>
      <c r="UR2" s="3">
        <v>1</v>
      </c>
      <c r="US2" s="3">
        <v>1</v>
      </c>
      <c r="UT2" s="3">
        <v>1</v>
      </c>
      <c r="UU2" s="3">
        <v>1</v>
      </c>
      <c r="UV2" s="3">
        <v>1</v>
      </c>
      <c r="UW2" s="3">
        <v>1</v>
      </c>
      <c r="UX2" s="3">
        <v>1</v>
      </c>
      <c r="UY2" s="3">
        <v>1</v>
      </c>
      <c r="UZ2" s="3">
        <v>1</v>
      </c>
      <c r="VA2" s="3">
        <v>1</v>
      </c>
      <c r="VB2" s="3">
        <v>1</v>
      </c>
      <c r="VC2" s="3">
        <v>1</v>
      </c>
      <c r="VD2" s="3">
        <v>1</v>
      </c>
      <c r="VE2" s="3">
        <v>1</v>
      </c>
      <c r="VF2" s="3">
        <v>1</v>
      </c>
      <c r="VG2" s="3">
        <v>1</v>
      </c>
      <c r="VH2" s="3">
        <v>1</v>
      </c>
      <c r="VI2" s="3">
        <v>1</v>
      </c>
      <c r="VJ2" s="3">
        <v>1</v>
      </c>
      <c r="VK2" s="3">
        <v>1</v>
      </c>
      <c r="VL2" s="3">
        <v>1</v>
      </c>
      <c r="VM2" s="3">
        <v>1</v>
      </c>
      <c r="VN2" s="3">
        <v>1</v>
      </c>
      <c r="VO2" s="3">
        <v>1</v>
      </c>
      <c r="VP2" s="3">
        <v>1</v>
      </c>
      <c r="VQ2" s="3">
        <v>1</v>
      </c>
      <c r="VR2" s="3">
        <v>1</v>
      </c>
      <c r="VS2" s="3">
        <v>1</v>
      </c>
      <c r="VT2" s="3">
        <v>1</v>
      </c>
      <c r="VU2" s="3">
        <v>1</v>
      </c>
      <c r="VV2" s="3">
        <v>1</v>
      </c>
      <c r="VW2" s="3">
        <v>1</v>
      </c>
      <c r="VX2" s="3">
        <v>1</v>
      </c>
      <c r="VY2" s="3">
        <v>1</v>
      </c>
      <c r="VZ2" s="3">
        <v>1</v>
      </c>
      <c r="WA2" s="3">
        <v>1</v>
      </c>
      <c r="WB2" s="3">
        <v>1</v>
      </c>
      <c r="WC2" s="3">
        <v>1</v>
      </c>
      <c r="WD2" s="3">
        <v>1</v>
      </c>
      <c r="WE2" s="3">
        <v>1</v>
      </c>
      <c r="WF2" s="3">
        <v>1</v>
      </c>
      <c r="WG2" s="3">
        <v>1</v>
      </c>
      <c r="WH2" s="3">
        <v>1</v>
      </c>
      <c r="WI2" s="3">
        <v>1</v>
      </c>
      <c r="WJ2" s="3">
        <v>1</v>
      </c>
      <c r="WK2" s="3">
        <v>1</v>
      </c>
      <c r="WL2" s="3">
        <v>1</v>
      </c>
      <c r="WM2" s="3">
        <v>1</v>
      </c>
      <c r="WN2" s="3">
        <v>1</v>
      </c>
      <c r="WO2" s="3">
        <v>1</v>
      </c>
      <c r="WP2" s="3">
        <v>1</v>
      </c>
      <c r="WQ2" s="3">
        <v>1</v>
      </c>
      <c r="WR2" s="3">
        <v>1</v>
      </c>
      <c r="WS2" s="3">
        <v>1</v>
      </c>
      <c r="WT2" s="3">
        <v>1</v>
      </c>
      <c r="WU2" s="3">
        <v>1</v>
      </c>
      <c r="WV2" s="3">
        <v>1</v>
      </c>
      <c r="WW2" s="3">
        <v>1</v>
      </c>
      <c r="WX2" s="3">
        <v>1</v>
      </c>
      <c r="WY2" s="3">
        <v>1</v>
      </c>
      <c r="WZ2" s="3">
        <v>1</v>
      </c>
      <c r="XA2" s="3">
        <v>1</v>
      </c>
      <c r="XB2" s="3">
        <v>1</v>
      </c>
      <c r="XC2" s="3">
        <v>1</v>
      </c>
      <c r="XD2" s="3">
        <v>1</v>
      </c>
      <c r="XE2" s="3">
        <v>1</v>
      </c>
      <c r="XF2" s="3">
        <v>1</v>
      </c>
      <c r="XG2" s="3">
        <v>1</v>
      </c>
      <c r="XH2" s="3">
        <v>1</v>
      </c>
      <c r="XI2" s="3">
        <v>1</v>
      </c>
      <c r="XJ2" s="3">
        <v>1</v>
      </c>
      <c r="XK2" s="3">
        <v>1</v>
      </c>
      <c r="XL2" s="3">
        <v>1</v>
      </c>
      <c r="XM2" s="3">
        <v>1</v>
      </c>
      <c r="XN2" s="3">
        <v>1</v>
      </c>
      <c r="XO2" s="3">
        <v>1</v>
      </c>
      <c r="XP2" s="3">
        <v>1</v>
      </c>
      <c r="XQ2" s="3">
        <v>1</v>
      </c>
      <c r="XR2" s="3">
        <v>1</v>
      </c>
      <c r="XS2" s="3">
        <v>1</v>
      </c>
      <c r="XT2" s="3">
        <v>1</v>
      </c>
      <c r="XU2" s="3">
        <v>1</v>
      </c>
      <c r="XV2" s="3">
        <v>1</v>
      </c>
      <c r="XW2" s="3">
        <v>1</v>
      </c>
      <c r="XX2" s="3">
        <v>1</v>
      </c>
      <c r="XY2" s="3">
        <v>1</v>
      </c>
      <c r="XZ2" s="3">
        <v>1</v>
      </c>
      <c r="YA2" s="3">
        <v>1</v>
      </c>
      <c r="YB2" s="3">
        <v>1</v>
      </c>
      <c r="YC2" s="3">
        <v>1</v>
      </c>
      <c r="YD2" s="3">
        <v>1</v>
      </c>
      <c r="YE2" s="3">
        <v>1</v>
      </c>
      <c r="YF2" s="3">
        <v>1</v>
      </c>
      <c r="YG2" s="3">
        <v>1</v>
      </c>
      <c r="YH2" s="3">
        <v>1</v>
      </c>
      <c r="YI2" s="3">
        <v>1</v>
      </c>
      <c r="YJ2" s="3">
        <v>1</v>
      </c>
      <c r="YK2" s="3">
        <v>1</v>
      </c>
      <c r="YL2" s="3">
        <v>1</v>
      </c>
      <c r="YM2" s="3">
        <v>1</v>
      </c>
      <c r="YN2" s="3">
        <v>1</v>
      </c>
      <c r="YO2" s="3">
        <v>1</v>
      </c>
      <c r="YP2" s="3">
        <v>1</v>
      </c>
      <c r="YQ2" s="3">
        <v>1</v>
      </c>
      <c r="YR2" s="3">
        <v>1</v>
      </c>
      <c r="YS2" s="3">
        <v>1</v>
      </c>
      <c r="YT2" s="3">
        <v>1</v>
      </c>
      <c r="YU2" s="3">
        <v>1</v>
      </c>
      <c r="YV2" s="3">
        <v>1</v>
      </c>
      <c r="YW2" s="3">
        <v>1</v>
      </c>
      <c r="YX2" s="3">
        <v>1</v>
      </c>
      <c r="YY2" s="3">
        <v>1</v>
      </c>
      <c r="YZ2" s="3">
        <v>1</v>
      </c>
      <c r="ZA2" s="3">
        <v>1</v>
      </c>
      <c r="ZB2" s="3">
        <v>1</v>
      </c>
      <c r="ZC2" s="3">
        <v>1</v>
      </c>
      <c r="ZD2" s="3">
        <v>1</v>
      </c>
      <c r="ZE2" s="3">
        <v>1</v>
      </c>
      <c r="ZF2" s="3">
        <v>1</v>
      </c>
      <c r="ZG2" s="3">
        <v>1</v>
      </c>
      <c r="ZH2" s="3">
        <v>1</v>
      </c>
      <c r="ZI2" s="3">
        <v>1</v>
      </c>
      <c r="ZJ2" s="3">
        <v>1</v>
      </c>
      <c r="ZK2" s="3">
        <v>1</v>
      </c>
      <c r="ZL2" s="3">
        <v>1</v>
      </c>
      <c r="ZM2" s="3">
        <v>1</v>
      </c>
      <c r="ZN2" s="3">
        <v>1</v>
      </c>
      <c r="ZO2" s="3">
        <v>1</v>
      </c>
      <c r="ZP2" s="3">
        <v>1</v>
      </c>
      <c r="ZQ2" s="3">
        <v>1</v>
      </c>
      <c r="ZR2" s="3">
        <v>1</v>
      </c>
      <c r="ZS2" s="3">
        <v>1</v>
      </c>
      <c r="ZT2" s="3">
        <v>1</v>
      </c>
      <c r="ZU2" s="3">
        <v>1</v>
      </c>
      <c r="ZV2" s="3">
        <v>1</v>
      </c>
      <c r="ZW2" s="3">
        <v>1</v>
      </c>
      <c r="ZX2" s="3">
        <v>1</v>
      </c>
      <c r="ZY2" s="3">
        <v>1</v>
      </c>
      <c r="ZZ2" s="3">
        <v>1</v>
      </c>
      <c r="AAA2" s="3">
        <v>1</v>
      </c>
      <c r="AAB2" s="3">
        <v>1</v>
      </c>
      <c r="AAC2" s="3">
        <v>1</v>
      </c>
      <c r="AAD2" s="3">
        <v>1</v>
      </c>
      <c r="AAE2" s="3">
        <v>1</v>
      </c>
      <c r="AAF2" s="3">
        <v>1</v>
      </c>
      <c r="AAG2" s="3">
        <v>1</v>
      </c>
      <c r="AAH2" s="3">
        <v>1</v>
      </c>
      <c r="AAI2" s="3">
        <v>1</v>
      </c>
      <c r="AAJ2" s="3">
        <v>1</v>
      </c>
      <c r="AAK2" s="3">
        <v>1</v>
      </c>
      <c r="AAL2" s="3">
        <v>1</v>
      </c>
      <c r="AAM2" s="3">
        <v>1</v>
      </c>
      <c r="AAN2" s="3">
        <v>1</v>
      </c>
      <c r="AAO2" s="3">
        <v>1</v>
      </c>
      <c r="AAP2" s="3">
        <v>1</v>
      </c>
      <c r="AAQ2" s="3">
        <v>1</v>
      </c>
      <c r="AAR2" s="3">
        <v>1</v>
      </c>
      <c r="AAS2" s="3">
        <v>1</v>
      </c>
      <c r="AAT2" s="3">
        <v>1</v>
      </c>
      <c r="AAU2" s="3">
        <v>1</v>
      </c>
      <c r="AAV2" s="3">
        <v>1</v>
      </c>
      <c r="AAW2" s="3">
        <v>1</v>
      </c>
      <c r="AAX2" s="3">
        <v>1</v>
      </c>
      <c r="AAY2" s="3">
        <v>1</v>
      </c>
      <c r="AAZ2" s="3">
        <v>1</v>
      </c>
      <c r="ABA2" s="3">
        <v>1</v>
      </c>
      <c r="ABB2" s="3">
        <v>1</v>
      </c>
      <c r="ABC2" s="3">
        <v>1</v>
      </c>
      <c r="ABD2" s="3">
        <v>1</v>
      </c>
      <c r="ABE2" s="3">
        <v>1</v>
      </c>
      <c r="ABF2" s="3">
        <v>1</v>
      </c>
      <c r="ABG2" s="3">
        <v>1</v>
      </c>
      <c r="ABH2" s="3">
        <v>1</v>
      </c>
      <c r="ABI2" s="3">
        <v>1</v>
      </c>
      <c r="ABJ2" s="3">
        <v>1</v>
      </c>
      <c r="ABK2" s="3">
        <v>1</v>
      </c>
      <c r="ABL2" s="3">
        <v>1</v>
      </c>
      <c r="ABM2" s="3">
        <v>1</v>
      </c>
      <c r="ABN2" s="3">
        <v>1</v>
      </c>
      <c r="ABO2" s="3">
        <v>1</v>
      </c>
      <c r="ABP2" s="3">
        <v>1</v>
      </c>
      <c r="ABQ2" s="3">
        <v>1</v>
      </c>
      <c r="ABR2" s="3">
        <v>1</v>
      </c>
      <c r="ABS2" s="3">
        <v>1</v>
      </c>
      <c r="ABT2" s="3">
        <v>1</v>
      </c>
      <c r="ABU2" s="3">
        <v>1</v>
      </c>
      <c r="ABV2" s="3">
        <v>1</v>
      </c>
      <c r="ABW2" s="3">
        <v>1</v>
      </c>
      <c r="ABX2" s="3">
        <v>1</v>
      </c>
      <c r="ABY2" s="3">
        <v>1</v>
      </c>
      <c r="ABZ2" s="3">
        <v>1</v>
      </c>
      <c r="ACA2" s="3">
        <v>1</v>
      </c>
      <c r="ACB2" s="3">
        <v>1</v>
      </c>
      <c r="ACC2" s="3">
        <v>1</v>
      </c>
      <c r="ACD2" s="3">
        <v>1</v>
      </c>
      <c r="ACE2" s="3">
        <v>1</v>
      </c>
      <c r="ACF2" s="3">
        <v>1</v>
      </c>
      <c r="ACG2" s="3">
        <v>1</v>
      </c>
      <c r="ACH2" s="3">
        <v>1</v>
      </c>
      <c r="ACI2" s="3">
        <v>1</v>
      </c>
      <c r="ACJ2" s="3">
        <v>1</v>
      </c>
      <c r="ACK2" s="3">
        <v>1</v>
      </c>
      <c r="ACL2" s="3">
        <v>1</v>
      </c>
      <c r="ACM2" s="3">
        <v>1</v>
      </c>
      <c r="ACN2" s="3">
        <v>1</v>
      </c>
      <c r="ACO2" s="3">
        <v>1</v>
      </c>
      <c r="ACP2" s="3">
        <v>1</v>
      </c>
      <c r="ACQ2" s="3">
        <v>1</v>
      </c>
      <c r="ACR2" s="3">
        <v>1</v>
      </c>
      <c r="ACS2" s="3">
        <v>1</v>
      </c>
      <c r="ACT2" s="3">
        <v>1</v>
      </c>
      <c r="ACU2" s="3">
        <v>1</v>
      </c>
      <c r="ACV2" s="3">
        <v>1</v>
      </c>
      <c r="ACW2" s="3">
        <v>1</v>
      </c>
      <c r="ACX2" s="3">
        <v>1</v>
      </c>
      <c r="ACY2" s="3">
        <v>1</v>
      </c>
      <c r="ACZ2" s="3">
        <v>1</v>
      </c>
      <c r="ADA2" s="3">
        <v>1</v>
      </c>
      <c r="ADB2" s="3">
        <v>1</v>
      </c>
      <c r="ADC2" s="3">
        <v>1</v>
      </c>
      <c r="ADD2" s="3">
        <v>1</v>
      </c>
      <c r="ADE2" s="3">
        <v>1</v>
      </c>
      <c r="ADF2" s="3">
        <v>1</v>
      </c>
      <c r="ADG2" s="3">
        <v>1</v>
      </c>
      <c r="ADH2" s="3">
        <v>1</v>
      </c>
      <c r="ADI2" s="3">
        <v>1</v>
      </c>
      <c r="ADJ2" s="3">
        <v>1</v>
      </c>
      <c r="ADK2" s="3">
        <v>1</v>
      </c>
      <c r="ADL2" s="3">
        <v>1</v>
      </c>
      <c r="ADM2" s="3">
        <v>1</v>
      </c>
      <c r="ADN2" s="3">
        <v>1</v>
      </c>
      <c r="ADO2" s="3">
        <v>1</v>
      </c>
      <c r="ADP2" s="3">
        <v>1</v>
      </c>
      <c r="ADQ2" s="3">
        <v>1</v>
      </c>
      <c r="ADR2" s="3">
        <v>1</v>
      </c>
      <c r="ADS2" s="3">
        <v>1</v>
      </c>
      <c r="ADT2" s="3">
        <v>1</v>
      </c>
      <c r="ADU2" s="3">
        <v>1</v>
      </c>
      <c r="ADV2" s="3">
        <v>1</v>
      </c>
      <c r="ADW2" s="3">
        <v>1</v>
      </c>
      <c r="ADX2" s="3">
        <v>1</v>
      </c>
      <c r="ADY2" s="3">
        <v>1</v>
      </c>
      <c r="ADZ2" s="3">
        <v>1</v>
      </c>
      <c r="AEA2" s="3">
        <v>1</v>
      </c>
      <c r="AEB2" s="3">
        <v>1</v>
      </c>
      <c r="AEC2" s="3">
        <v>1</v>
      </c>
      <c r="AED2" s="3">
        <v>1</v>
      </c>
      <c r="AEE2" s="3">
        <v>1</v>
      </c>
      <c r="AEF2" s="3">
        <v>1</v>
      </c>
      <c r="AEG2" s="3">
        <v>1</v>
      </c>
      <c r="AEH2" s="3">
        <v>1</v>
      </c>
      <c r="AEI2" s="3">
        <v>1</v>
      </c>
      <c r="AEJ2" s="3">
        <v>1</v>
      </c>
      <c r="AEK2" s="3">
        <v>1</v>
      </c>
      <c r="AEL2" s="3">
        <v>1</v>
      </c>
      <c r="AEM2" s="3">
        <v>1</v>
      </c>
      <c r="AEN2" s="3">
        <v>1</v>
      </c>
      <c r="AEO2" s="3">
        <v>1</v>
      </c>
      <c r="AEP2" s="3">
        <v>1</v>
      </c>
      <c r="AEQ2" s="3">
        <v>1</v>
      </c>
      <c r="AER2" s="3">
        <v>1</v>
      </c>
      <c r="AES2" s="3">
        <v>1</v>
      </c>
      <c r="AET2" s="3">
        <v>1</v>
      </c>
      <c r="AEU2" s="3">
        <v>1</v>
      </c>
      <c r="AEV2" s="3">
        <v>1</v>
      </c>
      <c r="AEW2" s="3">
        <v>1</v>
      </c>
      <c r="AEX2" s="3">
        <v>1</v>
      </c>
      <c r="AEY2" s="3">
        <v>1</v>
      </c>
      <c r="AEZ2" s="3">
        <v>1</v>
      </c>
      <c r="AFA2" s="3">
        <v>1</v>
      </c>
      <c r="AFB2" s="3">
        <v>1</v>
      </c>
      <c r="AFC2" s="3">
        <v>1</v>
      </c>
      <c r="AFD2" s="3">
        <v>1</v>
      </c>
      <c r="AFE2" s="3">
        <v>1</v>
      </c>
      <c r="AFF2" s="3">
        <v>1</v>
      </c>
      <c r="AFG2" s="3">
        <v>1</v>
      </c>
      <c r="AFH2" s="3">
        <v>1</v>
      </c>
      <c r="AFI2" s="3">
        <v>1</v>
      </c>
      <c r="AFJ2" s="3">
        <v>1</v>
      </c>
      <c r="AFK2" s="3">
        <v>1</v>
      </c>
      <c r="AFL2" s="3">
        <v>1</v>
      </c>
      <c r="AFM2" s="3">
        <v>1</v>
      </c>
      <c r="AFN2" s="3">
        <v>1</v>
      </c>
      <c r="AFO2" s="3">
        <v>1</v>
      </c>
      <c r="AFP2" s="3">
        <v>1</v>
      </c>
      <c r="AFQ2" s="3">
        <v>1</v>
      </c>
      <c r="AFR2" s="3">
        <v>1</v>
      </c>
      <c r="AFS2" s="3">
        <v>1</v>
      </c>
      <c r="AFT2" s="3">
        <v>1</v>
      </c>
      <c r="AFU2" s="3">
        <v>1</v>
      </c>
      <c r="AFV2" s="3">
        <v>1</v>
      </c>
      <c r="AFW2" s="3">
        <v>1</v>
      </c>
      <c r="AFX2" s="3">
        <v>1</v>
      </c>
      <c r="AFY2" s="3">
        <v>1</v>
      </c>
      <c r="AFZ2" s="3">
        <v>1</v>
      </c>
      <c r="AGA2" s="3">
        <v>1</v>
      </c>
      <c r="AGB2" s="3">
        <v>1</v>
      </c>
      <c r="AGC2" s="3">
        <v>1</v>
      </c>
      <c r="AGD2" s="3">
        <v>1</v>
      </c>
      <c r="AGE2" s="3">
        <v>1</v>
      </c>
      <c r="AGF2" s="3">
        <v>1</v>
      </c>
      <c r="AGG2" s="3">
        <v>1</v>
      </c>
      <c r="AGH2" s="3">
        <v>1</v>
      </c>
      <c r="AGI2" s="3">
        <v>1</v>
      </c>
      <c r="AGJ2" s="3">
        <v>1</v>
      </c>
      <c r="AGK2" s="3">
        <v>1</v>
      </c>
      <c r="AGL2" s="3">
        <v>1</v>
      </c>
      <c r="AGM2" s="3">
        <v>1</v>
      </c>
      <c r="AGN2" s="3">
        <v>1</v>
      </c>
      <c r="AGO2" s="3">
        <v>1</v>
      </c>
      <c r="AGP2" s="3">
        <v>1</v>
      </c>
      <c r="AGQ2" s="3">
        <v>1</v>
      </c>
      <c r="AGR2" s="3">
        <v>1</v>
      </c>
      <c r="AGS2" s="3">
        <v>1</v>
      </c>
      <c r="AGT2" s="3">
        <v>1</v>
      </c>
      <c r="AGU2" s="3">
        <v>1</v>
      </c>
      <c r="AGV2" s="3">
        <v>1</v>
      </c>
      <c r="AGW2" s="3">
        <v>1</v>
      </c>
      <c r="AGX2" s="3">
        <v>1</v>
      </c>
      <c r="AGY2" s="3">
        <v>1</v>
      </c>
      <c r="AGZ2" s="3">
        <v>1</v>
      </c>
      <c r="AHA2" s="3">
        <v>1</v>
      </c>
      <c r="AHB2" s="3">
        <v>1</v>
      </c>
      <c r="AHC2" s="3">
        <v>1</v>
      </c>
      <c r="AHD2" s="3">
        <v>1</v>
      </c>
      <c r="AHE2" s="3">
        <v>1</v>
      </c>
      <c r="AHF2" s="3">
        <v>1</v>
      </c>
      <c r="AHG2" s="3">
        <v>1</v>
      </c>
      <c r="AHH2" s="3">
        <v>1</v>
      </c>
      <c r="AHI2" s="3">
        <v>1</v>
      </c>
      <c r="AHJ2" s="3">
        <v>1</v>
      </c>
      <c r="AHK2" s="3">
        <v>1</v>
      </c>
      <c r="AHL2" s="3">
        <v>1</v>
      </c>
      <c r="AHM2" s="3">
        <v>1</v>
      </c>
      <c r="AHN2" s="3">
        <v>1</v>
      </c>
      <c r="AHO2" s="3">
        <v>1</v>
      </c>
      <c r="AHP2" s="3">
        <v>1</v>
      </c>
      <c r="AHQ2" s="3">
        <v>1</v>
      </c>
      <c r="AHR2" s="3">
        <v>1</v>
      </c>
      <c r="AHS2" s="3">
        <v>1</v>
      </c>
      <c r="AHT2" s="3">
        <v>1</v>
      </c>
      <c r="AHU2" s="3">
        <v>1</v>
      </c>
      <c r="AHV2" s="3">
        <v>1</v>
      </c>
      <c r="AHW2" s="3">
        <v>1</v>
      </c>
      <c r="AHX2" s="3">
        <v>1</v>
      </c>
      <c r="AHY2" s="3">
        <v>1</v>
      </c>
      <c r="AHZ2" s="3">
        <v>1</v>
      </c>
      <c r="AIA2" s="3">
        <v>1</v>
      </c>
      <c r="AIB2" s="3">
        <v>1</v>
      </c>
      <c r="AIC2" s="3">
        <v>1</v>
      </c>
      <c r="AID2" s="3">
        <v>1</v>
      </c>
      <c r="AIE2" s="3">
        <v>1</v>
      </c>
      <c r="AIF2" s="3">
        <v>1</v>
      </c>
      <c r="AIG2" s="3">
        <v>1</v>
      </c>
      <c r="AIH2" s="3">
        <v>1</v>
      </c>
      <c r="AII2" s="3">
        <v>1</v>
      </c>
      <c r="AIJ2" s="3">
        <v>1</v>
      </c>
      <c r="AIK2" s="3">
        <v>1</v>
      </c>
      <c r="AIL2" s="3">
        <v>1</v>
      </c>
      <c r="AIM2" s="3">
        <v>1</v>
      </c>
      <c r="AIN2" s="3">
        <v>1</v>
      </c>
      <c r="AIO2" s="3">
        <v>1</v>
      </c>
      <c r="AIP2" s="3">
        <v>1</v>
      </c>
      <c r="AIQ2" s="3">
        <v>1</v>
      </c>
      <c r="AIR2" s="3">
        <v>1</v>
      </c>
      <c r="AIS2" s="3">
        <v>1</v>
      </c>
      <c r="AIT2" s="3">
        <v>1</v>
      </c>
      <c r="AIU2" s="3">
        <v>1</v>
      </c>
      <c r="AIV2" s="3">
        <v>1</v>
      </c>
      <c r="AIW2" s="3">
        <v>1</v>
      </c>
      <c r="AIX2" s="3">
        <v>1</v>
      </c>
      <c r="AIY2" s="3">
        <v>1</v>
      </c>
      <c r="AIZ2" s="3">
        <v>1</v>
      </c>
      <c r="AJA2" s="3">
        <v>1</v>
      </c>
      <c r="AJB2" s="3">
        <v>1</v>
      </c>
      <c r="AJC2" s="3">
        <v>1</v>
      </c>
      <c r="AJD2" s="3">
        <v>1</v>
      </c>
      <c r="AJE2" s="3">
        <v>1</v>
      </c>
      <c r="AJF2" s="3">
        <v>1</v>
      </c>
      <c r="AJG2" s="3">
        <v>1</v>
      </c>
      <c r="AJH2" s="3">
        <v>1</v>
      </c>
      <c r="AJI2" s="3">
        <v>1</v>
      </c>
      <c r="AJJ2" s="3">
        <v>1</v>
      </c>
      <c r="AJK2" s="3">
        <v>1</v>
      </c>
      <c r="AJL2" s="3">
        <v>1</v>
      </c>
      <c r="AJM2" s="3">
        <v>1</v>
      </c>
      <c r="AJN2" s="3">
        <v>1</v>
      </c>
      <c r="AJO2" s="3">
        <v>1</v>
      </c>
      <c r="AJP2" s="3">
        <v>1</v>
      </c>
      <c r="AJQ2" s="3">
        <v>1</v>
      </c>
      <c r="AJR2" s="3">
        <v>1</v>
      </c>
      <c r="AJS2" s="3">
        <v>1</v>
      </c>
      <c r="AJT2" s="3">
        <v>1</v>
      </c>
      <c r="AJU2" s="3">
        <v>1</v>
      </c>
      <c r="AJV2" s="3">
        <v>1</v>
      </c>
      <c r="AJW2" s="3">
        <v>1</v>
      </c>
      <c r="AJX2" s="3">
        <v>1</v>
      </c>
      <c r="AJY2" s="3">
        <v>1</v>
      </c>
      <c r="AJZ2" s="3">
        <v>1</v>
      </c>
      <c r="AKA2" s="3">
        <v>1</v>
      </c>
      <c r="AKB2" s="3">
        <v>1</v>
      </c>
      <c r="AKC2" s="3">
        <v>1</v>
      </c>
      <c r="AKD2" s="3">
        <v>1</v>
      </c>
      <c r="AKE2" s="3">
        <v>1</v>
      </c>
      <c r="AKF2" s="3">
        <v>1</v>
      </c>
      <c r="AKG2" s="3">
        <v>1</v>
      </c>
      <c r="AKH2" s="3">
        <v>1</v>
      </c>
      <c r="AKI2" s="3">
        <v>1</v>
      </c>
      <c r="AKJ2" s="3">
        <v>1</v>
      </c>
      <c r="AKK2" s="3">
        <v>1</v>
      </c>
      <c r="AKL2" s="3">
        <v>1</v>
      </c>
      <c r="AKM2" s="3">
        <v>1</v>
      </c>
      <c r="AKN2" s="3">
        <v>1</v>
      </c>
      <c r="AKO2" s="3">
        <v>1</v>
      </c>
      <c r="AKP2" s="3">
        <v>1</v>
      </c>
      <c r="AKQ2" s="3">
        <v>1</v>
      </c>
      <c r="AKR2" s="3">
        <v>1</v>
      </c>
      <c r="AKS2" s="3">
        <v>1</v>
      </c>
      <c r="AKT2" s="3">
        <v>1</v>
      </c>
      <c r="AKU2" s="3">
        <v>1</v>
      </c>
      <c r="AKV2" s="3">
        <v>1</v>
      </c>
      <c r="AKW2" s="3">
        <v>1</v>
      </c>
      <c r="AKX2" s="3">
        <v>1</v>
      </c>
      <c r="AKY2" s="3">
        <v>1</v>
      </c>
      <c r="AKZ2" s="3">
        <v>1</v>
      </c>
      <c r="ALA2" s="3">
        <v>1</v>
      </c>
      <c r="ALB2" s="3">
        <v>1</v>
      </c>
      <c r="ALC2" s="3">
        <v>1</v>
      </c>
      <c r="ALD2" s="3">
        <v>1</v>
      </c>
      <c r="ALE2" s="3">
        <v>1</v>
      </c>
      <c r="ALF2" s="3">
        <v>1</v>
      </c>
      <c r="ALG2" s="3">
        <v>1</v>
      </c>
      <c r="ALH2" s="3">
        <v>1</v>
      </c>
      <c r="ALI2" s="3">
        <v>1</v>
      </c>
      <c r="ALJ2" s="3">
        <v>1</v>
      </c>
      <c r="ALK2" s="3">
        <v>1</v>
      </c>
      <c r="ALL2" s="3">
        <v>1</v>
      </c>
      <c r="ALM2" s="3">
        <v>1</v>
      </c>
      <c r="ALN2" s="3">
        <v>1</v>
      </c>
      <c r="ALO2" s="3">
        <v>1</v>
      </c>
      <c r="ALP2" s="3">
        <v>1</v>
      </c>
      <c r="ALQ2" s="3">
        <v>1</v>
      </c>
      <c r="ALR2" s="3">
        <v>1</v>
      </c>
      <c r="ALS2" s="3">
        <v>1</v>
      </c>
      <c r="ALT2" s="3">
        <v>1</v>
      </c>
      <c r="ALU2" s="3">
        <v>1</v>
      </c>
      <c r="ALV2" s="3">
        <v>1</v>
      </c>
      <c r="ALW2" s="3">
        <v>1</v>
      </c>
      <c r="ALX2" s="3">
        <v>1</v>
      </c>
      <c r="ALY2" s="3">
        <v>1</v>
      </c>
      <c r="ALZ2" s="3">
        <v>1</v>
      </c>
      <c r="AMA2" s="3">
        <v>1</v>
      </c>
      <c r="AMB2" s="3">
        <v>1</v>
      </c>
      <c r="AMC2" s="3">
        <v>1</v>
      </c>
      <c r="AMD2" s="3">
        <v>1</v>
      </c>
      <c r="AME2" s="3">
        <v>1</v>
      </c>
      <c r="AMF2" s="3">
        <v>1</v>
      </c>
      <c r="AMG2" s="3">
        <v>1</v>
      </c>
      <c r="AMH2" s="3">
        <v>1</v>
      </c>
      <c r="AMI2" s="3">
        <v>1</v>
      </c>
      <c r="AMJ2" s="3">
        <v>1</v>
      </c>
      <c r="AMK2" s="3">
        <v>1</v>
      </c>
      <c r="AML2" s="3">
        <v>1</v>
      </c>
      <c r="AMM2" s="3">
        <v>1</v>
      </c>
      <c r="AMN2" s="3">
        <v>1</v>
      </c>
      <c r="AMO2" s="3">
        <v>1</v>
      </c>
      <c r="AMP2" s="3">
        <v>1</v>
      </c>
      <c r="AMQ2" s="3">
        <v>1</v>
      </c>
      <c r="AMR2" s="3">
        <v>1</v>
      </c>
      <c r="AMS2" s="3">
        <v>1</v>
      </c>
      <c r="AMT2" s="3">
        <v>1</v>
      </c>
      <c r="AMU2" s="3">
        <v>1</v>
      </c>
      <c r="AMV2" s="3">
        <v>1</v>
      </c>
      <c r="AMW2" s="3">
        <v>1</v>
      </c>
      <c r="AMX2" s="3">
        <v>1</v>
      </c>
      <c r="AMY2" s="3">
        <v>1</v>
      </c>
      <c r="AMZ2" s="3">
        <v>1</v>
      </c>
      <c r="ANA2" s="3">
        <v>1</v>
      </c>
      <c r="ANB2" s="3">
        <v>1</v>
      </c>
      <c r="ANC2" s="3">
        <v>1</v>
      </c>
      <c r="AND2" s="3">
        <v>1</v>
      </c>
      <c r="ANE2" s="3">
        <v>1</v>
      </c>
      <c r="ANF2" s="3">
        <v>1</v>
      </c>
      <c r="ANG2" s="3">
        <v>1</v>
      </c>
      <c r="ANH2" s="3">
        <v>1</v>
      </c>
      <c r="ANI2" s="3">
        <v>1</v>
      </c>
      <c r="ANJ2" s="3">
        <v>1</v>
      </c>
      <c r="ANK2" s="3">
        <v>1</v>
      </c>
      <c r="ANL2" s="3">
        <v>1</v>
      </c>
      <c r="ANM2" s="3">
        <v>1</v>
      </c>
      <c r="ANN2" s="3">
        <v>1</v>
      </c>
      <c r="ANO2" s="3">
        <v>1</v>
      </c>
      <c r="ANP2" s="3">
        <v>1</v>
      </c>
      <c r="ANQ2" s="3">
        <v>1</v>
      </c>
      <c r="ANR2" s="3">
        <v>1</v>
      </c>
      <c r="ANS2" s="3">
        <v>1</v>
      </c>
      <c r="ANT2" s="3">
        <v>1</v>
      </c>
      <c r="ANU2" s="3">
        <v>1</v>
      </c>
      <c r="ANV2" s="3">
        <v>1</v>
      </c>
      <c r="ANW2" s="3">
        <v>1</v>
      </c>
      <c r="ANX2" s="3">
        <v>1</v>
      </c>
      <c r="ANY2" s="3">
        <v>1</v>
      </c>
      <c r="ANZ2" s="3">
        <v>1</v>
      </c>
      <c r="AOA2" s="3">
        <v>1</v>
      </c>
      <c r="AOB2" s="3">
        <v>1</v>
      </c>
      <c r="AOC2" s="3">
        <v>1</v>
      </c>
      <c r="AOD2" s="3">
        <v>1</v>
      </c>
      <c r="AOE2" s="3">
        <v>1</v>
      </c>
      <c r="AOF2" s="3">
        <v>1</v>
      </c>
      <c r="AOG2" s="3">
        <v>1</v>
      </c>
      <c r="AOH2" s="3">
        <v>1</v>
      </c>
      <c r="AOI2" s="3">
        <v>1</v>
      </c>
      <c r="AOJ2" s="3">
        <v>1</v>
      </c>
      <c r="AOK2" s="3">
        <v>1</v>
      </c>
      <c r="AOL2" s="3">
        <v>1</v>
      </c>
      <c r="AOM2" s="3">
        <v>1</v>
      </c>
      <c r="AON2" s="3">
        <v>1</v>
      </c>
      <c r="AOO2" s="3">
        <v>1</v>
      </c>
      <c r="AOP2" s="3">
        <v>1</v>
      </c>
      <c r="AOQ2" s="3">
        <v>1</v>
      </c>
      <c r="AOR2" s="3">
        <v>1</v>
      </c>
      <c r="AOS2" s="3">
        <v>1</v>
      </c>
      <c r="AOT2" s="3">
        <v>1</v>
      </c>
      <c r="AOU2" s="3">
        <v>1</v>
      </c>
      <c r="AOV2" s="3">
        <v>1</v>
      </c>
      <c r="AOW2" s="3">
        <v>1</v>
      </c>
      <c r="AOX2" s="3">
        <v>1</v>
      </c>
      <c r="AOY2" s="3">
        <v>1</v>
      </c>
      <c r="AOZ2" s="3">
        <v>1</v>
      </c>
      <c r="APA2" s="3">
        <v>1</v>
      </c>
      <c r="APB2" s="3">
        <v>1</v>
      </c>
      <c r="APC2" s="3">
        <v>1</v>
      </c>
      <c r="APD2" s="3">
        <v>1</v>
      </c>
      <c r="APE2" s="3">
        <v>1</v>
      </c>
      <c r="APF2" s="3">
        <v>1</v>
      </c>
      <c r="APG2" s="3">
        <v>1</v>
      </c>
      <c r="APH2" s="3">
        <v>1</v>
      </c>
      <c r="API2" s="3">
        <v>1</v>
      </c>
      <c r="APJ2" s="3">
        <v>1</v>
      </c>
      <c r="APK2" s="3">
        <v>1</v>
      </c>
      <c r="APL2" s="3">
        <v>1</v>
      </c>
      <c r="APM2" s="3">
        <v>1</v>
      </c>
      <c r="APN2" s="3">
        <v>1</v>
      </c>
      <c r="APO2" s="3">
        <v>1</v>
      </c>
      <c r="APP2" s="3">
        <v>1</v>
      </c>
      <c r="APQ2" s="3">
        <v>1</v>
      </c>
      <c r="APR2" s="3">
        <v>1</v>
      </c>
      <c r="APS2" s="3">
        <v>1</v>
      </c>
      <c r="APT2" s="3">
        <v>1</v>
      </c>
      <c r="APU2" s="3">
        <v>1</v>
      </c>
      <c r="APV2" s="3">
        <v>1</v>
      </c>
      <c r="APW2" s="3">
        <v>1</v>
      </c>
      <c r="APX2" s="3">
        <v>1</v>
      </c>
      <c r="APY2" s="3">
        <v>1</v>
      </c>
      <c r="APZ2" s="3">
        <v>1</v>
      </c>
      <c r="AQA2" s="3">
        <v>1</v>
      </c>
      <c r="AQB2" s="3">
        <v>1</v>
      </c>
      <c r="AQC2" s="3">
        <v>1</v>
      </c>
      <c r="AQD2" s="3">
        <v>1</v>
      </c>
      <c r="AQE2" s="3">
        <v>1</v>
      </c>
      <c r="AQF2" s="3">
        <v>1</v>
      </c>
      <c r="AQG2" s="3">
        <v>1</v>
      </c>
      <c r="AQH2" s="3">
        <v>1</v>
      </c>
      <c r="AQI2" s="3">
        <v>1</v>
      </c>
      <c r="AQJ2" s="3">
        <v>1</v>
      </c>
      <c r="AQK2" s="3">
        <v>1</v>
      </c>
      <c r="AQL2" s="3">
        <v>1</v>
      </c>
      <c r="AQM2" s="3">
        <v>1</v>
      </c>
      <c r="AQN2" s="3">
        <v>1</v>
      </c>
      <c r="AQO2" s="3">
        <v>1</v>
      </c>
      <c r="AQP2" s="3">
        <v>1</v>
      </c>
      <c r="AQQ2" s="3">
        <v>1</v>
      </c>
      <c r="AQR2" s="3">
        <v>1</v>
      </c>
      <c r="AQS2" s="3">
        <v>1</v>
      </c>
      <c r="AQT2" s="3">
        <v>1</v>
      </c>
      <c r="AQU2" s="3">
        <v>1</v>
      </c>
      <c r="AQV2" s="3">
        <v>1</v>
      </c>
      <c r="AQW2" s="3">
        <v>1</v>
      </c>
      <c r="AQX2" s="3">
        <v>1</v>
      </c>
      <c r="AQY2" s="3">
        <v>1</v>
      </c>
      <c r="AQZ2" s="3">
        <v>1</v>
      </c>
      <c r="ARA2" s="3">
        <v>1</v>
      </c>
      <c r="ARB2" s="3">
        <v>1</v>
      </c>
      <c r="ARC2" s="3">
        <v>1</v>
      </c>
      <c r="ARD2" s="3">
        <v>1</v>
      </c>
      <c r="ARE2" s="3">
        <v>1</v>
      </c>
      <c r="ARF2" s="3">
        <v>1</v>
      </c>
      <c r="ARG2" s="3">
        <v>1</v>
      </c>
      <c r="ARH2" s="3">
        <v>1</v>
      </c>
      <c r="ARI2" s="3">
        <v>1</v>
      </c>
      <c r="ARJ2" s="3">
        <v>1</v>
      </c>
      <c r="ARK2" s="3">
        <v>1</v>
      </c>
      <c r="ARL2" s="3">
        <v>1</v>
      </c>
      <c r="ARM2" s="3">
        <v>1</v>
      </c>
      <c r="ARN2" s="3">
        <v>1</v>
      </c>
      <c r="ARO2" s="3">
        <v>1</v>
      </c>
      <c r="ARP2" s="3">
        <v>1</v>
      </c>
      <c r="ARQ2" s="3">
        <v>1</v>
      </c>
      <c r="ARR2" s="3">
        <v>1</v>
      </c>
      <c r="ARS2" s="3">
        <v>1</v>
      </c>
      <c r="ART2" s="3">
        <v>1</v>
      </c>
      <c r="ARU2" s="3">
        <v>1</v>
      </c>
      <c r="ARV2" s="3">
        <v>1</v>
      </c>
      <c r="ARW2" s="3">
        <v>1</v>
      </c>
      <c r="ARX2" s="3">
        <v>1</v>
      </c>
      <c r="ARY2" s="3">
        <v>1</v>
      </c>
      <c r="ARZ2" s="3">
        <v>1</v>
      </c>
      <c r="ASA2" s="3">
        <v>1</v>
      </c>
      <c r="ASB2" s="3">
        <v>1</v>
      </c>
      <c r="ASC2" s="3">
        <v>1</v>
      </c>
      <c r="ASD2" s="3">
        <v>1</v>
      </c>
      <c r="ASE2" s="3">
        <v>1</v>
      </c>
      <c r="ASF2" s="3">
        <v>1</v>
      </c>
      <c r="ASG2" s="3">
        <v>1</v>
      </c>
      <c r="ASH2" s="3">
        <v>1</v>
      </c>
      <c r="ASI2" s="3">
        <v>1</v>
      </c>
      <c r="ASJ2" s="3">
        <v>1</v>
      </c>
      <c r="ASK2" s="3">
        <v>1</v>
      </c>
      <c r="ASL2" s="3">
        <v>1</v>
      </c>
      <c r="ASM2" s="3">
        <v>1</v>
      </c>
      <c r="ASN2" s="3">
        <v>1</v>
      </c>
      <c r="ASO2" s="3">
        <v>1</v>
      </c>
      <c r="ASP2" s="3">
        <v>1</v>
      </c>
      <c r="ASQ2" s="3">
        <v>1</v>
      </c>
      <c r="ASR2" s="3">
        <v>1</v>
      </c>
      <c r="ASS2" s="3">
        <v>1</v>
      </c>
      <c r="AST2" s="3">
        <v>1</v>
      </c>
      <c r="ASU2" s="3">
        <v>1</v>
      </c>
      <c r="ASV2" s="3">
        <v>1</v>
      </c>
      <c r="ASW2" s="3">
        <v>1</v>
      </c>
      <c r="ASX2" s="3">
        <v>1</v>
      </c>
      <c r="ASY2" s="3">
        <v>1</v>
      </c>
      <c r="ASZ2" s="3">
        <v>1</v>
      </c>
      <c r="ATA2" s="3">
        <v>1</v>
      </c>
      <c r="ATB2" s="3">
        <v>1</v>
      </c>
      <c r="ATC2" s="3">
        <v>1</v>
      </c>
      <c r="ATD2" s="3">
        <v>1</v>
      </c>
      <c r="ATE2" s="3">
        <v>1</v>
      </c>
      <c r="ATF2" s="3">
        <v>1</v>
      </c>
      <c r="ATG2" s="3">
        <v>1</v>
      </c>
      <c r="ATH2" s="3">
        <v>1</v>
      </c>
      <c r="ATI2" s="3">
        <v>1</v>
      </c>
      <c r="ATJ2" s="3">
        <v>1</v>
      </c>
      <c r="ATK2" s="3">
        <v>1</v>
      </c>
      <c r="ATL2" s="3">
        <v>1</v>
      </c>
      <c r="ATM2" s="3">
        <v>1</v>
      </c>
      <c r="ATN2" s="3">
        <v>1</v>
      </c>
      <c r="ATO2" s="3">
        <v>1</v>
      </c>
      <c r="ATP2" s="3">
        <v>1</v>
      </c>
      <c r="ATQ2" s="3">
        <v>1</v>
      </c>
      <c r="ATR2" s="3">
        <v>1</v>
      </c>
      <c r="ATS2" s="3">
        <v>1</v>
      </c>
      <c r="ATT2" s="3">
        <v>1</v>
      </c>
      <c r="ATU2" s="3">
        <v>1</v>
      </c>
      <c r="ATV2" s="3">
        <v>1</v>
      </c>
      <c r="ATW2" s="3">
        <v>1</v>
      </c>
      <c r="ATX2" s="3">
        <v>1</v>
      </c>
      <c r="ATY2" s="3">
        <v>1</v>
      </c>
      <c r="ATZ2" s="3">
        <v>1</v>
      </c>
      <c r="AUA2" s="3">
        <v>1</v>
      </c>
      <c r="AUB2" s="3">
        <v>1</v>
      </c>
      <c r="AUC2" s="3">
        <v>1</v>
      </c>
      <c r="AUD2" s="3">
        <v>1</v>
      </c>
      <c r="AUE2" s="3">
        <v>1</v>
      </c>
      <c r="AUF2" s="3">
        <v>1</v>
      </c>
      <c r="AUG2" s="3">
        <v>1</v>
      </c>
      <c r="AUH2" s="3">
        <v>1</v>
      </c>
      <c r="AUI2" s="3">
        <v>1</v>
      </c>
      <c r="AUJ2" s="3">
        <v>1</v>
      </c>
      <c r="AUK2" s="3">
        <v>1</v>
      </c>
      <c r="AUL2" s="3">
        <v>1</v>
      </c>
      <c r="AUM2" s="3">
        <v>1</v>
      </c>
      <c r="AUN2" s="3">
        <v>1</v>
      </c>
      <c r="AUO2" s="3">
        <v>1</v>
      </c>
      <c r="AUP2" s="3">
        <v>1</v>
      </c>
      <c r="AUQ2" s="3">
        <v>1</v>
      </c>
      <c r="AUR2" s="3">
        <v>1</v>
      </c>
      <c r="AUS2" s="3">
        <v>1</v>
      </c>
      <c r="AUT2" s="3">
        <v>1</v>
      </c>
      <c r="AUU2" s="3">
        <v>1</v>
      </c>
      <c r="AUV2" s="3">
        <v>1</v>
      </c>
      <c r="AUW2" s="3">
        <v>1</v>
      </c>
      <c r="AUX2" s="3">
        <v>1</v>
      </c>
      <c r="AUY2" s="3">
        <v>1</v>
      </c>
      <c r="AUZ2" s="3">
        <v>1</v>
      </c>
      <c r="AVA2" s="3">
        <v>1</v>
      </c>
      <c r="AVB2" s="3">
        <v>1</v>
      </c>
      <c r="AVC2" s="3">
        <v>1</v>
      </c>
      <c r="AVD2" s="3">
        <v>1</v>
      </c>
      <c r="AVE2" s="3">
        <v>1</v>
      </c>
      <c r="AVF2" s="3">
        <v>1</v>
      </c>
      <c r="AVG2" s="3">
        <v>1</v>
      </c>
      <c r="AVH2" s="3">
        <v>1</v>
      </c>
      <c r="AVI2" s="3">
        <v>1</v>
      </c>
      <c r="AVJ2" s="3">
        <v>1</v>
      </c>
      <c r="AVK2" s="3">
        <v>1</v>
      </c>
      <c r="AVL2" s="3">
        <v>1</v>
      </c>
      <c r="AVM2" s="3">
        <v>1</v>
      </c>
      <c r="AVN2" s="3">
        <v>1</v>
      </c>
      <c r="AVO2" s="3">
        <v>1</v>
      </c>
      <c r="AVP2" s="3">
        <v>1</v>
      </c>
      <c r="AVQ2" s="3">
        <v>1</v>
      </c>
      <c r="AVR2" s="3">
        <v>1</v>
      </c>
      <c r="AVS2" s="3">
        <v>1</v>
      </c>
      <c r="AVT2" s="3">
        <v>1</v>
      </c>
      <c r="AVU2" s="3">
        <v>1</v>
      </c>
      <c r="AVV2" s="3">
        <v>1</v>
      </c>
      <c r="AVW2" s="3">
        <v>1</v>
      </c>
      <c r="AVX2" s="3">
        <v>1</v>
      </c>
      <c r="AVY2" s="3">
        <v>1</v>
      </c>
      <c r="AVZ2" s="3">
        <v>1</v>
      </c>
      <c r="AWA2" s="3">
        <v>1</v>
      </c>
      <c r="AWB2" s="3">
        <v>1</v>
      </c>
      <c r="AWC2" s="3">
        <v>1</v>
      </c>
      <c r="AWD2" s="3">
        <v>1</v>
      </c>
      <c r="AWE2" s="3">
        <v>1</v>
      </c>
      <c r="AWF2" s="3">
        <v>1</v>
      </c>
      <c r="AWG2" s="3">
        <v>1</v>
      </c>
      <c r="AWH2" s="3">
        <v>1</v>
      </c>
      <c r="AWI2" s="3">
        <v>1</v>
      </c>
      <c r="AWJ2" s="3">
        <v>1</v>
      </c>
      <c r="AWK2" s="3">
        <v>1</v>
      </c>
      <c r="AWL2" s="3">
        <v>1</v>
      </c>
      <c r="AWM2" s="3">
        <v>1</v>
      </c>
      <c r="AWN2" s="3">
        <v>1</v>
      </c>
      <c r="AWO2" s="3">
        <v>1</v>
      </c>
      <c r="AWP2" s="3">
        <v>1</v>
      </c>
      <c r="AWQ2" s="3">
        <v>1</v>
      </c>
      <c r="AWR2" s="3">
        <v>1</v>
      </c>
      <c r="AWS2" s="3">
        <v>1</v>
      </c>
      <c r="AWT2" s="3">
        <v>1</v>
      </c>
      <c r="AWU2" s="3">
        <v>1</v>
      </c>
      <c r="AWV2" s="3">
        <v>1</v>
      </c>
      <c r="AWW2" s="3">
        <v>1</v>
      </c>
      <c r="AWX2" s="3">
        <v>1</v>
      </c>
      <c r="AWY2" s="3">
        <v>1</v>
      </c>
      <c r="AWZ2" s="3">
        <v>1</v>
      </c>
      <c r="AXA2" s="3">
        <v>1</v>
      </c>
      <c r="AXB2" s="3">
        <v>1</v>
      </c>
      <c r="AXC2" s="3">
        <v>1</v>
      </c>
      <c r="AXD2" s="3">
        <v>1</v>
      </c>
      <c r="AXE2" s="3">
        <v>1</v>
      </c>
      <c r="AXF2" s="3">
        <v>1</v>
      </c>
      <c r="AXG2" s="3">
        <v>1</v>
      </c>
      <c r="AXH2" s="3">
        <v>1</v>
      </c>
      <c r="AXI2" s="3">
        <v>1</v>
      </c>
      <c r="AXJ2" s="3">
        <v>1</v>
      </c>
      <c r="AXK2" s="3">
        <v>1</v>
      </c>
      <c r="AXL2" s="3">
        <v>1</v>
      </c>
      <c r="AXM2" s="3">
        <v>1</v>
      </c>
      <c r="AXN2" s="3">
        <v>1</v>
      </c>
      <c r="AXO2" s="3">
        <v>1</v>
      </c>
      <c r="AXP2" s="3">
        <v>1</v>
      </c>
      <c r="AXQ2" s="3">
        <v>1</v>
      </c>
      <c r="AXR2" s="3">
        <v>1</v>
      </c>
      <c r="AXS2" s="3">
        <v>1</v>
      </c>
      <c r="AXT2" s="3">
        <v>1</v>
      </c>
      <c r="AXU2" s="3">
        <v>1</v>
      </c>
      <c r="AXV2" s="3">
        <v>1</v>
      </c>
      <c r="AXW2" s="3">
        <v>1</v>
      </c>
      <c r="AXX2" s="3">
        <v>1</v>
      </c>
      <c r="AXY2" s="3">
        <v>1</v>
      </c>
      <c r="AXZ2" s="3">
        <v>1</v>
      </c>
      <c r="AYA2" s="3">
        <v>1</v>
      </c>
      <c r="AYB2" s="3">
        <v>1</v>
      </c>
      <c r="AYC2" s="3">
        <v>1</v>
      </c>
      <c r="AYD2" s="3">
        <v>1</v>
      </c>
      <c r="AYE2" s="3">
        <v>1</v>
      </c>
      <c r="AYF2" s="3">
        <v>1</v>
      </c>
      <c r="AYG2" s="3">
        <v>1</v>
      </c>
      <c r="AYH2" s="3">
        <v>1</v>
      </c>
      <c r="AYI2" s="3">
        <v>1</v>
      </c>
      <c r="AYJ2" s="3">
        <v>1</v>
      </c>
      <c r="AYK2" s="3">
        <v>1</v>
      </c>
      <c r="AYL2" s="3">
        <v>1</v>
      </c>
      <c r="AYM2" s="3">
        <v>1</v>
      </c>
      <c r="AYN2" s="3">
        <v>1</v>
      </c>
      <c r="AYO2" s="3">
        <v>1</v>
      </c>
      <c r="AYP2" s="3">
        <v>1</v>
      </c>
      <c r="AYQ2" s="3">
        <v>1</v>
      </c>
      <c r="AYR2" s="3">
        <v>1</v>
      </c>
      <c r="AYS2" s="3">
        <v>1</v>
      </c>
      <c r="AYT2" s="3">
        <v>1</v>
      </c>
      <c r="AYU2" s="3">
        <v>1</v>
      </c>
      <c r="AYV2" s="3">
        <v>1</v>
      </c>
      <c r="AYW2" s="3">
        <v>1</v>
      </c>
      <c r="AYX2" s="3">
        <v>1</v>
      </c>
      <c r="AYY2" s="3">
        <v>1</v>
      </c>
      <c r="AYZ2" s="3">
        <v>1</v>
      </c>
      <c r="AZA2" s="3">
        <v>1</v>
      </c>
      <c r="AZB2" s="3">
        <v>1</v>
      </c>
      <c r="AZC2" s="3">
        <v>1</v>
      </c>
      <c r="AZD2" s="3">
        <v>1</v>
      </c>
      <c r="AZE2" s="3">
        <v>1</v>
      </c>
      <c r="AZF2" s="3">
        <v>1</v>
      </c>
      <c r="AZG2" s="3">
        <v>1</v>
      </c>
      <c r="AZH2" s="3">
        <v>1</v>
      </c>
      <c r="AZI2" s="3">
        <v>1</v>
      </c>
      <c r="AZJ2" s="3">
        <v>1</v>
      </c>
      <c r="AZK2" s="3">
        <v>1</v>
      </c>
      <c r="AZL2" s="3">
        <v>1</v>
      </c>
      <c r="AZM2" s="3">
        <v>1</v>
      </c>
      <c r="AZN2" s="3">
        <v>1</v>
      </c>
      <c r="AZO2" s="3">
        <v>1</v>
      </c>
      <c r="AZP2" s="3">
        <v>1</v>
      </c>
      <c r="AZQ2" s="3">
        <v>1</v>
      </c>
      <c r="AZR2" s="3">
        <v>1</v>
      </c>
      <c r="AZS2" s="3">
        <v>1</v>
      </c>
      <c r="AZT2" s="3">
        <v>1</v>
      </c>
      <c r="AZU2" s="3">
        <v>1</v>
      </c>
      <c r="AZV2" s="3">
        <v>1</v>
      </c>
      <c r="AZW2" s="3">
        <v>1</v>
      </c>
      <c r="AZX2" s="3">
        <v>1</v>
      </c>
      <c r="AZY2" s="3">
        <v>1</v>
      </c>
      <c r="AZZ2" s="3">
        <v>1</v>
      </c>
      <c r="BAA2" s="3">
        <v>1</v>
      </c>
      <c r="BAB2" s="3">
        <v>1</v>
      </c>
      <c r="BAC2" s="3">
        <v>1</v>
      </c>
      <c r="BAD2" s="3">
        <v>1</v>
      </c>
      <c r="BAE2" s="3">
        <v>1</v>
      </c>
      <c r="BAF2" s="3">
        <v>1</v>
      </c>
      <c r="BAG2" s="3">
        <v>1</v>
      </c>
      <c r="BAH2" s="3">
        <v>1</v>
      </c>
      <c r="BAI2" s="3">
        <v>1</v>
      </c>
      <c r="BAJ2" s="3">
        <v>1</v>
      </c>
      <c r="BAK2" s="3">
        <v>1</v>
      </c>
      <c r="BAL2" s="3">
        <v>1</v>
      </c>
      <c r="BAM2" s="3">
        <v>1</v>
      </c>
      <c r="BAN2" s="3">
        <v>1</v>
      </c>
      <c r="BAO2" s="3">
        <v>1</v>
      </c>
      <c r="BAP2" s="3">
        <v>1</v>
      </c>
      <c r="BAQ2" s="3">
        <v>1</v>
      </c>
      <c r="BAR2" s="3">
        <v>1</v>
      </c>
      <c r="BAS2" s="3">
        <v>1</v>
      </c>
      <c r="BAT2" s="3">
        <v>1</v>
      </c>
      <c r="BAU2" s="3">
        <v>1</v>
      </c>
      <c r="BAV2" s="3">
        <v>1</v>
      </c>
      <c r="BAW2" s="3">
        <v>1</v>
      </c>
      <c r="BAX2" s="3">
        <v>1</v>
      </c>
      <c r="BAY2" s="3">
        <v>1</v>
      </c>
      <c r="BAZ2" s="3">
        <v>1</v>
      </c>
      <c r="BBA2" s="3">
        <v>1</v>
      </c>
      <c r="BBB2" s="3">
        <v>1</v>
      </c>
      <c r="BBC2" s="3">
        <v>1</v>
      </c>
      <c r="BBD2" s="3">
        <v>1</v>
      </c>
      <c r="BBE2" s="3">
        <v>1</v>
      </c>
      <c r="BBF2" s="3">
        <v>1</v>
      </c>
      <c r="BBG2" s="3">
        <v>1</v>
      </c>
      <c r="BBH2" s="3">
        <v>1</v>
      </c>
      <c r="BBI2" s="3">
        <v>1</v>
      </c>
      <c r="BBJ2" s="3">
        <v>1</v>
      </c>
      <c r="BBK2" s="3">
        <v>1</v>
      </c>
      <c r="BBL2" s="3">
        <v>1</v>
      </c>
      <c r="BBM2" s="3">
        <v>1</v>
      </c>
      <c r="BBN2" s="3">
        <v>1</v>
      </c>
      <c r="BBO2" s="3">
        <v>1</v>
      </c>
      <c r="BBP2" s="3">
        <v>1</v>
      </c>
      <c r="BBQ2" s="3">
        <v>1</v>
      </c>
      <c r="BBR2" s="3">
        <v>1</v>
      </c>
      <c r="BBS2" s="3">
        <v>1</v>
      </c>
      <c r="BBT2" s="3">
        <v>1</v>
      </c>
      <c r="BBU2" s="3">
        <v>1</v>
      </c>
      <c r="BBV2" s="3">
        <v>1</v>
      </c>
      <c r="BBW2" s="3">
        <v>1</v>
      </c>
      <c r="BBX2" s="3">
        <v>1</v>
      </c>
      <c r="BBY2" s="3">
        <v>1</v>
      </c>
      <c r="BBZ2" s="3">
        <v>1</v>
      </c>
      <c r="BCA2" s="3">
        <v>1</v>
      </c>
      <c r="BCB2" s="3">
        <v>1</v>
      </c>
      <c r="BCC2" s="3">
        <v>1</v>
      </c>
      <c r="BCD2" s="3">
        <v>1</v>
      </c>
      <c r="BCE2" s="3">
        <v>1</v>
      </c>
      <c r="BCF2" s="3">
        <v>1</v>
      </c>
      <c r="BCG2" s="3">
        <v>1</v>
      </c>
      <c r="BCH2" s="3">
        <v>1</v>
      </c>
      <c r="BCI2" s="3">
        <v>1</v>
      </c>
      <c r="BCJ2" s="3">
        <v>1</v>
      </c>
      <c r="BCK2" s="3">
        <v>1</v>
      </c>
      <c r="BCL2" s="3">
        <v>1</v>
      </c>
      <c r="BCM2" s="3">
        <v>1</v>
      </c>
      <c r="BCN2" s="3">
        <v>1</v>
      </c>
      <c r="BCO2" s="3">
        <v>1</v>
      </c>
      <c r="BCP2" s="3">
        <v>1</v>
      </c>
      <c r="BCQ2" s="3">
        <v>1</v>
      </c>
      <c r="BCR2" s="3">
        <v>1</v>
      </c>
      <c r="BCS2" s="3">
        <v>1</v>
      </c>
      <c r="BCT2" s="3">
        <v>1</v>
      </c>
      <c r="BCU2" s="3">
        <v>1</v>
      </c>
      <c r="BCV2" s="3">
        <v>1</v>
      </c>
      <c r="BCW2" s="3">
        <v>1</v>
      </c>
      <c r="BCX2" s="3">
        <v>1</v>
      </c>
      <c r="BCY2" s="3">
        <v>1</v>
      </c>
      <c r="BCZ2" s="3">
        <v>1</v>
      </c>
      <c r="BDA2" s="3">
        <v>1</v>
      </c>
      <c r="BDB2" s="3">
        <v>1</v>
      </c>
      <c r="BDC2" s="3">
        <v>1</v>
      </c>
      <c r="BDD2" s="3">
        <v>1</v>
      </c>
      <c r="BDE2" s="3">
        <v>1</v>
      </c>
      <c r="BDF2" s="3">
        <v>1</v>
      </c>
      <c r="BDG2" s="3">
        <v>1</v>
      </c>
      <c r="BDH2" s="3">
        <v>1</v>
      </c>
      <c r="BDI2" s="3">
        <v>1</v>
      </c>
      <c r="BDJ2" s="3">
        <v>1</v>
      </c>
      <c r="BDK2" s="3">
        <v>1</v>
      </c>
      <c r="BDL2" s="3">
        <v>1</v>
      </c>
      <c r="BDM2" s="3">
        <v>1</v>
      </c>
      <c r="BDN2" s="3">
        <v>1</v>
      </c>
      <c r="BDO2" s="3">
        <v>1</v>
      </c>
      <c r="BDP2" s="3">
        <v>1</v>
      </c>
      <c r="BDQ2" s="3">
        <v>1</v>
      </c>
      <c r="BDR2" s="3">
        <v>1</v>
      </c>
      <c r="BDS2" s="3">
        <v>1</v>
      </c>
      <c r="BDT2" s="3">
        <v>1</v>
      </c>
      <c r="BDU2" s="3">
        <v>1</v>
      </c>
      <c r="BDV2" s="3">
        <v>1</v>
      </c>
      <c r="BDW2" s="3">
        <v>1</v>
      </c>
      <c r="BDX2" s="3">
        <v>1</v>
      </c>
      <c r="BDY2" s="3">
        <v>1</v>
      </c>
      <c r="BDZ2" s="3">
        <v>1</v>
      </c>
      <c r="BEA2" s="3">
        <v>1</v>
      </c>
      <c r="BEB2" s="3">
        <v>1</v>
      </c>
      <c r="BEC2" s="3">
        <v>1</v>
      </c>
      <c r="BED2" s="3">
        <v>1</v>
      </c>
      <c r="BEE2" s="3">
        <v>1</v>
      </c>
      <c r="BEF2" s="3">
        <v>1</v>
      </c>
      <c r="BEG2" s="3">
        <v>1</v>
      </c>
      <c r="BEH2" s="3">
        <v>1</v>
      </c>
      <c r="BEI2" s="3">
        <v>1</v>
      </c>
      <c r="BEJ2" s="3">
        <v>1</v>
      </c>
      <c r="BEK2" s="3">
        <v>1</v>
      </c>
      <c r="BEL2" s="3">
        <v>1</v>
      </c>
      <c r="BEM2" s="3">
        <v>1</v>
      </c>
      <c r="BEN2" s="3">
        <v>1</v>
      </c>
      <c r="BEO2" s="3">
        <v>1</v>
      </c>
      <c r="BEP2" s="3">
        <v>1</v>
      </c>
      <c r="BEQ2" s="3">
        <v>1</v>
      </c>
      <c r="BER2" s="3">
        <v>1</v>
      </c>
      <c r="BES2" s="3">
        <v>1</v>
      </c>
      <c r="BET2" s="3">
        <v>1</v>
      </c>
      <c r="BEU2" s="3">
        <v>1</v>
      </c>
      <c r="BEV2" s="3">
        <v>1</v>
      </c>
      <c r="BEW2" s="3">
        <v>1</v>
      </c>
      <c r="BEX2" s="3">
        <v>1</v>
      </c>
      <c r="BEY2" s="3">
        <v>1</v>
      </c>
      <c r="BEZ2" s="3">
        <v>1</v>
      </c>
      <c r="BFA2" s="3">
        <v>1</v>
      </c>
      <c r="BFB2" s="3">
        <v>1</v>
      </c>
      <c r="BFC2" s="3">
        <v>1</v>
      </c>
      <c r="BFD2" s="3">
        <v>1</v>
      </c>
      <c r="BFE2" s="3">
        <v>1</v>
      </c>
      <c r="BFF2" s="3">
        <v>1</v>
      </c>
      <c r="BFG2" s="3">
        <v>1</v>
      </c>
      <c r="BFH2" s="3">
        <v>1</v>
      </c>
      <c r="BFI2" s="3">
        <v>1</v>
      </c>
      <c r="BFJ2" s="3">
        <v>1</v>
      </c>
      <c r="BFK2" s="3">
        <v>1</v>
      </c>
      <c r="BFL2" s="3">
        <v>1</v>
      </c>
      <c r="BFM2" s="3">
        <v>1</v>
      </c>
      <c r="BFN2" s="3">
        <v>1</v>
      </c>
      <c r="BFO2" s="3">
        <v>1</v>
      </c>
      <c r="BFP2" s="3">
        <v>1</v>
      </c>
      <c r="BFQ2" s="3">
        <v>1</v>
      </c>
      <c r="BFR2" s="3">
        <v>1</v>
      </c>
      <c r="BFS2" s="3">
        <v>1</v>
      </c>
      <c r="BFT2" s="3">
        <v>1</v>
      </c>
      <c r="BFU2" s="3">
        <v>1</v>
      </c>
      <c r="BFV2" s="3">
        <v>1</v>
      </c>
      <c r="BFW2" s="3">
        <v>1</v>
      </c>
      <c r="BFX2" s="3">
        <v>1</v>
      </c>
      <c r="BFY2" s="3">
        <v>1</v>
      </c>
      <c r="BFZ2" s="3">
        <v>1</v>
      </c>
      <c r="BGA2" s="3">
        <v>1</v>
      </c>
      <c r="BGB2" s="3">
        <v>1</v>
      </c>
      <c r="BGC2" s="3">
        <v>1</v>
      </c>
      <c r="BGD2" s="3">
        <v>1</v>
      </c>
      <c r="BGE2" s="3">
        <v>1</v>
      </c>
      <c r="BGF2" s="3">
        <v>1</v>
      </c>
      <c r="BGG2" s="3">
        <v>1</v>
      </c>
      <c r="BGH2" s="3">
        <v>1</v>
      </c>
      <c r="BGI2" s="3">
        <v>1</v>
      </c>
      <c r="BGJ2" s="3">
        <v>1</v>
      </c>
      <c r="BGK2" s="3">
        <v>1</v>
      </c>
      <c r="BGL2" s="3">
        <v>1</v>
      </c>
      <c r="BGM2" s="3">
        <v>1</v>
      </c>
      <c r="BGN2" s="3">
        <v>1</v>
      </c>
      <c r="BGO2" s="3">
        <v>1</v>
      </c>
      <c r="BGP2" s="3">
        <v>1</v>
      </c>
      <c r="BGQ2" s="3">
        <v>1</v>
      </c>
      <c r="BGR2" s="3">
        <v>1</v>
      </c>
      <c r="BGS2" s="3">
        <v>1</v>
      </c>
      <c r="BGT2" s="3">
        <v>1</v>
      </c>
      <c r="BGU2" s="3">
        <v>1</v>
      </c>
      <c r="BGV2" s="3">
        <v>1</v>
      </c>
      <c r="BGW2" s="3">
        <v>1</v>
      </c>
      <c r="BGX2" s="3">
        <v>1</v>
      </c>
      <c r="BGY2" s="3">
        <v>1</v>
      </c>
      <c r="BGZ2" s="3">
        <v>1</v>
      </c>
      <c r="BHA2" s="3">
        <v>1</v>
      </c>
      <c r="BHB2" s="3">
        <v>1</v>
      </c>
      <c r="BHC2" s="3">
        <v>1</v>
      </c>
      <c r="BHD2" s="3">
        <v>1</v>
      </c>
      <c r="BHE2" s="3">
        <v>1</v>
      </c>
      <c r="BHF2" s="3">
        <v>1</v>
      </c>
      <c r="BHG2" s="3">
        <v>1</v>
      </c>
      <c r="BHH2" s="3">
        <v>1</v>
      </c>
      <c r="BHI2" s="3">
        <v>1</v>
      </c>
      <c r="BHJ2" s="3">
        <v>1</v>
      </c>
      <c r="BHK2" s="3">
        <v>1</v>
      </c>
      <c r="BHL2" s="3">
        <v>1</v>
      </c>
      <c r="BHM2" s="3">
        <v>1</v>
      </c>
      <c r="BHN2" s="3">
        <v>1</v>
      </c>
      <c r="BHO2" s="3">
        <v>1</v>
      </c>
      <c r="BHP2" s="3">
        <v>1</v>
      </c>
      <c r="BHQ2" s="3">
        <v>1</v>
      </c>
      <c r="BHR2" s="3">
        <v>1</v>
      </c>
      <c r="BHS2" s="3">
        <v>1</v>
      </c>
      <c r="BHT2" s="3">
        <v>1</v>
      </c>
      <c r="BHU2" s="3">
        <v>1</v>
      </c>
      <c r="BHV2" s="3">
        <v>1</v>
      </c>
      <c r="BHW2" s="3">
        <v>1</v>
      </c>
      <c r="BHX2" s="3">
        <v>1</v>
      </c>
      <c r="BHY2" s="3">
        <v>1</v>
      </c>
      <c r="BHZ2" s="3">
        <v>1</v>
      </c>
      <c r="BIA2" s="3">
        <v>1</v>
      </c>
      <c r="BIB2" s="3">
        <v>1</v>
      </c>
      <c r="BIC2" s="3">
        <v>1</v>
      </c>
      <c r="BID2" s="3">
        <v>1</v>
      </c>
      <c r="BIE2" s="3">
        <v>1</v>
      </c>
      <c r="BIF2" s="3">
        <v>1</v>
      </c>
      <c r="BIG2" s="3">
        <v>1</v>
      </c>
      <c r="BIH2" s="3">
        <v>1</v>
      </c>
      <c r="BII2" s="3">
        <v>1</v>
      </c>
      <c r="BIJ2" s="3">
        <v>1</v>
      </c>
      <c r="BIK2" s="3">
        <v>1</v>
      </c>
      <c r="BIL2" s="3">
        <v>1</v>
      </c>
      <c r="BIM2" s="3">
        <v>1</v>
      </c>
      <c r="BIN2" s="3">
        <v>1</v>
      </c>
      <c r="BIO2" s="3">
        <v>1</v>
      </c>
      <c r="BIP2" s="3">
        <v>1</v>
      </c>
      <c r="BIQ2" s="3">
        <v>1</v>
      </c>
      <c r="BIR2" s="3">
        <v>1</v>
      </c>
      <c r="BIS2" s="3">
        <v>1</v>
      </c>
      <c r="BIT2" s="3">
        <v>1</v>
      </c>
      <c r="BIU2" s="3">
        <v>1</v>
      </c>
      <c r="BIV2" s="3">
        <v>1</v>
      </c>
      <c r="BIW2" s="3">
        <v>1</v>
      </c>
      <c r="BIX2" s="3">
        <v>1</v>
      </c>
      <c r="BIY2" s="3">
        <v>1</v>
      </c>
      <c r="BIZ2" s="3">
        <v>1</v>
      </c>
      <c r="BJA2" s="3">
        <v>1</v>
      </c>
      <c r="BJB2" s="3">
        <v>1</v>
      </c>
      <c r="BJC2" s="3">
        <v>1</v>
      </c>
      <c r="BJD2" s="3">
        <v>1</v>
      </c>
      <c r="BJE2" s="3">
        <v>1</v>
      </c>
      <c r="BJF2" s="3">
        <v>1</v>
      </c>
      <c r="BJG2" s="3">
        <v>1</v>
      </c>
      <c r="BJH2" s="3">
        <v>1</v>
      </c>
      <c r="BJI2" s="3">
        <v>1</v>
      </c>
      <c r="BJJ2" s="3">
        <v>1</v>
      </c>
      <c r="BJK2" s="3">
        <v>1</v>
      </c>
      <c r="BJL2" s="3">
        <v>1</v>
      </c>
      <c r="BJM2" s="3">
        <v>1</v>
      </c>
      <c r="BJN2" s="3">
        <v>1</v>
      </c>
      <c r="BJO2" s="3">
        <v>1</v>
      </c>
      <c r="BJP2" s="3">
        <v>1</v>
      </c>
      <c r="BJQ2" s="3">
        <v>1</v>
      </c>
      <c r="BJR2" s="3">
        <v>1</v>
      </c>
      <c r="BJS2" s="3">
        <v>1</v>
      </c>
      <c r="BJT2" s="3">
        <v>1</v>
      </c>
      <c r="BJU2" s="3">
        <v>1</v>
      </c>
      <c r="BJV2" s="3">
        <v>1</v>
      </c>
      <c r="BJW2" s="3">
        <v>1</v>
      </c>
      <c r="BJX2" s="3">
        <v>1</v>
      </c>
      <c r="BJY2" s="3">
        <v>1</v>
      </c>
      <c r="BJZ2" s="3">
        <v>1</v>
      </c>
      <c r="BKA2" s="3">
        <v>1</v>
      </c>
      <c r="BKB2" s="3">
        <v>1</v>
      </c>
      <c r="BKC2" s="3">
        <v>1</v>
      </c>
      <c r="BKD2" s="3">
        <v>1</v>
      </c>
      <c r="BKE2" s="3">
        <v>1</v>
      </c>
      <c r="BKF2" s="3">
        <v>1</v>
      </c>
      <c r="BKG2" s="3">
        <v>1</v>
      </c>
      <c r="BKH2" s="3">
        <v>1</v>
      </c>
      <c r="BKI2" s="3">
        <v>1</v>
      </c>
      <c r="BKJ2" s="3">
        <v>1</v>
      </c>
      <c r="BKK2" s="3">
        <v>1</v>
      </c>
      <c r="BKL2" s="3">
        <v>1</v>
      </c>
      <c r="BKM2" s="3">
        <v>1</v>
      </c>
      <c r="BKN2" s="3">
        <v>1</v>
      </c>
      <c r="BKO2" s="3">
        <v>1</v>
      </c>
      <c r="BKP2" s="3">
        <v>1</v>
      </c>
      <c r="BKQ2" s="3">
        <v>1</v>
      </c>
      <c r="BKR2" s="3">
        <v>1</v>
      </c>
      <c r="BKS2" s="3">
        <v>1</v>
      </c>
      <c r="BKT2" s="3">
        <v>1</v>
      </c>
      <c r="BKU2" s="3">
        <v>1</v>
      </c>
      <c r="BKV2" s="3">
        <v>1</v>
      </c>
      <c r="BKW2" s="3">
        <v>1</v>
      </c>
      <c r="BKX2" s="3">
        <v>1</v>
      </c>
      <c r="BKY2" s="3">
        <v>1</v>
      </c>
      <c r="BKZ2" s="3">
        <v>1</v>
      </c>
      <c r="BLA2" s="3">
        <v>1</v>
      </c>
      <c r="BLB2" s="3">
        <v>1</v>
      </c>
      <c r="BLC2" s="3">
        <v>1</v>
      </c>
      <c r="BLD2" s="3">
        <v>1</v>
      </c>
      <c r="BLE2" s="3">
        <v>1</v>
      </c>
      <c r="BLF2" s="3">
        <v>1</v>
      </c>
      <c r="BLG2" s="3">
        <v>1</v>
      </c>
      <c r="BLH2" s="3">
        <v>1</v>
      </c>
      <c r="BLI2" s="3">
        <v>1</v>
      </c>
      <c r="BLJ2" s="3">
        <v>1</v>
      </c>
      <c r="BLK2" s="3">
        <v>1</v>
      </c>
      <c r="BLL2" s="3">
        <v>1</v>
      </c>
      <c r="BLM2" s="3">
        <v>1</v>
      </c>
      <c r="BLN2" s="3">
        <v>1</v>
      </c>
      <c r="BLO2" s="3">
        <v>1</v>
      </c>
      <c r="BLP2" s="3">
        <v>1</v>
      </c>
      <c r="BLQ2" s="3">
        <v>1</v>
      </c>
      <c r="BLR2" s="3">
        <v>1</v>
      </c>
      <c r="BLS2" s="3">
        <v>1</v>
      </c>
      <c r="BLT2" s="3">
        <v>1</v>
      </c>
      <c r="BLU2" s="3">
        <v>1</v>
      </c>
      <c r="BLV2" s="3">
        <v>1</v>
      </c>
      <c r="BLW2" s="3">
        <v>1</v>
      </c>
      <c r="BLX2" s="3">
        <v>1</v>
      </c>
      <c r="BLY2" s="3">
        <v>1</v>
      </c>
      <c r="BLZ2" s="3">
        <v>1</v>
      </c>
      <c r="BMA2" s="3">
        <v>1</v>
      </c>
      <c r="BMB2" s="3">
        <v>1</v>
      </c>
      <c r="BMC2" s="3">
        <v>1</v>
      </c>
      <c r="BMD2" s="3">
        <v>1</v>
      </c>
      <c r="BME2" s="3">
        <v>1</v>
      </c>
      <c r="BMF2" s="3">
        <v>1</v>
      </c>
      <c r="BMG2" s="3">
        <v>1</v>
      </c>
      <c r="BMH2" s="3">
        <v>1</v>
      </c>
      <c r="BMI2" s="3">
        <v>1</v>
      </c>
      <c r="BMJ2" s="3">
        <v>1</v>
      </c>
      <c r="BMK2" s="3">
        <v>1</v>
      </c>
      <c r="BML2" s="3">
        <v>1</v>
      </c>
      <c r="BMM2" s="3">
        <v>1</v>
      </c>
      <c r="BMN2" s="3">
        <v>1</v>
      </c>
      <c r="BMO2" s="3">
        <v>1</v>
      </c>
      <c r="BMP2" s="3">
        <v>1</v>
      </c>
      <c r="BMQ2" s="3">
        <v>1</v>
      </c>
      <c r="BMR2" s="3">
        <v>1</v>
      </c>
      <c r="BMS2" s="3">
        <v>1</v>
      </c>
      <c r="BMT2" s="3">
        <v>1</v>
      </c>
      <c r="BMU2" s="3">
        <v>1</v>
      </c>
      <c r="BMV2" s="3">
        <v>1</v>
      </c>
      <c r="BMW2" s="3">
        <v>1</v>
      </c>
      <c r="BMX2" s="3">
        <v>1</v>
      </c>
      <c r="BMY2" s="3">
        <v>1</v>
      </c>
      <c r="BMZ2" s="3">
        <v>1</v>
      </c>
      <c r="BNA2" s="3">
        <v>1</v>
      </c>
      <c r="BNB2" s="3">
        <v>1</v>
      </c>
      <c r="BNC2" s="3">
        <v>1</v>
      </c>
      <c r="BND2" s="3">
        <v>1</v>
      </c>
      <c r="BNE2" s="3">
        <v>1</v>
      </c>
      <c r="BNF2" s="3">
        <v>1</v>
      </c>
      <c r="BNG2" s="3">
        <v>1</v>
      </c>
      <c r="BNH2" s="3">
        <v>1</v>
      </c>
      <c r="BNI2" s="3">
        <v>1</v>
      </c>
      <c r="BNJ2" s="3">
        <v>1</v>
      </c>
      <c r="BNK2" s="3">
        <v>1</v>
      </c>
      <c r="BNL2" s="3">
        <v>1</v>
      </c>
      <c r="BNM2" s="3">
        <v>1</v>
      </c>
      <c r="BNN2" s="3">
        <v>1</v>
      </c>
      <c r="BNO2" s="3">
        <v>1</v>
      </c>
      <c r="BNP2" s="3">
        <v>1</v>
      </c>
      <c r="BNQ2" s="3">
        <v>1</v>
      </c>
      <c r="BNR2" s="3">
        <v>1</v>
      </c>
      <c r="BNS2" s="3">
        <v>1</v>
      </c>
      <c r="BNT2" s="3">
        <v>1</v>
      </c>
      <c r="BNU2" s="3">
        <v>1</v>
      </c>
      <c r="BNV2" s="3">
        <v>1</v>
      </c>
      <c r="BNW2" s="3">
        <v>1</v>
      </c>
      <c r="BNX2" s="3">
        <v>1</v>
      </c>
      <c r="BNY2" s="3">
        <v>1</v>
      </c>
      <c r="BNZ2" s="3">
        <v>1</v>
      </c>
      <c r="BOA2" s="3">
        <v>1</v>
      </c>
      <c r="BOB2" s="3">
        <v>1</v>
      </c>
      <c r="BOC2" s="3">
        <v>1</v>
      </c>
      <c r="BOD2" s="3">
        <v>1</v>
      </c>
      <c r="BOE2" s="3">
        <v>1</v>
      </c>
      <c r="BOF2" s="3">
        <v>1</v>
      </c>
      <c r="BOG2" s="3">
        <v>1</v>
      </c>
      <c r="BOH2" s="3">
        <v>1</v>
      </c>
      <c r="BOI2" s="3">
        <v>1</v>
      </c>
      <c r="BOJ2" s="3">
        <v>1</v>
      </c>
      <c r="BOK2" s="3">
        <v>1</v>
      </c>
      <c r="BOL2" s="3">
        <v>1</v>
      </c>
      <c r="BOM2" s="3">
        <v>1</v>
      </c>
      <c r="BON2" s="3">
        <v>1</v>
      </c>
      <c r="BOO2" s="3">
        <v>1</v>
      </c>
      <c r="BOP2" s="3">
        <v>1</v>
      </c>
      <c r="BOQ2" s="3">
        <v>1</v>
      </c>
      <c r="BOR2" s="3">
        <v>1</v>
      </c>
      <c r="BOS2" s="3">
        <v>1</v>
      </c>
      <c r="BOT2" s="3">
        <v>1</v>
      </c>
      <c r="BOU2" s="3">
        <v>1</v>
      </c>
      <c r="BOV2" s="3">
        <v>1</v>
      </c>
      <c r="BOW2" s="3">
        <v>1</v>
      </c>
      <c r="BOX2" s="3">
        <v>1</v>
      </c>
      <c r="BOY2" s="3">
        <v>1</v>
      </c>
      <c r="BOZ2" s="3">
        <v>1</v>
      </c>
      <c r="BPA2" s="3">
        <v>1</v>
      </c>
      <c r="BPB2" s="3">
        <v>1</v>
      </c>
      <c r="BPC2" s="3">
        <v>1</v>
      </c>
      <c r="BPD2" s="3">
        <v>1</v>
      </c>
      <c r="BPE2" s="3">
        <v>1</v>
      </c>
      <c r="BPF2" s="3">
        <v>1</v>
      </c>
      <c r="BPG2" s="3">
        <v>1</v>
      </c>
      <c r="BPH2" s="3">
        <v>1</v>
      </c>
      <c r="BPI2" s="3">
        <v>1</v>
      </c>
      <c r="BPJ2" s="3">
        <v>1</v>
      </c>
      <c r="BPK2" s="3">
        <v>1</v>
      </c>
      <c r="BPL2" s="3">
        <v>1</v>
      </c>
      <c r="BPM2" s="3">
        <v>1</v>
      </c>
      <c r="BPN2" s="3">
        <v>1</v>
      </c>
      <c r="BPO2" s="3">
        <v>1</v>
      </c>
      <c r="BPP2" s="3">
        <v>1</v>
      </c>
      <c r="BPQ2" s="3">
        <v>1</v>
      </c>
      <c r="BPR2" s="3">
        <v>1</v>
      </c>
      <c r="BPS2" s="3">
        <v>1</v>
      </c>
      <c r="BPT2" s="3">
        <v>1</v>
      </c>
      <c r="BPU2" s="3">
        <v>1</v>
      </c>
      <c r="BPV2" s="3">
        <v>1</v>
      </c>
      <c r="BPW2" s="3">
        <v>1</v>
      </c>
      <c r="BPX2" s="3">
        <v>1</v>
      </c>
      <c r="BPY2" s="3">
        <v>1</v>
      </c>
      <c r="BPZ2" s="3">
        <v>1</v>
      </c>
      <c r="BQA2" s="3">
        <v>1</v>
      </c>
      <c r="BQB2" s="3">
        <v>1</v>
      </c>
      <c r="BQC2" s="3">
        <v>1</v>
      </c>
      <c r="BQD2" s="3">
        <v>1</v>
      </c>
      <c r="BQE2" s="3">
        <v>1</v>
      </c>
      <c r="BQF2" s="3">
        <v>1</v>
      </c>
      <c r="BQG2" s="3">
        <v>1</v>
      </c>
      <c r="BQH2" s="3">
        <v>1</v>
      </c>
      <c r="BQI2" s="3">
        <v>1</v>
      </c>
      <c r="BQJ2" s="3">
        <v>1</v>
      </c>
      <c r="BQK2" s="3">
        <v>1</v>
      </c>
      <c r="BQL2" s="3">
        <v>1</v>
      </c>
      <c r="BQM2" s="3">
        <v>1</v>
      </c>
      <c r="BQN2" s="3">
        <v>1</v>
      </c>
      <c r="BQO2" s="3">
        <v>1</v>
      </c>
      <c r="BQP2" s="3">
        <v>1</v>
      </c>
      <c r="BQQ2" s="3">
        <v>1</v>
      </c>
      <c r="BQR2" s="3">
        <v>1</v>
      </c>
      <c r="BQS2" s="3">
        <v>1</v>
      </c>
      <c r="BQT2" s="3">
        <v>1</v>
      </c>
      <c r="BQU2" s="3">
        <v>1</v>
      </c>
      <c r="BQV2" s="3">
        <v>1</v>
      </c>
      <c r="BQW2" s="3">
        <v>1</v>
      </c>
      <c r="BQX2" s="3">
        <v>1</v>
      </c>
      <c r="BQY2" s="3">
        <v>1</v>
      </c>
      <c r="BQZ2" s="3">
        <v>1</v>
      </c>
      <c r="BRA2" s="3">
        <v>1</v>
      </c>
      <c r="BRB2" s="3">
        <v>1</v>
      </c>
      <c r="BRC2" s="3">
        <v>1</v>
      </c>
      <c r="BRD2" s="3">
        <v>1</v>
      </c>
      <c r="BRE2" s="3">
        <v>1</v>
      </c>
      <c r="BRF2" s="3">
        <v>1</v>
      </c>
      <c r="BRG2" s="3">
        <v>1</v>
      </c>
      <c r="BRH2" s="3">
        <v>1</v>
      </c>
      <c r="BRI2" s="3">
        <v>1</v>
      </c>
      <c r="BRJ2" s="3">
        <v>1</v>
      </c>
      <c r="BRK2" s="3">
        <v>1</v>
      </c>
      <c r="BRL2" s="3">
        <v>1</v>
      </c>
      <c r="BRM2" s="3">
        <v>1</v>
      </c>
      <c r="BRN2" s="3">
        <v>1</v>
      </c>
      <c r="BRO2" s="3">
        <v>1</v>
      </c>
      <c r="BRP2" s="3">
        <v>1</v>
      </c>
      <c r="BRQ2" s="3">
        <v>1</v>
      </c>
      <c r="BRR2" s="3">
        <v>1</v>
      </c>
      <c r="BRS2" s="3">
        <v>1</v>
      </c>
      <c r="BRT2" s="3">
        <v>1</v>
      </c>
      <c r="BRU2" s="3">
        <v>1</v>
      </c>
      <c r="BRV2" s="3">
        <v>1</v>
      </c>
      <c r="BRW2" s="3">
        <v>1</v>
      </c>
      <c r="BRX2" s="3">
        <v>1</v>
      </c>
      <c r="BRY2" s="3">
        <v>1</v>
      </c>
      <c r="BRZ2" s="3">
        <v>1</v>
      </c>
      <c r="BSA2" s="3">
        <v>1</v>
      </c>
      <c r="BSB2" s="3">
        <v>1</v>
      </c>
      <c r="BSC2" s="3">
        <v>1</v>
      </c>
      <c r="BSD2" s="3">
        <v>1</v>
      </c>
      <c r="BSE2" s="3">
        <v>1</v>
      </c>
      <c r="BSF2" s="3">
        <v>1</v>
      </c>
      <c r="BSG2" s="3">
        <v>1</v>
      </c>
      <c r="BSH2" s="3">
        <v>1</v>
      </c>
      <c r="BSI2" s="3">
        <v>1</v>
      </c>
      <c r="BSJ2" s="3">
        <v>1</v>
      </c>
      <c r="BSK2" s="3">
        <v>1</v>
      </c>
      <c r="BSL2" s="3">
        <v>1</v>
      </c>
      <c r="BSM2" s="3">
        <v>1</v>
      </c>
      <c r="BSN2" s="3">
        <v>1</v>
      </c>
      <c r="BSO2" s="3">
        <v>1</v>
      </c>
      <c r="BSP2" s="3">
        <v>1</v>
      </c>
      <c r="BSQ2" s="3">
        <v>1</v>
      </c>
      <c r="BSR2" s="3">
        <v>1</v>
      </c>
      <c r="BSS2" s="3">
        <v>1</v>
      </c>
      <c r="BST2" s="3">
        <v>1</v>
      </c>
      <c r="BSU2" s="3">
        <v>1</v>
      </c>
      <c r="BSV2" s="3">
        <v>1</v>
      </c>
      <c r="BSW2" s="3">
        <v>1</v>
      </c>
      <c r="BSX2" s="3">
        <v>1</v>
      </c>
      <c r="BSY2" s="3">
        <v>1</v>
      </c>
      <c r="BSZ2" s="3">
        <v>1</v>
      </c>
      <c r="BTA2" s="3">
        <v>1</v>
      </c>
      <c r="BTB2" s="3">
        <v>1</v>
      </c>
      <c r="BTC2" s="3">
        <v>1</v>
      </c>
      <c r="BTD2" s="3">
        <v>1</v>
      </c>
      <c r="BTE2" s="3">
        <v>1</v>
      </c>
      <c r="BTF2" s="3">
        <v>1</v>
      </c>
      <c r="BTG2" s="3">
        <v>1</v>
      </c>
      <c r="BTH2" s="3">
        <v>1</v>
      </c>
      <c r="BTI2" s="3">
        <v>1</v>
      </c>
      <c r="BTJ2" s="3">
        <v>1</v>
      </c>
      <c r="BTK2" s="3">
        <v>1</v>
      </c>
      <c r="BTL2" s="3">
        <v>1</v>
      </c>
      <c r="BTM2" s="3">
        <v>1</v>
      </c>
      <c r="BTN2" s="3">
        <v>1</v>
      </c>
      <c r="BTO2" s="3">
        <v>1</v>
      </c>
      <c r="BTP2" s="3">
        <v>1</v>
      </c>
      <c r="BTQ2" s="3">
        <v>1</v>
      </c>
      <c r="BTR2" s="3">
        <v>1</v>
      </c>
      <c r="BTS2" s="3">
        <v>1</v>
      </c>
      <c r="BTT2" s="3">
        <v>1</v>
      </c>
      <c r="BTU2" s="3">
        <v>1</v>
      </c>
      <c r="BTV2" s="3">
        <v>1</v>
      </c>
      <c r="BTW2" s="3">
        <v>1</v>
      </c>
      <c r="BTX2" s="3">
        <v>1</v>
      </c>
      <c r="BTY2" s="3">
        <v>1</v>
      </c>
      <c r="BTZ2" s="3">
        <v>1</v>
      </c>
      <c r="BUA2" s="3">
        <v>1</v>
      </c>
      <c r="BUB2" s="3">
        <v>1</v>
      </c>
      <c r="BUC2" s="3">
        <v>1</v>
      </c>
      <c r="BUD2" s="3">
        <v>1</v>
      </c>
      <c r="BUE2" s="3">
        <v>1</v>
      </c>
      <c r="BUF2" s="3">
        <v>1</v>
      </c>
      <c r="BUG2" s="3">
        <v>1</v>
      </c>
      <c r="BUH2" s="3">
        <v>1</v>
      </c>
      <c r="BUI2" s="3">
        <v>1</v>
      </c>
      <c r="BUJ2" s="3">
        <v>1</v>
      </c>
      <c r="BUK2" s="3">
        <v>1</v>
      </c>
      <c r="BUL2" s="3">
        <v>1</v>
      </c>
      <c r="BUM2" s="3">
        <v>1</v>
      </c>
      <c r="BUN2" s="3">
        <v>1</v>
      </c>
      <c r="BUO2" s="3">
        <v>1</v>
      </c>
      <c r="BUP2" s="3">
        <v>1</v>
      </c>
      <c r="BUQ2" s="3">
        <v>1</v>
      </c>
      <c r="BUR2" s="3">
        <v>1</v>
      </c>
      <c r="BUS2" s="3">
        <v>1</v>
      </c>
      <c r="BUT2" s="3">
        <v>1</v>
      </c>
      <c r="BUU2" s="3">
        <v>1</v>
      </c>
      <c r="BUV2" s="3">
        <v>1</v>
      </c>
      <c r="BUW2" s="3">
        <v>1</v>
      </c>
      <c r="BUX2" s="3">
        <v>1</v>
      </c>
      <c r="BUY2" s="3">
        <v>1</v>
      </c>
      <c r="BUZ2" s="3">
        <v>1</v>
      </c>
      <c r="BVA2" s="3">
        <v>1</v>
      </c>
      <c r="BVB2" s="3">
        <v>1</v>
      </c>
      <c r="BVC2" s="3">
        <v>1</v>
      </c>
      <c r="BVD2" s="3">
        <v>1</v>
      </c>
      <c r="BVE2" s="3">
        <v>1</v>
      </c>
      <c r="BVF2" s="3">
        <v>1</v>
      </c>
      <c r="BVG2" s="3">
        <v>1</v>
      </c>
      <c r="BVH2" s="3">
        <v>1</v>
      </c>
      <c r="BVI2" s="3">
        <v>1</v>
      </c>
      <c r="BVJ2" s="3">
        <v>1</v>
      </c>
      <c r="BVK2" s="3">
        <v>1</v>
      </c>
      <c r="BVL2" s="3">
        <v>1</v>
      </c>
      <c r="BVM2" s="3">
        <v>1</v>
      </c>
      <c r="BVN2" s="3">
        <v>1</v>
      </c>
      <c r="BVO2" s="3">
        <v>1</v>
      </c>
      <c r="BVP2" s="3">
        <v>1</v>
      </c>
      <c r="BVQ2" s="3">
        <v>1</v>
      </c>
      <c r="BVR2" s="3">
        <v>1</v>
      </c>
      <c r="BVS2" s="3">
        <v>1</v>
      </c>
      <c r="BVT2" s="3">
        <v>1</v>
      </c>
      <c r="BVU2" s="3">
        <v>1</v>
      </c>
      <c r="BVV2" s="3">
        <v>1</v>
      </c>
      <c r="BVW2" s="3">
        <v>1</v>
      </c>
      <c r="BVX2" s="3">
        <v>1</v>
      </c>
      <c r="BVY2" s="3">
        <v>1</v>
      </c>
      <c r="BVZ2" s="3">
        <v>1</v>
      </c>
      <c r="BWA2" s="3">
        <v>1</v>
      </c>
      <c r="BWB2" s="3">
        <v>1</v>
      </c>
      <c r="BWC2" s="3">
        <v>1</v>
      </c>
      <c r="BWD2" s="3">
        <v>1</v>
      </c>
      <c r="BWE2" s="3">
        <v>1</v>
      </c>
      <c r="BWF2" s="3">
        <v>1</v>
      </c>
      <c r="BWG2" s="3">
        <v>1</v>
      </c>
      <c r="BWH2" s="3">
        <v>1</v>
      </c>
      <c r="BWI2" s="3">
        <v>1</v>
      </c>
      <c r="BWJ2" s="3">
        <v>1</v>
      </c>
      <c r="BWK2" s="3">
        <v>1</v>
      </c>
      <c r="BWL2" s="3">
        <v>1</v>
      </c>
      <c r="BWM2" s="3">
        <v>1</v>
      </c>
      <c r="BWN2" s="3">
        <v>1</v>
      </c>
      <c r="BWO2" s="3">
        <v>1</v>
      </c>
      <c r="BWP2" s="3">
        <v>1</v>
      </c>
      <c r="BWQ2" s="3">
        <v>1</v>
      </c>
      <c r="BWR2" s="3">
        <v>1</v>
      </c>
      <c r="BWS2" s="3">
        <v>1</v>
      </c>
      <c r="BWT2" s="3">
        <v>1</v>
      </c>
      <c r="BWU2" s="3">
        <v>1</v>
      </c>
      <c r="BWV2" s="3">
        <v>1</v>
      </c>
      <c r="BWW2" s="3">
        <v>1</v>
      </c>
      <c r="BWX2" s="3">
        <v>1</v>
      </c>
      <c r="BWY2" s="3">
        <v>1</v>
      </c>
      <c r="BWZ2" s="3">
        <v>1</v>
      </c>
      <c r="BXA2" s="3">
        <v>1</v>
      </c>
      <c r="BXB2" s="3">
        <v>1</v>
      </c>
      <c r="BXC2" s="3">
        <v>1</v>
      </c>
      <c r="BXD2" s="3">
        <v>1</v>
      </c>
      <c r="BXE2" s="3">
        <v>1</v>
      </c>
      <c r="BXF2" s="3">
        <v>1</v>
      </c>
      <c r="BXG2" s="3">
        <v>1</v>
      </c>
      <c r="BXH2" s="3">
        <v>1</v>
      </c>
      <c r="BXI2" s="3">
        <v>1</v>
      </c>
      <c r="BXJ2" s="3">
        <v>1</v>
      </c>
      <c r="BXK2" s="3">
        <v>1</v>
      </c>
      <c r="BXL2" s="3">
        <v>1</v>
      </c>
      <c r="BXM2" s="3">
        <v>1</v>
      </c>
      <c r="BXN2" s="3">
        <v>1</v>
      </c>
      <c r="BXO2" s="3">
        <v>1</v>
      </c>
      <c r="BXP2" s="3">
        <v>1</v>
      </c>
      <c r="BXQ2" s="3">
        <v>1</v>
      </c>
      <c r="BXR2" s="3">
        <v>1</v>
      </c>
      <c r="BXS2" s="3">
        <v>1</v>
      </c>
      <c r="BXT2" s="3">
        <v>1</v>
      </c>
      <c r="BXU2" s="3">
        <v>1</v>
      </c>
      <c r="BXV2" s="3">
        <v>1</v>
      </c>
      <c r="BXW2" s="3">
        <v>1</v>
      </c>
      <c r="BXX2" s="3">
        <v>1</v>
      </c>
      <c r="BXY2" s="3">
        <v>1</v>
      </c>
      <c r="BXZ2" s="3">
        <v>1</v>
      </c>
      <c r="BYA2" s="3">
        <v>1</v>
      </c>
      <c r="BYB2" s="3">
        <v>1</v>
      </c>
      <c r="BYC2" s="3">
        <v>1</v>
      </c>
      <c r="BYD2" s="3">
        <v>1</v>
      </c>
      <c r="BYE2" s="3">
        <v>1</v>
      </c>
      <c r="BYF2" s="3">
        <v>1</v>
      </c>
      <c r="BYG2" s="3">
        <v>1</v>
      </c>
      <c r="BYH2" s="3">
        <v>1</v>
      </c>
      <c r="BYI2" s="3">
        <v>1</v>
      </c>
      <c r="BYJ2" s="3">
        <v>1</v>
      </c>
      <c r="BYK2" s="3">
        <v>1</v>
      </c>
      <c r="BYL2" s="3">
        <v>1</v>
      </c>
      <c r="BYM2" s="3">
        <v>1</v>
      </c>
      <c r="BYN2" s="3">
        <v>1</v>
      </c>
      <c r="BYO2" s="3">
        <v>1</v>
      </c>
      <c r="BYP2" s="3">
        <v>1</v>
      </c>
      <c r="BYQ2" s="3">
        <v>1</v>
      </c>
      <c r="BYR2" s="3">
        <v>1</v>
      </c>
      <c r="BYS2" s="3">
        <v>1</v>
      </c>
      <c r="BYT2" s="3">
        <v>1</v>
      </c>
      <c r="BYU2" s="3">
        <v>1</v>
      </c>
      <c r="BYV2" s="3">
        <v>1</v>
      </c>
      <c r="BYW2" s="3">
        <v>1</v>
      </c>
      <c r="BYX2" s="3">
        <v>1</v>
      </c>
      <c r="BYY2" s="3">
        <v>1</v>
      </c>
      <c r="BYZ2" s="3">
        <v>1</v>
      </c>
      <c r="BZA2" s="3">
        <v>1</v>
      </c>
      <c r="BZB2" s="3">
        <v>1</v>
      </c>
      <c r="BZC2" s="3">
        <v>1</v>
      </c>
      <c r="BZD2" s="3">
        <v>1</v>
      </c>
      <c r="BZE2" s="3">
        <v>1</v>
      </c>
      <c r="BZF2" s="3">
        <v>1</v>
      </c>
      <c r="BZG2" s="3">
        <v>1</v>
      </c>
      <c r="BZH2" s="3">
        <v>1</v>
      </c>
      <c r="BZI2" s="3">
        <v>1</v>
      </c>
      <c r="BZJ2" s="3">
        <v>1</v>
      </c>
      <c r="BZK2" s="3">
        <v>1</v>
      </c>
      <c r="BZL2" s="3">
        <v>1</v>
      </c>
      <c r="BZM2" s="3">
        <v>1</v>
      </c>
      <c r="BZN2" s="3">
        <v>1</v>
      </c>
      <c r="BZO2" s="3">
        <v>1</v>
      </c>
      <c r="BZP2" s="3">
        <v>1</v>
      </c>
      <c r="BZQ2" s="3">
        <v>1</v>
      </c>
      <c r="BZR2" s="3">
        <v>1</v>
      </c>
      <c r="BZS2" s="3">
        <v>1</v>
      </c>
      <c r="BZT2" s="3">
        <v>1</v>
      </c>
      <c r="BZU2" s="3">
        <v>1</v>
      </c>
      <c r="BZV2" s="3">
        <v>1</v>
      </c>
      <c r="BZW2" s="3">
        <v>1</v>
      </c>
      <c r="BZX2" s="3">
        <v>1</v>
      </c>
      <c r="BZY2" s="3">
        <v>1</v>
      </c>
      <c r="BZZ2" s="3">
        <v>1</v>
      </c>
      <c r="CAA2" s="3">
        <v>1</v>
      </c>
      <c r="CAB2" s="3">
        <v>1</v>
      </c>
      <c r="CAC2" s="3">
        <v>1</v>
      </c>
      <c r="CAD2" s="3">
        <v>1</v>
      </c>
      <c r="CAE2" s="3">
        <v>1</v>
      </c>
      <c r="CAF2" s="3">
        <v>1</v>
      </c>
      <c r="CAG2" s="3">
        <v>1</v>
      </c>
      <c r="CAH2" s="3">
        <v>1</v>
      </c>
      <c r="CAI2" s="3">
        <v>1</v>
      </c>
      <c r="CAJ2" s="3">
        <v>1</v>
      </c>
      <c r="CAK2" s="3">
        <v>1</v>
      </c>
      <c r="CAL2" s="3">
        <v>1</v>
      </c>
      <c r="CAM2" s="3">
        <v>1</v>
      </c>
      <c r="CAN2" s="3">
        <v>1</v>
      </c>
      <c r="CAO2" s="3">
        <v>1</v>
      </c>
      <c r="CAP2" s="3">
        <v>1</v>
      </c>
      <c r="CAQ2" s="3">
        <v>1</v>
      </c>
      <c r="CAR2" s="3">
        <v>1</v>
      </c>
      <c r="CAS2" s="3">
        <v>1</v>
      </c>
      <c r="CAT2" s="3">
        <v>1</v>
      </c>
      <c r="CAU2" s="3">
        <v>1</v>
      </c>
      <c r="CAV2" s="3">
        <v>1</v>
      </c>
      <c r="CAW2" s="3">
        <v>1</v>
      </c>
      <c r="CAX2" s="3">
        <v>1</v>
      </c>
      <c r="CAY2" s="3">
        <v>1</v>
      </c>
      <c r="CAZ2" s="3">
        <v>1</v>
      </c>
      <c r="CBA2" s="3">
        <v>1</v>
      </c>
      <c r="CBB2" s="3">
        <v>1</v>
      </c>
      <c r="CBC2" s="3">
        <v>1</v>
      </c>
      <c r="CBD2" s="3">
        <v>1</v>
      </c>
      <c r="CBE2" s="3">
        <v>1</v>
      </c>
      <c r="CBF2" s="3">
        <v>1</v>
      </c>
      <c r="CBG2" s="3">
        <v>1</v>
      </c>
      <c r="CBH2" s="3">
        <v>1</v>
      </c>
      <c r="CBI2" s="3">
        <v>1</v>
      </c>
      <c r="CBJ2" s="3">
        <v>1</v>
      </c>
      <c r="CBK2" s="3">
        <v>1</v>
      </c>
      <c r="CBL2" s="3">
        <v>1</v>
      </c>
      <c r="CBM2" s="3">
        <v>1</v>
      </c>
      <c r="CBN2" s="3">
        <v>1</v>
      </c>
      <c r="CBO2" s="3">
        <v>1</v>
      </c>
      <c r="CBP2" s="3">
        <v>1</v>
      </c>
      <c r="CBQ2" s="3">
        <v>1</v>
      </c>
      <c r="CBR2" s="3">
        <v>1</v>
      </c>
      <c r="CBS2" s="3">
        <v>1</v>
      </c>
      <c r="CBT2" s="3">
        <v>1</v>
      </c>
      <c r="CBU2" s="3">
        <v>1</v>
      </c>
      <c r="CBV2" s="3">
        <v>1</v>
      </c>
      <c r="CBW2" s="3">
        <v>1</v>
      </c>
      <c r="CBX2" s="3">
        <v>1</v>
      </c>
      <c r="CBY2" s="3">
        <v>1</v>
      </c>
      <c r="CBZ2" s="3">
        <v>1</v>
      </c>
      <c r="CCA2" s="3">
        <v>1</v>
      </c>
      <c r="CCB2" s="3">
        <v>1</v>
      </c>
      <c r="CCC2" s="3">
        <v>1</v>
      </c>
      <c r="CCD2" s="3">
        <v>1</v>
      </c>
      <c r="CCE2" s="3">
        <v>1</v>
      </c>
      <c r="CCF2" s="3">
        <v>1</v>
      </c>
      <c r="CCG2" s="3">
        <v>1</v>
      </c>
      <c r="CCH2" s="3">
        <v>1</v>
      </c>
      <c r="CCI2" s="3">
        <v>1</v>
      </c>
      <c r="CCJ2" s="3">
        <v>1</v>
      </c>
      <c r="CCK2" s="3">
        <v>1</v>
      </c>
      <c r="CCL2" s="3">
        <v>1</v>
      </c>
      <c r="CCM2" s="3">
        <v>1</v>
      </c>
      <c r="CCN2" s="3">
        <v>1</v>
      </c>
      <c r="CCO2" s="3">
        <v>1</v>
      </c>
      <c r="CCP2" s="3">
        <v>1</v>
      </c>
      <c r="CCQ2" s="3">
        <v>1</v>
      </c>
      <c r="CCR2" s="3">
        <v>1</v>
      </c>
      <c r="CCS2" s="3">
        <v>1</v>
      </c>
      <c r="CCT2" s="3">
        <v>1</v>
      </c>
      <c r="CCU2" s="3">
        <v>1</v>
      </c>
      <c r="CCV2" s="3">
        <v>1</v>
      </c>
      <c r="CCW2" s="3">
        <v>1</v>
      </c>
      <c r="CCX2" s="3">
        <v>1</v>
      </c>
      <c r="CCY2" s="3">
        <v>1</v>
      </c>
      <c r="CCZ2" s="3">
        <v>1</v>
      </c>
      <c r="CDA2" s="3">
        <v>1</v>
      </c>
      <c r="CDB2" s="3">
        <v>1</v>
      </c>
      <c r="CDC2" s="3">
        <v>1</v>
      </c>
      <c r="CDD2" s="3">
        <v>1</v>
      </c>
      <c r="CDE2" s="3">
        <v>1</v>
      </c>
      <c r="CDF2" s="3">
        <v>1</v>
      </c>
      <c r="CDG2" s="3">
        <v>1</v>
      </c>
      <c r="CDH2" s="3">
        <v>1</v>
      </c>
      <c r="CDI2" s="3">
        <v>1</v>
      </c>
      <c r="CDJ2" s="3">
        <v>1</v>
      </c>
      <c r="CDK2" s="3">
        <v>1</v>
      </c>
      <c r="CDL2" s="3">
        <v>1</v>
      </c>
      <c r="CDM2" s="3">
        <v>1</v>
      </c>
      <c r="CDN2" s="3">
        <v>1</v>
      </c>
      <c r="CDO2" s="3">
        <v>1</v>
      </c>
      <c r="CDP2" s="3">
        <v>1</v>
      </c>
      <c r="CDQ2" s="3">
        <v>1</v>
      </c>
      <c r="CDR2" s="3">
        <v>1</v>
      </c>
      <c r="CDS2" s="3">
        <v>1</v>
      </c>
      <c r="CDT2" s="3">
        <v>1</v>
      </c>
      <c r="CDU2" s="3">
        <v>1</v>
      </c>
      <c r="CDV2" s="3">
        <v>1</v>
      </c>
      <c r="CDW2" s="3">
        <v>1</v>
      </c>
      <c r="CDX2" s="3">
        <v>1</v>
      </c>
      <c r="CDY2" s="3">
        <v>1</v>
      </c>
      <c r="CDZ2" s="3">
        <v>1</v>
      </c>
      <c r="CEA2" s="3">
        <v>1</v>
      </c>
      <c r="CEB2" s="3">
        <v>1</v>
      </c>
      <c r="CEC2" s="3">
        <v>1</v>
      </c>
      <c r="CED2" s="3">
        <v>1</v>
      </c>
      <c r="CEE2" s="3">
        <v>1</v>
      </c>
      <c r="CEF2" s="3">
        <v>1</v>
      </c>
      <c r="CEG2" s="3">
        <v>1</v>
      </c>
      <c r="CEH2" s="3">
        <v>1</v>
      </c>
      <c r="CEI2" s="3">
        <v>1</v>
      </c>
      <c r="CEJ2" s="3">
        <v>1</v>
      </c>
      <c r="CEK2" s="3">
        <v>1</v>
      </c>
      <c r="CEL2" s="3">
        <v>1</v>
      </c>
      <c r="CEM2" s="3">
        <v>1</v>
      </c>
      <c r="CEN2" s="3">
        <v>1</v>
      </c>
      <c r="CEO2" s="3">
        <v>1</v>
      </c>
      <c r="CEP2" s="3">
        <v>1</v>
      </c>
      <c r="CEQ2" s="3">
        <v>1</v>
      </c>
      <c r="CER2" s="3">
        <v>1</v>
      </c>
      <c r="CES2" s="3">
        <v>1</v>
      </c>
      <c r="CET2" s="3">
        <v>1</v>
      </c>
      <c r="CEU2" s="3">
        <v>1</v>
      </c>
      <c r="CEV2" s="3">
        <v>1</v>
      </c>
      <c r="CEW2" s="3">
        <v>1</v>
      </c>
      <c r="CEX2" s="3">
        <v>1</v>
      </c>
      <c r="CEY2" s="3">
        <v>1</v>
      </c>
      <c r="CEZ2" s="3">
        <v>1</v>
      </c>
      <c r="CFA2" s="3">
        <v>1</v>
      </c>
      <c r="CFB2" s="3">
        <v>1</v>
      </c>
      <c r="CFC2" s="3">
        <v>1</v>
      </c>
      <c r="CFD2" s="3">
        <v>1</v>
      </c>
      <c r="CFE2" s="3">
        <v>1</v>
      </c>
      <c r="CFF2" s="3">
        <v>1</v>
      </c>
      <c r="CFG2" s="3">
        <v>1</v>
      </c>
      <c r="CFH2" s="3">
        <v>1</v>
      </c>
      <c r="CFI2" s="3">
        <v>1</v>
      </c>
      <c r="CFJ2" s="3">
        <v>1</v>
      </c>
      <c r="CFK2" s="3">
        <v>1</v>
      </c>
      <c r="CFL2" s="3">
        <v>1</v>
      </c>
      <c r="CFM2" s="3">
        <v>1</v>
      </c>
      <c r="CFN2" s="3">
        <v>1</v>
      </c>
      <c r="CFO2" s="3">
        <v>1</v>
      </c>
      <c r="CFP2" s="3">
        <v>1</v>
      </c>
      <c r="CFQ2" s="3">
        <v>1</v>
      </c>
      <c r="CFR2" s="3">
        <v>1</v>
      </c>
      <c r="CFS2" s="3">
        <v>1</v>
      </c>
      <c r="CFT2" s="3">
        <v>1</v>
      </c>
      <c r="CFU2" s="3">
        <v>1</v>
      </c>
      <c r="CFV2" s="3">
        <v>1</v>
      </c>
      <c r="CFW2" s="3">
        <v>1</v>
      </c>
      <c r="CFX2" s="3">
        <v>1</v>
      </c>
      <c r="CFY2" s="3">
        <v>1</v>
      </c>
      <c r="CFZ2" s="3">
        <v>1</v>
      </c>
      <c r="CGA2" s="3">
        <v>1</v>
      </c>
      <c r="CGB2" s="3">
        <v>1</v>
      </c>
      <c r="CGC2" s="3">
        <v>1</v>
      </c>
      <c r="CGD2" s="3">
        <v>1</v>
      </c>
      <c r="CGE2" s="3">
        <v>1</v>
      </c>
      <c r="CGF2" s="3">
        <v>1</v>
      </c>
      <c r="CGG2" s="3">
        <v>1</v>
      </c>
      <c r="CGH2" s="3">
        <v>1</v>
      </c>
      <c r="CGI2" s="3">
        <v>1</v>
      </c>
      <c r="CGJ2" s="3">
        <v>1</v>
      </c>
      <c r="CGK2" s="3">
        <v>1</v>
      </c>
      <c r="CGL2" s="3">
        <v>1</v>
      </c>
      <c r="CGM2" s="3">
        <v>1</v>
      </c>
      <c r="CGN2" s="3">
        <v>1</v>
      </c>
      <c r="CGO2" s="3">
        <v>1</v>
      </c>
      <c r="CGP2" s="3">
        <v>1</v>
      </c>
      <c r="CGQ2" s="3">
        <v>1</v>
      </c>
      <c r="CGR2" s="3">
        <v>1</v>
      </c>
      <c r="CGS2" s="3">
        <v>1</v>
      </c>
      <c r="CGT2" s="3">
        <v>1</v>
      </c>
      <c r="CGU2" s="3">
        <v>1</v>
      </c>
      <c r="CGV2" s="3">
        <v>1</v>
      </c>
      <c r="CGW2" s="3">
        <v>1</v>
      </c>
      <c r="CGX2" s="3">
        <v>1</v>
      </c>
      <c r="CGY2" s="3">
        <v>1</v>
      </c>
      <c r="CGZ2" s="3">
        <v>1</v>
      </c>
      <c r="CHA2" s="3">
        <v>1</v>
      </c>
      <c r="CHB2" s="3">
        <v>1</v>
      </c>
      <c r="CHC2" s="3">
        <v>1</v>
      </c>
      <c r="CHD2" s="3">
        <v>1</v>
      </c>
      <c r="CHE2" s="3">
        <v>1</v>
      </c>
      <c r="CHF2" s="3">
        <v>1</v>
      </c>
      <c r="CHG2" s="3">
        <v>1</v>
      </c>
      <c r="CHH2" s="3">
        <v>1</v>
      </c>
      <c r="CHI2" s="3">
        <v>1</v>
      </c>
      <c r="CHJ2" s="3">
        <v>1</v>
      </c>
      <c r="CHK2" s="3">
        <v>1</v>
      </c>
      <c r="CHL2" s="3">
        <v>1</v>
      </c>
      <c r="CHM2" s="3">
        <v>1</v>
      </c>
      <c r="CHN2" s="3">
        <v>1</v>
      </c>
      <c r="CHO2" s="3">
        <v>1</v>
      </c>
      <c r="CHP2" s="3">
        <v>1</v>
      </c>
      <c r="CHQ2" s="3">
        <v>1</v>
      </c>
      <c r="CHR2" s="3">
        <v>1</v>
      </c>
      <c r="CHS2" s="3">
        <v>1</v>
      </c>
      <c r="CHT2" s="3">
        <v>1</v>
      </c>
      <c r="CHU2" s="3">
        <v>1</v>
      </c>
      <c r="CHV2" s="3">
        <v>1</v>
      </c>
      <c r="CHW2" s="3">
        <v>1</v>
      </c>
      <c r="CHX2" s="3">
        <v>1</v>
      </c>
      <c r="CHY2" s="3">
        <v>1</v>
      </c>
      <c r="CHZ2" s="3">
        <v>1</v>
      </c>
      <c r="CIA2" s="3">
        <v>1</v>
      </c>
      <c r="CIB2" s="3">
        <v>1</v>
      </c>
      <c r="CIC2" s="3">
        <v>1</v>
      </c>
      <c r="CID2" s="3">
        <v>1</v>
      </c>
      <c r="CIE2" s="3">
        <v>1</v>
      </c>
      <c r="CIF2" s="3">
        <v>1</v>
      </c>
      <c r="CIG2" s="3">
        <v>1</v>
      </c>
      <c r="CIH2" s="3">
        <v>1</v>
      </c>
      <c r="CII2" s="3">
        <v>1</v>
      </c>
      <c r="CIJ2" s="3">
        <v>1</v>
      </c>
      <c r="CIK2" s="3">
        <v>1</v>
      </c>
      <c r="CIL2" s="3">
        <v>1</v>
      </c>
      <c r="CIM2" s="3">
        <v>1</v>
      </c>
      <c r="CIN2" s="3">
        <v>1</v>
      </c>
      <c r="CIO2" s="3">
        <v>1</v>
      </c>
      <c r="CIP2" s="3">
        <v>1</v>
      </c>
      <c r="CIQ2" s="3">
        <v>1</v>
      </c>
      <c r="CIR2" s="3">
        <v>1</v>
      </c>
      <c r="CIS2" s="3">
        <v>1</v>
      </c>
      <c r="CIT2" s="3">
        <v>1</v>
      </c>
      <c r="CIU2" s="3">
        <v>1</v>
      </c>
      <c r="CIV2" s="3">
        <v>1</v>
      </c>
      <c r="CIW2" s="3">
        <v>1</v>
      </c>
      <c r="CIX2" s="3">
        <v>1</v>
      </c>
      <c r="CIY2" s="3">
        <v>1</v>
      </c>
      <c r="CIZ2" s="3">
        <v>1</v>
      </c>
      <c r="CJA2" s="3">
        <v>1</v>
      </c>
      <c r="CJB2" s="3">
        <v>1</v>
      </c>
      <c r="CJC2" s="3">
        <v>1</v>
      </c>
      <c r="CJD2" s="3">
        <v>1</v>
      </c>
      <c r="CJE2" s="3">
        <v>1</v>
      </c>
      <c r="CJF2" s="3">
        <v>1</v>
      </c>
      <c r="CJG2" s="3">
        <v>1</v>
      </c>
      <c r="CJH2" s="3">
        <v>1</v>
      </c>
      <c r="CJI2" s="3">
        <v>1</v>
      </c>
      <c r="CJJ2" s="3">
        <v>1</v>
      </c>
      <c r="CJK2" s="3">
        <v>1</v>
      </c>
      <c r="CJL2" s="3">
        <v>1</v>
      </c>
      <c r="CJM2" s="3">
        <v>1</v>
      </c>
      <c r="CJN2" s="3">
        <v>1</v>
      </c>
      <c r="CJO2" s="3">
        <v>1</v>
      </c>
      <c r="CJP2" s="3">
        <v>1</v>
      </c>
      <c r="CJQ2" s="3">
        <v>1</v>
      </c>
      <c r="CJR2" s="3">
        <v>1</v>
      </c>
      <c r="CJS2" s="3">
        <v>1</v>
      </c>
      <c r="CJT2" s="3">
        <v>1</v>
      </c>
      <c r="CJU2" s="3">
        <v>1</v>
      </c>
      <c r="CJV2" s="3">
        <v>1</v>
      </c>
      <c r="CJW2" s="3">
        <v>1</v>
      </c>
      <c r="CJX2" s="3">
        <v>1</v>
      </c>
      <c r="CJY2" s="3">
        <v>1</v>
      </c>
      <c r="CJZ2" s="3">
        <v>1</v>
      </c>
      <c r="CKA2" s="3">
        <v>1</v>
      </c>
      <c r="CKB2" s="3">
        <v>1</v>
      </c>
      <c r="CKC2" s="3">
        <v>1</v>
      </c>
      <c r="CKD2" s="3">
        <v>1</v>
      </c>
      <c r="CKE2" s="3">
        <v>1</v>
      </c>
      <c r="CKF2" s="3">
        <v>1</v>
      </c>
      <c r="CKG2" s="3">
        <v>1</v>
      </c>
      <c r="CKH2" s="3">
        <v>1</v>
      </c>
      <c r="CKI2" s="3">
        <v>1</v>
      </c>
      <c r="CKJ2" s="3">
        <v>1</v>
      </c>
      <c r="CKK2" s="3">
        <v>1</v>
      </c>
      <c r="CKL2" s="3">
        <v>1</v>
      </c>
      <c r="CKM2" s="3">
        <v>1</v>
      </c>
      <c r="CKN2" s="3">
        <v>1</v>
      </c>
      <c r="CKO2" s="3">
        <v>1</v>
      </c>
      <c r="CKP2" s="3">
        <v>1</v>
      </c>
      <c r="CKQ2" s="3">
        <v>1</v>
      </c>
      <c r="CKR2" s="3">
        <v>1</v>
      </c>
      <c r="CKS2" s="3">
        <v>1</v>
      </c>
      <c r="CKT2" s="3">
        <v>1</v>
      </c>
      <c r="CKU2" s="3">
        <v>1</v>
      </c>
      <c r="CKV2" s="3">
        <v>1</v>
      </c>
      <c r="CKW2" s="3">
        <v>1</v>
      </c>
      <c r="CKX2" s="3">
        <v>1</v>
      </c>
      <c r="CKY2" s="3">
        <v>1</v>
      </c>
      <c r="CKZ2" s="3">
        <v>1</v>
      </c>
      <c r="CLA2" s="3">
        <v>1</v>
      </c>
      <c r="CLB2" s="3">
        <v>1</v>
      </c>
      <c r="CLC2" s="3">
        <v>1</v>
      </c>
      <c r="CLD2" s="3">
        <v>1</v>
      </c>
      <c r="CLE2" s="3">
        <v>1</v>
      </c>
      <c r="CLF2" s="3">
        <v>1</v>
      </c>
      <c r="CLG2" s="3">
        <v>1</v>
      </c>
      <c r="CLH2" s="3">
        <v>1</v>
      </c>
      <c r="CLI2" s="3">
        <v>1</v>
      </c>
      <c r="CLJ2" s="3">
        <v>1</v>
      </c>
      <c r="CLK2" s="3">
        <v>1</v>
      </c>
      <c r="CLL2" s="3">
        <v>1</v>
      </c>
      <c r="CLM2" s="3">
        <v>1</v>
      </c>
      <c r="CLN2" s="3">
        <v>1</v>
      </c>
      <c r="CLO2" s="3">
        <v>1</v>
      </c>
      <c r="CLP2" s="3">
        <v>1</v>
      </c>
      <c r="CLQ2" s="3">
        <v>1</v>
      </c>
      <c r="CLR2" s="3">
        <v>1</v>
      </c>
      <c r="CLS2" s="3">
        <v>1</v>
      </c>
      <c r="CLT2" s="3">
        <v>1</v>
      </c>
      <c r="CLU2" s="3">
        <v>1</v>
      </c>
      <c r="CLV2" s="3">
        <v>1</v>
      </c>
      <c r="CLW2" s="3">
        <v>1</v>
      </c>
      <c r="CLX2" s="3">
        <v>1</v>
      </c>
      <c r="CLY2" s="3">
        <v>1</v>
      </c>
      <c r="CLZ2" s="3">
        <v>1</v>
      </c>
      <c r="CMA2" s="3">
        <v>1</v>
      </c>
      <c r="CMB2" s="3">
        <v>1</v>
      </c>
      <c r="CMC2" s="3">
        <v>1</v>
      </c>
      <c r="CMD2" s="3">
        <v>1</v>
      </c>
      <c r="CME2" s="3">
        <v>1</v>
      </c>
      <c r="CMF2" s="3">
        <v>1</v>
      </c>
      <c r="CMG2" s="3">
        <v>1</v>
      </c>
      <c r="CMH2" s="3">
        <v>1</v>
      </c>
      <c r="CMI2" s="3">
        <v>1</v>
      </c>
      <c r="CMJ2" s="3">
        <v>1</v>
      </c>
      <c r="CMK2" s="3">
        <v>1</v>
      </c>
      <c r="CML2" s="3">
        <v>1</v>
      </c>
      <c r="CMM2" s="3">
        <v>1</v>
      </c>
      <c r="CMN2" s="3">
        <v>1</v>
      </c>
      <c r="CMO2" s="3">
        <v>1</v>
      </c>
      <c r="CMP2" s="3">
        <v>1</v>
      </c>
      <c r="CMQ2" s="3">
        <v>1</v>
      </c>
      <c r="CMR2" s="3">
        <v>1</v>
      </c>
      <c r="CMS2" s="3">
        <v>1</v>
      </c>
      <c r="CMT2" s="3">
        <v>1</v>
      </c>
      <c r="CMU2" s="3">
        <v>1</v>
      </c>
      <c r="CMV2" s="3">
        <v>1</v>
      </c>
      <c r="CMW2" s="3">
        <v>1</v>
      </c>
      <c r="CMX2" s="3">
        <v>1</v>
      </c>
      <c r="CMY2" s="3">
        <v>1</v>
      </c>
      <c r="CMZ2" s="3">
        <v>1</v>
      </c>
      <c r="CNA2" s="3">
        <v>1</v>
      </c>
      <c r="CNB2" s="3">
        <v>1</v>
      </c>
      <c r="CNC2" s="3">
        <v>1</v>
      </c>
      <c r="CND2" s="3">
        <v>1</v>
      </c>
      <c r="CNE2" s="3">
        <v>1</v>
      </c>
      <c r="CNF2" s="3">
        <v>1</v>
      </c>
      <c r="CNG2" s="3">
        <v>1</v>
      </c>
      <c r="CNH2" s="3">
        <v>1</v>
      </c>
      <c r="CNI2" s="3">
        <v>1</v>
      </c>
      <c r="CNJ2" s="3">
        <v>1</v>
      </c>
      <c r="CNK2" s="3">
        <v>1</v>
      </c>
      <c r="CNL2" s="3">
        <v>1</v>
      </c>
      <c r="CNM2" s="3">
        <v>1</v>
      </c>
      <c r="CNN2" s="3">
        <v>1</v>
      </c>
      <c r="CNO2" s="3">
        <v>1</v>
      </c>
      <c r="CNP2" s="3">
        <v>1</v>
      </c>
      <c r="CNQ2" s="3">
        <v>1</v>
      </c>
      <c r="CNR2" s="3">
        <v>1</v>
      </c>
      <c r="CNS2" s="3">
        <v>1</v>
      </c>
      <c r="CNT2" s="3">
        <v>1</v>
      </c>
      <c r="CNU2" s="3">
        <v>1</v>
      </c>
      <c r="CNV2" s="3">
        <v>1</v>
      </c>
      <c r="CNW2" s="3">
        <v>1</v>
      </c>
      <c r="CNX2" s="3">
        <v>1</v>
      </c>
      <c r="CNY2" s="3">
        <v>1</v>
      </c>
      <c r="CNZ2" s="3">
        <v>1</v>
      </c>
      <c r="COA2" s="3">
        <v>1</v>
      </c>
      <c r="COB2" s="3">
        <v>1</v>
      </c>
      <c r="COC2" s="3">
        <v>1</v>
      </c>
      <c r="COD2" s="3">
        <v>1</v>
      </c>
      <c r="COE2" s="3">
        <v>1</v>
      </c>
      <c r="COF2" s="3">
        <v>1</v>
      </c>
      <c r="COG2" s="3">
        <v>1</v>
      </c>
      <c r="COH2" s="3">
        <v>1</v>
      </c>
      <c r="COI2" s="3">
        <v>1</v>
      </c>
      <c r="COJ2" s="3">
        <v>1</v>
      </c>
      <c r="COK2" s="3">
        <v>1</v>
      </c>
      <c r="COL2" s="3">
        <v>1</v>
      </c>
      <c r="COM2" s="3">
        <v>1</v>
      </c>
      <c r="CON2" s="3">
        <v>1</v>
      </c>
      <c r="COO2" s="3">
        <v>1</v>
      </c>
      <c r="COP2" s="3">
        <v>1</v>
      </c>
      <c r="COQ2" s="3">
        <v>1</v>
      </c>
      <c r="COR2" s="3">
        <v>1</v>
      </c>
      <c r="COS2" s="3">
        <v>1</v>
      </c>
      <c r="COT2" s="3">
        <v>1</v>
      </c>
      <c r="COU2" s="3">
        <v>1</v>
      </c>
      <c r="COV2" s="3">
        <v>1</v>
      </c>
      <c r="COW2" s="3">
        <v>1</v>
      </c>
      <c r="COX2" s="3">
        <v>1</v>
      </c>
      <c r="COY2" s="3">
        <v>1</v>
      </c>
      <c r="COZ2" s="3">
        <v>1</v>
      </c>
      <c r="CPA2" s="3">
        <v>1</v>
      </c>
      <c r="CPB2" s="3">
        <v>1</v>
      </c>
      <c r="CPC2" s="3">
        <v>1</v>
      </c>
      <c r="CPD2" s="3">
        <v>1</v>
      </c>
      <c r="CPE2" s="3">
        <v>1</v>
      </c>
      <c r="CPF2" s="3">
        <v>1</v>
      </c>
      <c r="CPG2" s="3">
        <v>1</v>
      </c>
      <c r="CPH2" s="3">
        <v>1</v>
      </c>
      <c r="CPI2" s="3">
        <v>1</v>
      </c>
      <c r="CPJ2" s="3">
        <v>1</v>
      </c>
      <c r="CPK2" s="3">
        <v>1</v>
      </c>
      <c r="CPL2" s="3">
        <v>1</v>
      </c>
      <c r="CPM2" s="3">
        <v>1</v>
      </c>
      <c r="CPN2" s="3">
        <v>1</v>
      </c>
      <c r="CPO2" s="3">
        <v>1</v>
      </c>
      <c r="CPP2" s="3">
        <v>1</v>
      </c>
      <c r="CPQ2" s="3">
        <v>1</v>
      </c>
      <c r="CPR2" s="3">
        <v>1</v>
      </c>
      <c r="CPS2" s="3">
        <v>1</v>
      </c>
      <c r="CPT2" s="3">
        <v>1</v>
      </c>
      <c r="CPU2" s="3">
        <v>1</v>
      </c>
      <c r="CPV2" s="3">
        <v>1</v>
      </c>
      <c r="CPW2" s="3">
        <v>1</v>
      </c>
      <c r="CPX2" s="3">
        <v>1</v>
      </c>
      <c r="CPY2" s="3">
        <v>1</v>
      </c>
      <c r="CPZ2" s="3">
        <v>1</v>
      </c>
      <c r="CQA2" s="3">
        <v>1</v>
      </c>
      <c r="CQB2" s="3">
        <v>1</v>
      </c>
      <c r="CQC2" s="3">
        <v>1</v>
      </c>
      <c r="CQD2" s="3">
        <v>1</v>
      </c>
      <c r="CQE2" s="3">
        <v>1</v>
      </c>
      <c r="CQF2" s="3">
        <v>1</v>
      </c>
      <c r="CQG2" s="3">
        <v>1</v>
      </c>
      <c r="CQH2" s="3">
        <v>1</v>
      </c>
      <c r="CQI2" s="3">
        <v>1</v>
      </c>
      <c r="CQJ2" s="3">
        <v>1</v>
      </c>
      <c r="CQK2" s="3">
        <v>1</v>
      </c>
      <c r="CQL2" s="3">
        <v>1</v>
      </c>
      <c r="CQM2" s="3">
        <v>1</v>
      </c>
      <c r="CQN2" s="3">
        <v>1</v>
      </c>
      <c r="CQO2" s="3">
        <v>1</v>
      </c>
      <c r="CQP2" s="3">
        <v>1</v>
      </c>
      <c r="CQQ2" s="3">
        <v>1</v>
      </c>
      <c r="CQR2" s="3">
        <v>1</v>
      </c>
      <c r="CQS2" s="3">
        <v>1</v>
      </c>
      <c r="CQT2" s="3">
        <v>1</v>
      </c>
      <c r="CQU2" s="3">
        <v>1</v>
      </c>
      <c r="CQV2" s="3">
        <v>1</v>
      </c>
      <c r="CQW2" s="3">
        <v>1</v>
      </c>
      <c r="CQX2" s="3">
        <v>1</v>
      </c>
      <c r="CQY2" s="3">
        <v>1</v>
      </c>
      <c r="CQZ2" s="3">
        <v>1</v>
      </c>
      <c r="CRA2" s="3">
        <v>1</v>
      </c>
      <c r="CRB2" s="3">
        <v>1</v>
      </c>
      <c r="CRC2" s="3">
        <v>1</v>
      </c>
      <c r="CRD2" s="3">
        <v>1</v>
      </c>
      <c r="CRE2" s="3">
        <v>1</v>
      </c>
      <c r="CRF2" s="3">
        <v>1</v>
      </c>
      <c r="CRG2" s="3">
        <v>1</v>
      </c>
      <c r="CRH2" s="3">
        <v>1</v>
      </c>
      <c r="CRI2" s="3">
        <v>1</v>
      </c>
      <c r="CRJ2" s="3">
        <v>1</v>
      </c>
      <c r="CRK2" s="3">
        <v>1</v>
      </c>
      <c r="CRL2" s="3">
        <v>1</v>
      </c>
      <c r="CRM2" s="3">
        <v>1</v>
      </c>
      <c r="CRN2" s="3">
        <v>1</v>
      </c>
      <c r="CRO2" s="3">
        <v>1</v>
      </c>
      <c r="CRP2" s="3">
        <v>1</v>
      </c>
      <c r="CRQ2" s="3">
        <v>1</v>
      </c>
      <c r="CRR2" s="3">
        <v>1</v>
      </c>
      <c r="CRS2" s="3">
        <v>1</v>
      </c>
      <c r="CRT2" s="3">
        <v>1</v>
      </c>
      <c r="CRU2" s="3">
        <v>1</v>
      </c>
      <c r="CRV2" s="3">
        <v>1</v>
      </c>
      <c r="CRW2" s="3">
        <v>1</v>
      </c>
      <c r="CRX2" s="3">
        <v>1</v>
      </c>
      <c r="CRY2" s="3">
        <v>1</v>
      </c>
      <c r="CRZ2" s="3">
        <v>1</v>
      </c>
      <c r="CSA2" s="3">
        <v>1</v>
      </c>
      <c r="CSB2" s="3">
        <v>1</v>
      </c>
      <c r="CSC2" s="3">
        <v>1</v>
      </c>
      <c r="CSD2" s="3">
        <v>1</v>
      </c>
      <c r="CSE2" s="3">
        <v>1</v>
      </c>
      <c r="CSF2" s="3">
        <v>1</v>
      </c>
      <c r="CSG2" s="3">
        <v>1</v>
      </c>
      <c r="CSH2" s="3">
        <v>1</v>
      </c>
      <c r="CSI2" s="3">
        <v>1</v>
      </c>
      <c r="CSJ2" s="3">
        <v>1</v>
      </c>
      <c r="CSK2" s="3">
        <v>1</v>
      </c>
      <c r="CSL2" s="3">
        <v>1</v>
      </c>
      <c r="CSM2" s="3">
        <v>1</v>
      </c>
      <c r="CSN2" s="3">
        <v>1</v>
      </c>
      <c r="CSO2" s="3">
        <v>1</v>
      </c>
      <c r="CSP2" s="3">
        <v>1</v>
      </c>
      <c r="CSQ2" s="3">
        <v>1</v>
      </c>
      <c r="CSR2" s="3">
        <v>1</v>
      </c>
      <c r="CSS2" s="3">
        <v>1</v>
      </c>
      <c r="CST2" s="3">
        <v>1</v>
      </c>
      <c r="CSU2" s="3">
        <v>1</v>
      </c>
      <c r="CSV2" s="3">
        <v>1</v>
      </c>
      <c r="CSW2" s="3">
        <v>1</v>
      </c>
      <c r="CSX2" s="3">
        <v>1</v>
      </c>
      <c r="CSY2" s="3">
        <v>1</v>
      </c>
      <c r="CSZ2" s="3">
        <v>1</v>
      </c>
      <c r="CTA2" s="3">
        <v>1</v>
      </c>
      <c r="CTB2" s="3">
        <v>1</v>
      </c>
      <c r="CTC2" s="3">
        <v>1</v>
      </c>
      <c r="CTD2" s="3">
        <v>1</v>
      </c>
      <c r="CTE2" s="3">
        <v>1</v>
      </c>
      <c r="CTF2" s="3">
        <v>1</v>
      </c>
      <c r="CTG2" s="3">
        <v>1</v>
      </c>
      <c r="CTH2" s="3">
        <v>1</v>
      </c>
      <c r="CTI2" s="3">
        <v>1</v>
      </c>
      <c r="CTJ2" s="3">
        <v>1</v>
      </c>
      <c r="CTK2" s="3">
        <v>1</v>
      </c>
      <c r="CTL2" s="3">
        <v>1</v>
      </c>
      <c r="CTM2" s="3">
        <v>1</v>
      </c>
      <c r="CTN2" s="3">
        <v>1</v>
      </c>
      <c r="CTO2" s="3">
        <v>1</v>
      </c>
      <c r="CTP2" s="3">
        <v>1</v>
      </c>
      <c r="CTQ2" s="3">
        <v>1</v>
      </c>
      <c r="CTR2" s="3">
        <v>1</v>
      </c>
      <c r="CTS2" s="3">
        <v>1</v>
      </c>
      <c r="CTT2" s="3">
        <v>1</v>
      </c>
      <c r="CTU2" s="3">
        <v>1</v>
      </c>
      <c r="CTV2" s="3">
        <v>1</v>
      </c>
      <c r="CTW2" s="3">
        <v>1</v>
      </c>
      <c r="CTX2" s="3">
        <v>1</v>
      </c>
      <c r="CTY2" s="3">
        <v>1</v>
      </c>
      <c r="CTZ2" s="3">
        <v>1</v>
      </c>
      <c r="CUA2" s="3">
        <v>1</v>
      </c>
      <c r="CUB2" s="3">
        <v>1</v>
      </c>
      <c r="CUC2" s="3">
        <v>1</v>
      </c>
      <c r="CUD2" s="3">
        <v>1</v>
      </c>
      <c r="CUE2" s="3">
        <v>1</v>
      </c>
      <c r="CUF2" s="3">
        <v>1</v>
      </c>
      <c r="CUG2" s="3">
        <v>1</v>
      </c>
      <c r="CUH2" s="3">
        <v>1</v>
      </c>
      <c r="CUI2" s="3">
        <v>1</v>
      </c>
      <c r="CUJ2" s="3">
        <v>1</v>
      </c>
      <c r="CUK2" s="3">
        <v>1</v>
      </c>
      <c r="CUL2" s="3">
        <v>1</v>
      </c>
      <c r="CUM2" s="3">
        <v>1</v>
      </c>
      <c r="CUN2" s="3">
        <v>1</v>
      </c>
      <c r="CUO2" s="3">
        <v>1</v>
      </c>
      <c r="CUP2" s="3">
        <v>1</v>
      </c>
      <c r="CUQ2" s="3">
        <v>1</v>
      </c>
      <c r="CUR2" s="3">
        <v>1</v>
      </c>
      <c r="CUS2" s="3">
        <v>1</v>
      </c>
      <c r="CUT2" s="3">
        <v>1</v>
      </c>
      <c r="CUU2" s="3">
        <v>1</v>
      </c>
      <c r="CUV2" s="3">
        <v>1</v>
      </c>
      <c r="CUW2" s="3">
        <v>1</v>
      </c>
      <c r="CUX2" s="3">
        <v>1</v>
      </c>
      <c r="CUY2" s="3">
        <v>1</v>
      </c>
      <c r="CUZ2" s="3">
        <v>1</v>
      </c>
      <c r="CVA2" s="3">
        <v>1</v>
      </c>
      <c r="CVB2" s="3">
        <v>1</v>
      </c>
      <c r="CVC2" s="3">
        <v>1</v>
      </c>
      <c r="CVD2" s="3">
        <v>1</v>
      </c>
      <c r="CVE2" s="3">
        <v>1</v>
      </c>
      <c r="CVF2" s="3">
        <v>1</v>
      </c>
      <c r="CVG2" s="3">
        <v>1</v>
      </c>
      <c r="CVH2" s="3">
        <v>1</v>
      </c>
      <c r="CVI2" s="3">
        <v>1</v>
      </c>
      <c r="CVJ2" s="3">
        <v>1</v>
      </c>
      <c r="CVK2" s="3">
        <v>1</v>
      </c>
      <c r="CVL2" s="3">
        <v>1</v>
      </c>
      <c r="CVM2" s="3">
        <v>1</v>
      </c>
      <c r="CVN2" s="3">
        <v>1</v>
      </c>
      <c r="CVO2" s="3">
        <v>1</v>
      </c>
      <c r="CVP2" s="3">
        <v>1</v>
      </c>
      <c r="CVQ2" s="3">
        <v>1</v>
      </c>
      <c r="CVR2" s="3">
        <v>1</v>
      </c>
      <c r="CVS2" s="3">
        <v>1</v>
      </c>
      <c r="CVT2" s="3">
        <v>1</v>
      </c>
      <c r="CVU2" s="3">
        <v>1</v>
      </c>
      <c r="CVV2" s="3">
        <v>1</v>
      </c>
      <c r="CVW2" s="3">
        <v>1</v>
      </c>
      <c r="CVX2" s="3">
        <v>1</v>
      </c>
      <c r="CVY2" s="3">
        <v>1</v>
      </c>
      <c r="CVZ2" s="3">
        <v>1</v>
      </c>
      <c r="CWA2" s="3">
        <v>1</v>
      </c>
      <c r="CWB2" s="3">
        <v>1</v>
      </c>
      <c r="CWC2" s="3">
        <v>1</v>
      </c>
      <c r="CWD2" s="3">
        <v>1</v>
      </c>
      <c r="CWE2" s="3">
        <v>1</v>
      </c>
      <c r="CWF2" s="3">
        <v>1</v>
      </c>
      <c r="CWG2" s="3">
        <v>1</v>
      </c>
      <c r="CWH2" s="3">
        <v>1</v>
      </c>
      <c r="CWI2" s="3">
        <v>1</v>
      </c>
      <c r="CWJ2" s="3">
        <v>1</v>
      </c>
      <c r="CWK2" s="3">
        <v>1</v>
      </c>
      <c r="CWL2" s="3">
        <v>1</v>
      </c>
      <c r="CWM2" s="3">
        <v>1</v>
      </c>
      <c r="CWN2" s="3">
        <v>1</v>
      </c>
      <c r="CWO2" s="3">
        <v>1</v>
      </c>
      <c r="CWP2" s="3">
        <v>1</v>
      </c>
      <c r="CWQ2" s="3">
        <v>1</v>
      </c>
      <c r="CWR2" s="3">
        <v>1</v>
      </c>
      <c r="CWS2" s="3">
        <v>1</v>
      </c>
      <c r="CWT2" s="3">
        <v>1</v>
      </c>
      <c r="CWU2" s="3">
        <v>1</v>
      </c>
      <c r="CWV2" s="3">
        <v>1</v>
      </c>
      <c r="CWW2" s="3">
        <v>1</v>
      </c>
      <c r="CWX2" s="3">
        <v>1</v>
      </c>
      <c r="CWY2" s="3">
        <v>1</v>
      </c>
      <c r="CWZ2" s="3">
        <v>1</v>
      </c>
      <c r="CXA2" s="3">
        <v>1</v>
      </c>
      <c r="CXB2" s="3">
        <v>1</v>
      </c>
      <c r="CXC2" s="3">
        <v>1</v>
      </c>
      <c r="CXD2" s="3">
        <v>1</v>
      </c>
      <c r="CXE2" s="3">
        <v>1</v>
      </c>
      <c r="CXF2" s="3">
        <v>1</v>
      </c>
      <c r="CXG2" s="3">
        <v>1</v>
      </c>
      <c r="CXH2" s="3">
        <v>1</v>
      </c>
      <c r="CXI2" s="3">
        <v>1</v>
      </c>
      <c r="CXJ2" s="3">
        <v>1</v>
      </c>
      <c r="CXK2" s="3">
        <v>1</v>
      </c>
      <c r="CXL2" s="3">
        <v>1</v>
      </c>
      <c r="CXM2" s="3">
        <v>1</v>
      </c>
      <c r="CXN2" s="3">
        <v>1</v>
      </c>
      <c r="CXO2" s="3">
        <v>1</v>
      </c>
      <c r="CXP2" s="3">
        <v>1</v>
      </c>
      <c r="CXQ2" s="3">
        <v>1</v>
      </c>
      <c r="CXR2" s="3">
        <v>1</v>
      </c>
      <c r="CXS2" s="3">
        <v>1</v>
      </c>
      <c r="CXT2" s="3">
        <v>1</v>
      </c>
      <c r="CXU2" s="3">
        <v>1</v>
      </c>
      <c r="CXV2" s="3">
        <v>1</v>
      </c>
      <c r="CXW2" s="3">
        <v>1</v>
      </c>
      <c r="CXX2" s="3">
        <v>1</v>
      </c>
      <c r="CXY2" s="3">
        <v>1</v>
      </c>
      <c r="CXZ2" s="3">
        <v>1</v>
      </c>
      <c r="CYA2" s="3">
        <v>1</v>
      </c>
      <c r="CYB2" s="3">
        <v>1</v>
      </c>
      <c r="CYC2" s="3">
        <v>1</v>
      </c>
      <c r="CYD2" s="3">
        <v>1</v>
      </c>
      <c r="CYE2" s="3">
        <v>1</v>
      </c>
      <c r="CYF2" s="3">
        <v>1</v>
      </c>
      <c r="CYG2" s="3">
        <v>1</v>
      </c>
      <c r="CYH2" s="3">
        <v>1</v>
      </c>
      <c r="CYI2" s="3">
        <v>1</v>
      </c>
      <c r="CYJ2" s="3">
        <v>1</v>
      </c>
      <c r="CYK2" s="3">
        <v>1</v>
      </c>
      <c r="CYL2" s="3">
        <v>1</v>
      </c>
      <c r="CYM2" s="3">
        <v>1</v>
      </c>
      <c r="CYN2" s="3">
        <v>1</v>
      </c>
      <c r="CYO2" s="3">
        <v>1</v>
      </c>
      <c r="CYP2" s="3">
        <v>1</v>
      </c>
      <c r="CYQ2" s="3">
        <v>1</v>
      </c>
      <c r="CYR2" s="3">
        <v>1</v>
      </c>
      <c r="CYS2" s="3">
        <v>1</v>
      </c>
      <c r="CYT2" s="3">
        <v>1</v>
      </c>
      <c r="CYU2" s="3">
        <v>1</v>
      </c>
      <c r="CYV2" s="3">
        <v>1</v>
      </c>
      <c r="CYW2" s="3">
        <v>1</v>
      </c>
      <c r="CYX2" s="3">
        <v>1</v>
      </c>
      <c r="CYY2" s="3">
        <v>1</v>
      </c>
      <c r="CYZ2" s="3">
        <v>1</v>
      </c>
      <c r="CZA2" s="3">
        <v>1</v>
      </c>
      <c r="CZB2" s="3">
        <v>1</v>
      </c>
      <c r="CZC2" s="3">
        <v>1</v>
      </c>
      <c r="CZD2" s="3">
        <v>1</v>
      </c>
      <c r="CZE2" s="3">
        <v>1</v>
      </c>
      <c r="CZF2" s="3">
        <v>1</v>
      </c>
      <c r="CZG2" s="3">
        <v>1</v>
      </c>
      <c r="CZH2" s="3">
        <v>1</v>
      </c>
      <c r="CZI2" s="3">
        <v>1</v>
      </c>
      <c r="CZJ2" s="3">
        <v>1</v>
      </c>
      <c r="CZK2" s="3">
        <v>1</v>
      </c>
      <c r="CZL2" s="3">
        <v>1</v>
      </c>
    </row>
    <row r="3" spans="1:2716">
      <c r="A3" t="s">
        <v>116</v>
      </c>
      <c r="B3" s="28">
        <v>46022</v>
      </c>
      <c r="C3" s="28">
        <v>46021</v>
      </c>
      <c r="D3" s="28">
        <v>46018</v>
      </c>
      <c r="E3" s="28">
        <v>46017</v>
      </c>
      <c r="F3" s="28">
        <v>46016</v>
      </c>
      <c r="G3" s="28">
        <v>46015</v>
      </c>
      <c r="H3" s="28">
        <v>46014</v>
      </c>
      <c r="I3" s="28">
        <v>46011</v>
      </c>
      <c r="J3" s="28">
        <v>46010</v>
      </c>
      <c r="K3" s="28">
        <v>46009</v>
      </c>
      <c r="L3" s="28">
        <v>46008</v>
      </c>
      <c r="M3" s="28">
        <v>46007</v>
      </c>
      <c r="N3" s="28">
        <v>46004</v>
      </c>
      <c r="O3" s="28">
        <v>46003</v>
      </c>
      <c r="P3" s="28">
        <v>46002</v>
      </c>
      <c r="Q3" s="28">
        <v>46001</v>
      </c>
      <c r="R3" s="28">
        <v>46000</v>
      </c>
      <c r="S3" s="28">
        <v>45997</v>
      </c>
      <c r="T3" s="28">
        <v>45996</v>
      </c>
      <c r="U3" s="28">
        <v>45995</v>
      </c>
      <c r="V3" s="28">
        <v>45994</v>
      </c>
      <c r="W3" s="28">
        <v>45993</v>
      </c>
      <c r="X3" s="28">
        <v>45990</v>
      </c>
      <c r="Y3" s="28">
        <v>45989</v>
      </c>
      <c r="Z3" s="28">
        <v>45988</v>
      </c>
      <c r="AA3" s="28">
        <v>45987</v>
      </c>
      <c r="AB3" s="28">
        <v>45986</v>
      </c>
      <c r="AC3" s="28">
        <v>45983</v>
      </c>
      <c r="AD3" s="28">
        <v>45982</v>
      </c>
      <c r="AE3" s="28">
        <v>45981</v>
      </c>
      <c r="AF3" s="28">
        <v>45980</v>
      </c>
      <c r="AG3" s="28">
        <v>45979</v>
      </c>
      <c r="AH3" s="28">
        <v>45976</v>
      </c>
      <c r="AI3" s="28">
        <v>45975</v>
      </c>
      <c r="AJ3" s="28">
        <v>45974</v>
      </c>
      <c r="AK3" s="28">
        <v>45973</v>
      </c>
      <c r="AL3" s="28">
        <v>45972</v>
      </c>
      <c r="AM3" s="28">
        <v>45969</v>
      </c>
      <c r="AN3" s="28">
        <v>45968</v>
      </c>
      <c r="AO3" s="28">
        <v>45967</v>
      </c>
      <c r="AP3" s="28">
        <v>45963</v>
      </c>
      <c r="AQ3" s="28">
        <v>45962</v>
      </c>
      <c r="AR3" s="28">
        <v>45961</v>
      </c>
      <c r="AS3" s="28">
        <v>45960</v>
      </c>
      <c r="AT3" s="28">
        <v>45959</v>
      </c>
      <c r="AU3" s="28">
        <v>45958</v>
      </c>
      <c r="AV3" s="28">
        <v>45955</v>
      </c>
      <c r="AW3" s="28">
        <v>45954</v>
      </c>
      <c r="AX3" s="28">
        <v>45953</v>
      </c>
      <c r="AY3" s="28">
        <v>45952</v>
      </c>
      <c r="AZ3" s="28">
        <v>45951</v>
      </c>
      <c r="BA3" s="28">
        <v>45948</v>
      </c>
      <c r="BB3" s="28">
        <v>45947</v>
      </c>
      <c r="BC3" s="28">
        <v>45946</v>
      </c>
      <c r="BD3" s="28">
        <v>45945</v>
      </c>
      <c r="BE3" s="28">
        <v>45944</v>
      </c>
      <c r="BF3" s="28">
        <v>45941</v>
      </c>
      <c r="BG3" s="28">
        <v>45940</v>
      </c>
      <c r="BH3" s="28">
        <v>45939</v>
      </c>
      <c r="BI3" s="28">
        <v>45938</v>
      </c>
      <c r="BJ3" s="28">
        <v>45937</v>
      </c>
      <c r="BK3" s="28">
        <v>45934</v>
      </c>
      <c r="BL3" s="28">
        <v>45933</v>
      </c>
      <c r="BM3" s="28">
        <v>45932</v>
      </c>
      <c r="BN3" s="28">
        <v>45931</v>
      </c>
      <c r="BO3" s="28">
        <v>45930</v>
      </c>
      <c r="BP3" s="28">
        <v>45927</v>
      </c>
      <c r="BQ3" s="28">
        <v>45926</v>
      </c>
      <c r="BR3" s="28">
        <v>45925</v>
      </c>
      <c r="BS3" s="28">
        <v>45924</v>
      </c>
      <c r="BT3" s="28">
        <v>45923</v>
      </c>
      <c r="BU3" s="28">
        <v>45920</v>
      </c>
      <c r="BV3" s="28">
        <v>45919</v>
      </c>
      <c r="BW3" s="28">
        <v>45918</v>
      </c>
      <c r="BX3" s="28">
        <v>45917</v>
      </c>
      <c r="BY3" s="28">
        <v>45916</v>
      </c>
      <c r="BZ3" s="28">
        <v>45913</v>
      </c>
      <c r="CA3" s="28">
        <v>45912</v>
      </c>
      <c r="CB3" s="28">
        <v>45911</v>
      </c>
      <c r="CC3" s="28">
        <v>45910</v>
      </c>
      <c r="CD3" s="28">
        <v>45909</v>
      </c>
      <c r="CE3" s="28">
        <v>45906</v>
      </c>
      <c r="CF3" s="28">
        <v>45905</v>
      </c>
      <c r="CG3" s="28">
        <v>45904</v>
      </c>
      <c r="CH3" s="28">
        <v>45903</v>
      </c>
      <c r="CI3" s="28">
        <v>45902</v>
      </c>
      <c r="CJ3" s="28">
        <v>45899</v>
      </c>
      <c r="CK3" s="28">
        <v>45898</v>
      </c>
      <c r="CL3" s="28">
        <v>45897</v>
      </c>
      <c r="CM3" s="28">
        <v>45896</v>
      </c>
      <c r="CN3" s="28">
        <v>45895</v>
      </c>
      <c r="CO3" s="28">
        <v>45892</v>
      </c>
      <c r="CP3" s="28">
        <v>45891</v>
      </c>
      <c r="CQ3" s="28">
        <v>45890</v>
      </c>
      <c r="CR3" s="28">
        <v>45889</v>
      </c>
      <c r="CS3" s="28">
        <v>45888</v>
      </c>
      <c r="CT3" s="28">
        <v>45885</v>
      </c>
      <c r="CU3" s="28">
        <v>45884</v>
      </c>
      <c r="CV3" s="28">
        <v>45883</v>
      </c>
      <c r="CW3" s="28">
        <v>45882</v>
      </c>
      <c r="CX3" s="28">
        <v>45881</v>
      </c>
      <c r="CY3" s="28">
        <v>45878</v>
      </c>
      <c r="CZ3" s="28">
        <v>45877</v>
      </c>
      <c r="DA3" s="28">
        <v>45876</v>
      </c>
      <c r="DB3" s="28">
        <v>45875</v>
      </c>
      <c r="DC3" s="28">
        <v>45874</v>
      </c>
      <c r="DD3" s="28">
        <v>45871</v>
      </c>
      <c r="DE3" s="28">
        <v>45870</v>
      </c>
      <c r="DF3" s="28">
        <v>45869</v>
      </c>
      <c r="DG3" s="28">
        <v>45868</v>
      </c>
      <c r="DH3" s="28">
        <v>45867</v>
      </c>
      <c r="DI3" s="28">
        <v>45864</v>
      </c>
      <c r="DJ3" s="28">
        <v>45863</v>
      </c>
      <c r="DK3" s="28">
        <v>45862</v>
      </c>
      <c r="DL3" s="28">
        <v>45861</v>
      </c>
      <c r="DM3" s="28">
        <v>45860</v>
      </c>
      <c r="DN3" s="28">
        <v>45857</v>
      </c>
      <c r="DO3" s="28">
        <v>45856</v>
      </c>
      <c r="DP3" s="28">
        <v>45855</v>
      </c>
      <c r="DQ3" s="28">
        <v>45854</v>
      </c>
      <c r="DR3" s="28">
        <v>45853</v>
      </c>
      <c r="DS3" s="28">
        <v>45850</v>
      </c>
      <c r="DT3" s="28">
        <v>45849</v>
      </c>
      <c r="DU3" s="28">
        <v>45848</v>
      </c>
      <c r="DV3" s="28">
        <v>45847</v>
      </c>
      <c r="DW3" s="28">
        <v>45846</v>
      </c>
      <c r="DX3" s="28">
        <v>45843</v>
      </c>
      <c r="DY3" s="28">
        <v>45842</v>
      </c>
      <c r="DZ3" s="28">
        <v>45841</v>
      </c>
      <c r="EA3" s="28">
        <v>45840</v>
      </c>
      <c r="EB3" s="28">
        <v>45839</v>
      </c>
      <c r="EC3" s="28">
        <v>45836</v>
      </c>
      <c r="ED3" s="28">
        <v>45835</v>
      </c>
      <c r="EE3" s="28">
        <v>45834</v>
      </c>
      <c r="EF3" s="28">
        <v>45833</v>
      </c>
      <c r="EG3" s="28">
        <v>45832</v>
      </c>
      <c r="EH3" s="28">
        <v>45829</v>
      </c>
      <c r="EI3" s="28">
        <v>45828</v>
      </c>
      <c r="EJ3" s="28">
        <v>45827</v>
      </c>
      <c r="EK3" s="28">
        <v>45826</v>
      </c>
      <c r="EL3" s="28">
        <v>45825</v>
      </c>
      <c r="EM3" s="28">
        <v>45820</v>
      </c>
      <c r="EN3" s="28">
        <v>45819</v>
      </c>
      <c r="EO3" s="28">
        <v>45818</v>
      </c>
      <c r="EP3" s="28">
        <v>45815</v>
      </c>
      <c r="EQ3" s="28">
        <v>45814</v>
      </c>
      <c r="ER3" s="28">
        <v>45813</v>
      </c>
      <c r="ES3" s="28">
        <v>45812</v>
      </c>
      <c r="ET3" s="28">
        <v>45811</v>
      </c>
      <c r="EU3" s="28">
        <v>45808</v>
      </c>
      <c r="EV3" s="28">
        <v>45807</v>
      </c>
      <c r="EW3" s="28">
        <v>45806</v>
      </c>
      <c r="EX3" s="28">
        <v>45805</v>
      </c>
      <c r="EY3" s="28">
        <v>45804</v>
      </c>
      <c r="EZ3" s="28">
        <v>45801</v>
      </c>
      <c r="FA3" s="28">
        <v>45800</v>
      </c>
      <c r="FB3" s="28">
        <v>45799</v>
      </c>
      <c r="FC3" s="28">
        <v>45798</v>
      </c>
      <c r="FD3" s="28">
        <v>45797</v>
      </c>
      <c r="FE3" s="28">
        <v>45794</v>
      </c>
      <c r="FF3" s="28">
        <v>45793</v>
      </c>
      <c r="FG3" s="28">
        <v>45792</v>
      </c>
      <c r="FH3" s="28">
        <v>45791</v>
      </c>
      <c r="FI3" s="28">
        <v>45790</v>
      </c>
      <c r="FJ3" s="28">
        <v>45785</v>
      </c>
      <c r="FK3" s="28">
        <v>45784</v>
      </c>
      <c r="FL3" s="28">
        <v>45783</v>
      </c>
      <c r="FM3" s="28">
        <v>45778</v>
      </c>
      <c r="FN3" s="28">
        <v>45777</v>
      </c>
      <c r="FO3" s="28">
        <v>45776</v>
      </c>
      <c r="FP3" s="28">
        <v>45773</v>
      </c>
      <c r="FQ3" s="28">
        <v>45772</v>
      </c>
      <c r="FR3" s="28">
        <v>45771</v>
      </c>
      <c r="FS3" s="28">
        <v>45770</v>
      </c>
      <c r="FT3" s="28">
        <v>45769</v>
      </c>
      <c r="FU3" s="28">
        <v>45766</v>
      </c>
      <c r="FV3" s="28">
        <v>45765</v>
      </c>
      <c r="FW3" s="28">
        <v>45764</v>
      </c>
      <c r="FX3" s="28">
        <v>45763</v>
      </c>
      <c r="FY3" s="28">
        <v>45762</v>
      </c>
      <c r="FZ3" s="28">
        <v>45759</v>
      </c>
      <c r="GA3" s="28">
        <v>45758</v>
      </c>
      <c r="GB3" s="28">
        <v>45757</v>
      </c>
      <c r="GC3" s="28">
        <v>45756</v>
      </c>
      <c r="GD3" s="28">
        <v>45755</v>
      </c>
      <c r="GE3" s="28">
        <v>45752</v>
      </c>
      <c r="GF3" s="28">
        <v>45751</v>
      </c>
      <c r="GG3" s="28">
        <v>45750</v>
      </c>
      <c r="GH3" s="28">
        <v>45749</v>
      </c>
      <c r="GI3" s="28">
        <v>45748</v>
      </c>
      <c r="GJ3" s="28">
        <v>45745</v>
      </c>
      <c r="GK3" s="28">
        <v>45744</v>
      </c>
      <c r="GL3" s="28">
        <v>45743</v>
      </c>
      <c r="GM3" s="28">
        <v>45742</v>
      </c>
      <c r="GN3" s="28">
        <v>45741</v>
      </c>
      <c r="GO3" s="28">
        <v>45738</v>
      </c>
      <c r="GP3" s="28">
        <v>45737</v>
      </c>
      <c r="GQ3" s="28">
        <v>45736</v>
      </c>
      <c r="GR3" s="28">
        <v>45735</v>
      </c>
      <c r="GS3" s="28">
        <v>45734</v>
      </c>
      <c r="GT3" s="28">
        <v>45731</v>
      </c>
      <c r="GU3" s="28">
        <v>45730</v>
      </c>
      <c r="GV3" s="28">
        <v>45729</v>
      </c>
      <c r="GW3" s="28">
        <v>45728</v>
      </c>
      <c r="GX3" s="28">
        <v>45727</v>
      </c>
      <c r="GY3" s="28">
        <v>45724</v>
      </c>
      <c r="GZ3" s="28">
        <v>45723</v>
      </c>
      <c r="HA3" s="28">
        <v>45722</v>
      </c>
      <c r="HB3" s="28">
        <v>45721</v>
      </c>
      <c r="HC3" s="28">
        <v>45720</v>
      </c>
      <c r="HD3" s="28">
        <v>45717</v>
      </c>
      <c r="HE3" s="28">
        <v>45716</v>
      </c>
      <c r="HF3" s="28">
        <v>45715</v>
      </c>
      <c r="HG3" s="28">
        <v>45714</v>
      </c>
      <c r="HH3" s="28">
        <v>45713</v>
      </c>
      <c r="HI3" s="28">
        <v>45710</v>
      </c>
      <c r="HJ3" s="28">
        <v>45709</v>
      </c>
      <c r="HK3" s="28">
        <v>45708</v>
      </c>
      <c r="HL3" s="28">
        <v>45707</v>
      </c>
      <c r="HM3" s="28">
        <v>45706</v>
      </c>
      <c r="HN3" s="28">
        <v>45703</v>
      </c>
      <c r="HO3" s="28">
        <v>45702</v>
      </c>
      <c r="HP3" s="28">
        <v>45701</v>
      </c>
      <c r="HQ3" s="28">
        <v>45700</v>
      </c>
      <c r="HR3" s="28">
        <v>45699</v>
      </c>
      <c r="HS3" s="28">
        <v>45696</v>
      </c>
      <c r="HT3" s="28">
        <v>45695</v>
      </c>
      <c r="HU3" s="28">
        <v>45694</v>
      </c>
      <c r="HV3" s="28">
        <v>45693</v>
      </c>
      <c r="HW3" s="28">
        <v>45692</v>
      </c>
      <c r="HX3" s="28">
        <v>45689</v>
      </c>
      <c r="HY3" s="28">
        <v>45688</v>
      </c>
      <c r="HZ3" s="28">
        <v>45687</v>
      </c>
      <c r="IA3" s="28">
        <v>45686</v>
      </c>
      <c r="IB3" s="28">
        <v>45685</v>
      </c>
      <c r="IC3" s="28">
        <v>45682</v>
      </c>
      <c r="ID3" s="28">
        <v>45681</v>
      </c>
      <c r="IE3" s="28">
        <v>45680</v>
      </c>
      <c r="IF3" s="28">
        <v>45679</v>
      </c>
      <c r="IG3" s="28">
        <v>45678</v>
      </c>
      <c r="IH3" s="28">
        <v>45675</v>
      </c>
      <c r="II3" s="28">
        <v>45674</v>
      </c>
      <c r="IJ3" s="28">
        <v>45673</v>
      </c>
      <c r="IK3" s="28">
        <v>45672</v>
      </c>
      <c r="IL3" s="28">
        <v>45671</v>
      </c>
      <c r="IM3" s="28">
        <v>45668</v>
      </c>
      <c r="IN3" s="28">
        <v>45667</v>
      </c>
      <c r="IO3" s="28">
        <v>45655</v>
      </c>
      <c r="IP3" s="28">
        <v>45654</v>
      </c>
      <c r="IQ3" s="28">
        <v>45653</v>
      </c>
      <c r="IR3" s="28">
        <v>45652</v>
      </c>
      <c r="IS3" s="28">
        <v>45651</v>
      </c>
      <c r="IT3" s="28">
        <v>45650</v>
      </c>
      <c r="IU3" s="28">
        <v>45647</v>
      </c>
      <c r="IV3" s="28">
        <v>45646</v>
      </c>
      <c r="IW3" s="28">
        <v>45645</v>
      </c>
      <c r="IX3" s="28">
        <v>45644</v>
      </c>
      <c r="IY3" s="28">
        <v>45643</v>
      </c>
      <c r="IZ3" s="28">
        <v>45640</v>
      </c>
      <c r="JA3" s="28">
        <v>45639</v>
      </c>
      <c r="JB3" s="28">
        <v>45638</v>
      </c>
      <c r="JC3" s="28">
        <v>45637</v>
      </c>
      <c r="JD3" s="28">
        <v>45636</v>
      </c>
      <c r="JE3" s="28">
        <v>45633</v>
      </c>
      <c r="JF3" s="28">
        <v>45632</v>
      </c>
      <c r="JG3" s="28">
        <v>45631</v>
      </c>
      <c r="JH3" s="28">
        <v>45630</v>
      </c>
      <c r="JI3" s="28">
        <v>45629</v>
      </c>
      <c r="JJ3" s="28">
        <v>45626</v>
      </c>
      <c r="JK3" s="28">
        <v>45625</v>
      </c>
      <c r="JL3" s="28">
        <v>45624</v>
      </c>
      <c r="JM3" s="28">
        <v>45623</v>
      </c>
      <c r="JN3" s="28">
        <v>45622</v>
      </c>
      <c r="JO3" s="28">
        <v>45619</v>
      </c>
      <c r="JP3" s="28">
        <v>45618</v>
      </c>
      <c r="JQ3" s="28">
        <v>45617</v>
      </c>
      <c r="JR3" s="28">
        <v>45616</v>
      </c>
      <c r="JS3" s="28">
        <v>45615</v>
      </c>
      <c r="JT3" s="28">
        <v>45612</v>
      </c>
      <c r="JU3" s="28">
        <v>45611</v>
      </c>
      <c r="JV3" s="28">
        <v>45610</v>
      </c>
      <c r="JW3" s="28">
        <v>45609</v>
      </c>
      <c r="JX3" s="28">
        <v>45608</v>
      </c>
      <c r="JY3" s="28">
        <v>45605</v>
      </c>
      <c r="JZ3" s="28">
        <v>45604</v>
      </c>
      <c r="KA3" s="28">
        <v>45603</v>
      </c>
      <c r="KB3" s="28">
        <v>45602</v>
      </c>
      <c r="KC3" s="28">
        <v>45599</v>
      </c>
      <c r="KD3" s="28">
        <v>45598</v>
      </c>
      <c r="KE3" s="28">
        <v>45597</v>
      </c>
      <c r="KF3" s="28">
        <v>45596</v>
      </c>
      <c r="KG3" s="28">
        <v>45595</v>
      </c>
      <c r="KH3" s="28">
        <v>45594</v>
      </c>
      <c r="KI3" s="28">
        <v>45591</v>
      </c>
      <c r="KJ3" s="28">
        <v>45590</v>
      </c>
      <c r="KK3" s="28">
        <v>45589</v>
      </c>
      <c r="KL3" s="28">
        <v>45588</v>
      </c>
      <c r="KM3" s="28">
        <v>45587</v>
      </c>
      <c r="KN3" s="28">
        <v>45584</v>
      </c>
      <c r="KO3" s="28">
        <v>45583</v>
      </c>
      <c r="KP3" s="28">
        <v>45582</v>
      </c>
      <c r="KQ3" s="28">
        <v>45581</v>
      </c>
      <c r="KR3" s="28">
        <v>45580</v>
      </c>
      <c r="KS3" s="28">
        <v>45577</v>
      </c>
      <c r="KT3" s="28">
        <v>45576</v>
      </c>
      <c r="KU3" s="28">
        <v>45575</v>
      </c>
      <c r="KV3" s="28">
        <v>45574</v>
      </c>
      <c r="KW3" s="28">
        <v>45573</v>
      </c>
      <c r="KX3" s="28">
        <v>45570</v>
      </c>
      <c r="KY3" s="28">
        <v>45569</v>
      </c>
      <c r="KZ3" s="28">
        <v>45568</v>
      </c>
      <c r="LA3" s="28">
        <v>45567</v>
      </c>
      <c r="LB3" s="28">
        <v>45566</v>
      </c>
      <c r="LC3" s="28">
        <v>45563</v>
      </c>
      <c r="LD3" s="28">
        <v>45562</v>
      </c>
      <c r="LE3" s="28">
        <v>45561</v>
      </c>
      <c r="LF3" s="28">
        <v>45560</v>
      </c>
      <c r="LG3" s="28">
        <v>45559</v>
      </c>
      <c r="LH3" s="28">
        <v>45556</v>
      </c>
      <c r="LI3" s="28">
        <v>45555</v>
      </c>
      <c r="LJ3" s="28">
        <v>45554</v>
      </c>
      <c r="LK3" s="28">
        <v>45553</v>
      </c>
      <c r="LL3" s="28">
        <v>45552</v>
      </c>
      <c r="LM3" s="28">
        <v>45549</v>
      </c>
      <c r="LN3" s="28">
        <v>45548</v>
      </c>
      <c r="LO3" s="28">
        <v>45547</v>
      </c>
      <c r="LP3" s="28">
        <v>45546</v>
      </c>
      <c r="LQ3" s="28">
        <v>45545</v>
      </c>
      <c r="LR3" s="28">
        <v>45542</v>
      </c>
      <c r="LS3" s="28">
        <v>45541</v>
      </c>
      <c r="LT3" s="28">
        <v>45540</v>
      </c>
      <c r="LU3" s="28">
        <v>45539</v>
      </c>
      <c r="LV3" s="28">
        <v>45538</v>
      </c>
      <c r="LW3" s="28">
        <v>45535</v>
      </c>
      <c r="LX3" s="28">
        <v>45534</v>
      </c>
      <c r="LY3" s="28">
        <v>45533</v>
      </c>
      <c r="LZ3" s="28">
        <v>45532</v>
      </c>
      <c r="MA3" s="28">
        <v>45531</v>
      </c>
      <c r="MB3" s="28">
        <v>45528</v>
      </c>
      <c r="MC3" s="28">
        <v>45527</v>
      </c>
      <c r="MD3" s="28">
        <v>45526</v>
      </c>
      <c r="ME3" s="28">
        <v>45525</v>
      </c>
      <c r="MF3" s="28">
        <v>45524</v>
      </c>
      <c r="MG3" s="28">
        <v>45521</v>
      </c>
      <c r="MH3" s="28">
        <v>45520</v>
      </c>
      <c r="MI3" s="28">
        <v>45519</v>
      </c>
      <c r="MJ3" s="28">
        <v>45518</v>
      </c>
      <c r="MK3" s="28">
        <v>45517</v>
      </c>
      <c r="ML3" s="28">
        <v>45514</v>
      </c>
      <c r="MM3" s="28">
        <v>45513</v>
      </c>
      <c r="MN3" s="28">
        <v>45512</v>
      </c>
      <c r="MO3" s="28">
        <v>45511</v>
      </c>
      <c r="MP3" s="28">
        <v>45510</v>
      </c>
      <c r="MQ3" s="28">
        <v>45507</v>
      </c>
      <c r="MR3" s="28">
        <v>45506</v>
      </c>
      <c r="MS3" s="28">
        <v>45505</v>
      </c>
      <c r="MT3" s="28">
        <v>45504</v>
      </c>
      <c r="MU3" s="28">
        <v>45503</v>
      </c>
      <c r="MV3" s="28">
        <v>45500</v>
      </c>
      <c r="MW3" s="28">
        <v>45499</v>
      </c>
      <c r="MX3" s="28">
        <v>45498</v>
      </c>
      <c r="MY3" s="28">
        <v>45497</v>
      </c>
      <c r="MZ3" s="28">
        <v>45496</v>
      </c>
      <c r="NA3" s="28">
        <v>45493</v>
      </c>
      <c r="NB3" s="28">
        <v>45492</v>
      </c>
      <c r="NC3" s="28">
        <v>45491</v>
      </c>
      <c r="ND3" s="28">
        <v>45490</v>
      </c>
      <c r="NE3" s="28">
        <v>45489</v>
      </c>
      <c r="NF3" s="28">
        <v>45486</v>
      </c>
      <c r="NG3" s="28">
        <v>45485</v>
      </c>
      <c r="NH3" s="28">
        <v>45484</v>
      </c>
      <c r="NI3" s="28">
        <v>45483</v>
      </c>
      <c r="NJ3" s="28">
        <v>45482</v>
      </c>
      <c r="NK3" s="28">
        <v>45479</v>
      </c>
      <c r="NL3" s="28">
        <v>45478</v>
      </c>
      <c r="NM3" s="28">
        <v>45477</v>
      </c>
      <c r="NN3" s="28">
        <v>45476</v>
      </c>
      <c r="NO3" s="28">
        <v>45475</v>
      </c>
      <c r="NP3" s="28">
        <v>45472</v>
      </c>
      <c r="NQ3" s="28">
        <v>45471</v>
      </c>
      <c r="NR3" s="28">
        <v>45470</v>
      </c>
      <c r="NS3" s="28">
        <v>45469</v>
      </c>
      <c r="NT3" s="28">
        <v>45468</v>
      </c>
      <c r="NU3" s="28">
        <v>45465</v>
      </c>
      <c r="NV3" s="28">
        <v>45464</v>
      </c>
      <c r="NW3" s="28">
        <v>45463</v>
      </c>
      <c r="NX3" s="28">
        <v>45462</v>
      </c>
      <c r="NY3" s="28">
        <v>45461</v>
      </c>
      <c r="NZ3" s="28">
        <v>45458</v>
      </c>
      <c r="OA3" s="28">
        <v>45457</v>
      </c>
      <c r="OB3" s="28">
        <v>45455</v>
      </c>
      <c r="OC3" s="28">
        <v>45454</v>
      </c>
      <c r="OD3" s="28">
        <v>45451</v>
      </c>
      <c r="OE3" s="28">
        <v>45450</v>
      </c>
      <c r="OF3" s="28">
        <v>45449</v>
      </c>
      <c r="OG3" s="28">
        <v>45448</v>
      </c>
      <c r="OH3" s="28">
        <v>45447</v>
      </c>
      <c r="OI3" s="28">
        <v>45444</v>
      </c>
      <c r="OJ3" s="28">
        <v>45443</v>
      </c>
      <c r="OK3" s="28">
        <v>45442</v>
      </c>
      <c r="OL3" s="28">
        <v>45441</v>
      </c>
      <c r="OM3" s="28">
        <v>45440</v>
      </c>
      <c r="ON3" s="28">
        <v>45437</v>
      </c>
      <c r="OO3" s="28">
        <v>45436</v>
      </c>
      <c r="OP3" s="28">
        <v>45435</v>
      </c>
      <c r="OQ3" s="28">
        <v>45434</v>
      </c>
      <c r="OR3" s="28">
        <v>45433</v>
      </c>
      <c r="OS3" s="28">
        <v>45430</v>
      </c>
      <c r="OT3" s="28">
        <v>45429</v>
      </c>
      <c r="OU3" s="28">
        <v>45428</v>
      </c>
      <c r="OV3" s="28">
        <v>45427</v>
      </c>
      <c r="OW3" s="28">
        <v>45426</v>
      </c>
      <c r="OX3" s="28">
        <v>45421</v>
      </c>
      <c r="OY3" s="28">
        <v>45420</v>
      </c>
      <c r="OZ3" s="28">
        <v>45419</v>
      </c>
      <c r="PA3" s="28">
        <v>45416</v>
      </c>
      <c r="PB3" s="28">
        <v>45415</v>
      </c>
      <c r="PC3" s="28">
        <v>45410</v>
      </c>
      <c r="PD3" s="28">
        <v>45409</v>
      </c>
      <c r="PE3" s="28">
        <v>45408</v>
      </c>
      <c r="PF3" s="28">
        <v>45407</v>
      </c>
      <c r="PG3" s="28">
        <v>45406</v>
      </c>
      <c r="PH3" s="28">
        <v>45405</v>
      </c>
      <c r="PI3" s="28">
        <v>45402</v>
      </c>
      <c r="PJ3" s="28">
        <v>45401</v>
      </c>
      <c r="PK3" s="28">
        <v>45400</v>
      </c>
      <c r="PL3" s="28">
        <v>45399</v>
      </c>
      <c r="PM3" s="28">
        <v>45398</v>
      </c>
      <c r="PN3" s="28">
        <v>45395</v>
      </c>
      <c r="PO3" s="28">
        <v>45394</v>
      </c>
      <c r="PP3" s="28">
        <v>45393</v>
      </c>
      <c r="PQ3" s="28">
        <v>45392</v>
      </c>
      <c r="PR3" s="28">
        <v>45391</v>
      </c>
      <c r="PS3" s="28">
        <v>45388</v>
      </c>
      <c r="PT3" s="28">
        <v>45387</v>
      </c>
      <c r="PU3" s="28">
        <v>45386</v>
      </c>
      <c r="PV3" s="28">
        <v>45385</v>
      </c>
      <c r="PW3" s="28">
        <v>45384</v>
      </c>
      <c r="PX3" s="28">
        <v>45381</v>
      </c>
      <c r="PY3" s="28">
        <v>45380</v>
      </c>
      <c r="PZ3" s="28">
        <v>45379</v>
      </c>
      <c r="QA3" s="28">
        <v>45378</v>
      </c>
      <c r="QB3" s="28">
        <v>45377</v>
      </c>
      <c r="QC3" s="28">
        <v>45374</v>
      </c>
      <c r="QD3" s="28">
        <v>45373</v>
      </c>
      <c r="QE3" s="28">
        <v>45372</v>
      </c>
      <c r="QF3" s="28">
        <v>45371</v>
      </c>
      <c r="QG3" s="28">
        <v>45370</v>
      </c>
      <c r="QH3" s="28">
        <v>45367</v>
      </c>
      <c r="QI3" s="28">
        <v>45366</v>
      </c>
      <c r="QJ3" s="28">
        <v>45365</v>
      </c>
      <c r="QK3" s="28">
        <v>45364</v>
      </c>
      <c r="QL3" s="28">
        <v>45363</v>
      </c>
      <c r="QM3" s="28">
        <v>45359</v>
      </c>
      <c r="QN3" s="28">
        <v>45358</v>
      </c>
      <c r="QO3" s="28">
        <v>45357</v>
      </c>
      <c r="QP3" s="28">
        <v>45356</v>
      </c>
      <c r="QQ3" s="28">
        <v>45353</v>
      </c>
      <c r="QR3" s="28">
        <v>45352</v>
      </c>
      <c r="QS3" s="28">
        <v>45351</v>
      </c>
      <c r="QT3" s="28">
        <v>45350</v>
      </c>
      <c r="QU3" s="28">
        <v>45349</v>
      </c>
      <c r="QV3" s="28">
        <v>45345</v>
      </c>
      <c r="QW3" s="28">
        <v>45344</v>
      </c>
      <c r="QX3" s="28">
        <v>45343</v>
      </c>
      <c r="QY3" s="28">
        <v>45342</v>
      </c>
      <c r="QZ3" s="28">
        <v>45339</v>
      </c>
      <c r="RA3" s="28">
        <v>45338</v>
      </c>
      <c r="RB3" s="28">
        <v>45337</v>
      </c>
      <c r="RC3" s="28">
        <v>45336</v>
      </c>
      <c r="RD3" s="28">
        <v>45335</v>
      </c>
      <c r="RE3" s="28">
        <v>45332</v>
      </c>
      <c r="RF3" s="28">
        <v>45331</v>
      </c>
      <c r="RG3" s="28">
        <v>45330</v>
      </c>
      <c r="RH3" s="28">
        <v>45329</v>
      </c>
      <c r="RI3" s="28">
        <v>45328</v>
      </c>
      <c r="RJ3" s="28">
        <v>45325</v>
      </c>
      <c r="RK3" s="28">
        <v>45324</v>
      </c>
      <c r="RL3" s="28">
        <v>45323</v>
      </c>
      <c r="RM3" s="28">
        <v>45322</v>
      </c>
      <c r="RN3" s="28">
        <v>45321</v>
      </c>
      <c r="RO3" s="28">
        <v>45318</v>
      </c>
      <c r="RP3" s="28">
        <v>45317</v>
      </c>
      <c r="RQ3" s="28">
        <v>45316</v>
      </c>
      <c r="RR3" s="28">
        <v>45315</v>
      </c>
      <c r="RS3" s="28">
        <v>45314</v>
      </c>
      <c r="RT3" s="28">
        <v>45311</v>
      </c>
      <c r="RU3" s="28">
        <v>45310</v>
      </c>
      <c r="RV3" s="28">
        <v>45309</v>
      </c>
      <c r="RW3" s="28">
        <v>45308</v>
      </c>
      <c r="RX3" s="28">
        <v>45307</v>
      </c>
      <c r="RY3" s="28">
        <v>45304</v>
      </c>
      <c r="RZ3" s="28">
        <v>45303</v>
      </c>
      <c r="SA3" s="28">
        <v>45302</v>
      </c>
      <c r="SB3" s="28">
        <v>45301</v>
      </c>
      <c r="SC3" s="28">
        <v>45290</v>
      </c>
      <c r="SD3" s="28">
        <v>45289</v>
      </c>
      <c r="SE3" s="28">
        <v>45288</v>
      </c>
      <c r="SF3" s="28">
        <v>45287</v>
      </c>
      <c r="SG3" s="28">
        <v>45286</v>
      </c>
      <c r="SH3" s="28">
        <v>45283</v>
      </c>
      <c r="SI3" s="28">
        <v>45282</v>
      </c>
      <c r="SJ3" s="28">
        <v>45281</v>
      </c>
      <c r="SK3" s="28">
        <v>45280</v>
      </c>
      <c r="SL3" s="28">
        <v>45279</v>
      </c>
      <c r="SM3" s="28">
        <v>45276</v>
      </c>
      <c r="SN3" s="28">
        <v>45275</v>
      </c>
      <c r="SO3" s="28">
        <v>45274</v>
      </c>
      <c r="SP3" s="28">
        <v>45273</v>
      </c>
      <c r="SQ3" s="28">
        <v>45272</v>
      </c>
      <c r="SR3" s="28">
        <v>45269</v>
      </c>
      <c r="SS3" s="28">
        <v>45268</v>
      </c>
      <c r="ST3" s="28">
        <v>45267</v>
      </c>
      <c r="SU3" s="28">
        <v>45266</v>
      </c>
      <c r="SV3" s="28">
        <v>45265</v>
      </c>
      <c r="SW3" s="28">
        <v>45262</v>
      </c>
      <c r="SX3" s="28">
        <v>45261</v>
      </c>
      <c r="SY3" s="28">
        <v>45260</v>
      </c>
      <c r="SZ3" s="28">
        <v>45259</v>
      </c>
      <c r="TA3" s="28">
        <v>45258</v>
      </c>
      <c r="TB3" s="28">
        <v>45255</v>
      </c>
      <c r="TC3" s="28">
        <v>45254</v>
      </c>
      <c r="TD3" s="28">
        <v>45253</v>
      </c>
      <c r="TE3" s="28">
        <v>45252</v>
      </c>
      <c r="TF3" s="28">
        <v>45251</v>
      </c>
      <c r="TG3" s="28">
        <v>45248</v>
      </c>
      <c r="TH3" s="28">
        <v>45247</v>
      </c>
      <c r="TI3" s="28">
        <v>45246</v>
      </c>
      <c r="TJ3" s="28">
        <v>45245</v>
      </c>
      <c r="TK3" s="28">
        <v>45244</v>
      </c>
      <c r="TL3" s="28">
        <v>45241</v>
      </c>
      <c r="TM3" s="28">
        <v>45240</v>
      </c>
      <c r="TN3" s="28">
        <v>45239</v>
      </c>
      <c r="TO3" s="28">
        <v>45238</v>
      </c>
      <c r="TP3" s="28">
        <v>45234</v>
      </c>
      <c r="TQ3" s="28">
        <v>45233</v>
      </c>
      <c r="TR3" s="28">
        <v>45232</v>
      </c>
      <c r="TS3" s="28">
        <v>45231</v>
      </c>
      <c r="TT3" s="28">
        <v>45230</v>
      </c>
      <c r="TU3" s="28">
        <v>45227</v>
      </c>
      <c r="TV3" s="28">
        <v>45226</v>
      </c>
      <c r="TW3" s="28">
        <v>45225</v>
      </c>
      <c r="TX3" s="28">
        <v>45224</v>
      </c>
      <c r="TY3" s="28">
        <v>45223</v>
      </c>
      <c r="TZ3" s="28">
        <v>45220</v>
      </c>
      <c r="UA3" s="28">
        <v>45219</v>
      </c>
      <c r="UB3" s="28">
        <v>45218</v>
      </c>
      <c r="UC3" s="28">
        <v>45217</v>
      </c>
      <c r="UD3" s="28">
        <v>45216</v>
      </c>
      <c r="UE3" s="28">
        <v>45213</v>
      </c>
      <c r="UF3" s="28">
        <v>45212</v>
      </c>
      <c r="UG3" s="28">
        <v>45211</v>
      </c>
      <c r="UH3" s="28">
        <v>45210</v>
      </c>
      <c r="UI3" s="28">
        <v>45209</v>
      </c>
      <c r="UJ3" s="28">
        <v>45206</v>
      </c>
      <c r="UK3" s="28">
        <v>45205</v>
      </c>
      <c r="UL3" s="28">
        <v>45204</v>
      </c>
      <c r="UM3" s="28">
        <v>45203</v>
      </c>
      <c r="UN3" s="28">
        <v>45202</v>
      </c>
      <c r="UO3" s="28">
        <v>45199</v>
      </c>
      <c r="UP3" s="28">
        <v>45198</v>
      </c>
      <c r="UQ3" s="28">
        <v>45197</v>
      </c>
      <c r="UR3" s="28">
        <v>45196</v>
      </c>
      <c r="US3" s="28">
        <v>45195</v>
      </c>
      <c r="UT3" s="28">
        <v>45192</v>
      </c>
      <c r="UU3" s="28">
        <v>45191</v>
      </c>
      <c r="UV3" s="28">
        <v>45190</v>
      </c>
      <c r="UW3" s="28">
        <v>45189</v>
      </c>
      <c r="UX3" s="28">
        <v>45188</v>
      </c>
      <c r="UY3" s="28">
        <v>45185</v>
      </c>
      <c r="UZ3" s="28">
        <v>45184</v>
      </c>
      <c r="VA3" s="28">
        <v>45183</v>
      </c>
      <c r="VB3" s="28">
        <v>45182</v>
      </c>
      <c r="VC3" s="28">
        <v>45181</v>
      </c>
      <c r="VD3" s="28">
        <v>45178</v>
      </c>
      <c r="VE3" s="28">
        <v>45177</v>
      </c>
      <c r="VF3" s="28">
        <v>45176</v>
      </c>
      <c r="VG3" s="28">
        <v>45175</v>
      </c>
      <c r="VH3" s="28">
        <v>45174</v>
      </c>
      <c r="VI3" s="28">
        <v>45171</v>
      </c>
      <c r="VJ3" s="28">
        <v>45170</v>
      </c>
      <c r="VK3" s="28">
        <v>45169</v>
      </c>
      <c r="VL3" s="28">
        <v>45168</v>
      </c>
      <c r="VM3" s="28">
        <v>45167</v>
      </c>
      <c r="VN3" s="28">
        <v>45164</v>
      </c>
      <c r="VO3" s="28">
        <v>45163</v>
      </c>
      <c r="VP3" s="28">
        <v>45162</v>
      </c>
      <c r="VQ3" s="28">
        <v>45161</v>
      </c>
      <c r="VR3" s="28">
        <v>45160</v>
      </c>
      <c r="VS3" s="28">
        <v>45157</v>
      </c>
      <c r="VT3" s="28">
        <v>45156</v>
      </c>
      <c r="VU3" s="28">
        <v>45155</v>
      </c>
      <c r="VV3" s="28">
        <v>45154</v>
      </c>
      <c r="VW3" s="28">
        <v>45153</v>
      </c>
      <c r="VX3" s="28">
        <v>45150</v>
      </c>
      <c r="VY3" s="28">
        <v>45149</v>
      </c>
      <c r="VZ3" s="28">
        <v>45148</v>
      </c>
      <c r="WA3" s="28">
        <v>45147</v>
      </c>
      <c r="WB3" s="28">
        <v>45146</v>
      </c>
      <c r="WC3" s="28">
        <v>45143</v>
      </c>
      <c r="WD3" s="28">
        <v>45142</v>
      </c>
      <c r="WE3" s="28">
        <v>45141</v>
      </c>
      <c r="WF3" s="28">
        <v>45140</v>
      </c>
      <c r="WG3" s="28">
        <v>45139</v>
      </c>
      <c r="WH3" s="28">
        <v>45136</v>
      </c>
      <c r="WI3" s="28">
        <v>45135</v>
      </c>
      <c r="WJ3" s="28">
        <v>45134</v>
      </c>
      <c r="WK3" s="28">
        <v>45133</v>
      </c>
      <c r="WL3" s="28">
        <v>45132</v>
      </c>
      <c r="WM3" s="28">
        <v>45129</v>
      </c>
      <c r="WN3" s="28">
        <v>45128</v>
      </c>
      <c r="WO3" s="28">
        <v>45127</v>
      </c>
      <c r="WP3" s="28">
        <v>45126</v>
      </c>
      <c r="WQ3" s="28">
        <v>45125</v>
      </c>
      <c r="WR3" s="28">
        <v>45122</v>
      </c>
      <c r="WS3" s="28">
        <v>45121</v>
      </c>
      <c r="WT3" s="28">
        <v>45120</v>
      </c>
      <c r="WU3" s="28">
        <v>45119</v>
      </c>
      <c r="WV3" s="28">
        <v>45118</v>
      </c>
      <c r="WW3" s="28">
        <v>45115</v>
      </c>
      <c r="WX3" s="28">
        <v>45114</v>
      </c>
      <c r="WY3" s="28">
        <v>45113</v>
      </c>
      <c r="WZ3" s="28">
        <v>45112</v>
      </c>
      <c r="XA3" s="28">
        <v>45111</v>
      </c>
      <c r="XB3" s="28">
        <v>45108</v>
      </c>
      <c r="XC3" s="28">
        <v>45107</v>
      </c>
      <c r="XD3" s="28">
        <v>45106</v>
      </c>
      <c r="XE3" s="28">
        <v>45105</v>
      </c>
      <c r="XF3" s="28">
        <v>45104</v>
      </c>
      <c r="XG3" s="28">
        <v>45101</v>
      </c>
      <c r="XH3" s="28">
        <v>45100</v>
      </c>
      <c r="XI3" s="28">
        <v>45099</v>
      </c>
      <c r="XJ3" s="28">
        <v>45098</v>
      </c>
      <c r="XK3" s="28">
        <v>45097</v>
      </c>
      <c r="XL3" s="28">
        <v>45094</v>
      </c>
      <c r="XM3" s="28">
        <v>45093</v>
      </c>
      <c r="XN3" s="28">
        <v>45092</v>
      </c>
      <c r="XO3" s="28">
        <v>45091</v>
      </c>
      <c r="XP3" s="28">
        <v>45087</v>
      </c>
      <c r="XQ3" s="28">
        <v>45086</v>
      </c>
      <c r="XR3" s="28">
        <v>45085</v>
      </c>
      <c r="XS3" s="28">
        <v>45084</v>
      </c>
      <c r="XT3" s="28">
        <v>45083</v>
      </c>
      <c r="XU3" s="28">
        <v>45080</v>
      </c>
      <c r="XV3" s="28">
        <v>45079</v>
      </c>
      <c r="XW3" s="28">
        <v>45078</v>
      </c>
      <c r="XX3" s="28">
        <v>45077</v>
      </c>
      <c r="XY3" s="28">
        <v>45076</v>
      </c>
      <c r="XZ3" s="28">
        <v>45073</v>
      </c>
      <c r="YA3" s="28">
        <v>45072</v>
      </c>
      <c r="YB3" s="28">
        <v>45071</v>
      </c>
      <c r="YC3" s="28">
        <v>45070</v>
      </c>
      <c r="YD3" s="28">
        <v>45069</v>
      </c>
      <c r="YE3" s="28">
        <v>45066</v>
      </c>
      <c r="YF3" s="28">
        <v>45065</v>
      </c>
      <c r="YG3" s="28">
        <v>45064</v>
      </c>
      <c r="YH3" s="28">
        <v>45063</v>
      </c>
      <c r="YI3" s="28">
        <v>45062</v>
      </c>
      <c r="YJ3" s="28">
        <v>45059</v>
      </c>
      <c r="YK3" s="28">
        <v>45058</v>
      </c>
      <c r="YL3" s="28">
        <v>45057</v>
      </c>
      <c r="YM3" s="28">
        <v>45052</v>
      </c>
      <c r="YN3" s="28">
        <v>45051</v>
      </c>
      <c r="YO3" s="28">
        <v>45050</v>
      </c>
      <c r="YP3" s="28">
        <v>45049</v>
      </c>
      <c r="YQ3" s="28">
        <v>45045</v>
      </c>
      <c r="YR3" s="28">
        <v>45044</v>
      </c>
      <c r="YS3" s="28">
        <v>45043</v>
      </c>
      <c r="YT3" s="28">
        <v>45042</v>
      </c>
      <c r="YU3" s="28">
        <v>45041</v>
      </c>
      <c r="YV3" s="28">
        <v>45038</v>
      </c>
      <c r="YW3" s="28">
        <v>45037</v>
      </c>
      <c r="YX3" s="28">
        <v>45036</v>
      </c>
      <c r="YY3" s="28">
        <v>45035</v>
      </c>
      <c r="YZ3" s="28">
        <v>45034</v>
      </c>
      <c r="ZA3" s="28">
        <v>45031</v>
      </c>
      <c r="ZB3" s="28">
        <v>45030</v>
      </c>
      <c r="ZC3" s="28">
        <v>45029</v>
      </c>
      <c r="ZD3" s="28">
        <v>45028</v>
      </c>
      <c r="ZE3" s="28">
        <v>45027</v>
      </c>
      <c r="ZF3" s="28">
        <v>45024</v>
      </c>
      <c r="ZG3" s="28">
        <v>45023</v>
      </c>
      <c r="ZH3" s="28">
        <v>45022</v>
      </c>
      <c r="ZI3" s="28">
        <v>45021</v>
      </c>
      <c r="ZJ3" s="28">
        <v>45020</v>
      </c>
      <c r="ZK3" s="28">
        <v>45017</v>
      </c>
      <c r="ZL3" s="28">
        <v>45016</v>
      </c>
      <c r="ZM3" s="28">
        <v>45015</v>
      </c>
      <c r="ZN3" s="28">
        <v>45014</v>
      </c>
      <c r="ZO3" s="28">
        <v>45013</v>
      </c>
      <c r="ZP3" s="28">
        <v>45010</v>
      </c>
      <c r="ZQ3" s="28">
        <v>45009</v>
      </c>
      <c r="ZR3" s="28">
        <v>45008</v>
      </c>
      <c r="ZS3" s="28">
        <v>45007</v>
      </c>
      <c r="ZT3" s="28">
        <v>45006</v>
      </c>
      <c r="ZU3" s="28">
        <v>45003</v>
      </c>
      <c r="ZV3" s="28">
        <v>45002</v>
      </c>
      <c r="ZW3" s="28">
        <v>45001</v>
      </c>
      <c r="ZX3" s="28">
        <v>45000</v>
      </c>
      <c r="ZY3" s="28">
        <v>44999</v>
      </c>
      <c r="ZZ3" s="28">
        <v>44996</v>
      </c>
      <c r="AAA3" s="28">
        <v>44995</v>
      </c>
      <c r="AAB3" s="28">
        <v>44993</v>
      </c>
      <c r="AAC3" s="28">
        <v>44992</v>
      </c>
      <c r="AAD3" s="28">
        <v>44989</v>
      </c>
      <c r="AAE3" s="28">
        <v>44988</v>
      </c>
      <c r="AAF3" s="28">
        <v>44987</v>
      </c>
      <c r="AAG3" s="28">
        <v>44986</v>
      </c>
      <c r="AAH3" s="28">
        <v>44985</v>
      </c>
      <c r="AAI3" s="28">
        <v>44980</v>
      </c>
      <c r="AAJ3" s="28">
        <v>44979</v>
      </c>
      <c r="AAK3" s="28">
        <v>44978</v>
      </c>
      <c r="AAL3" s="28">
        <v>44975</v>
      </c>
      <c r="AAM3" s="28">
        <v>44974</v>
      </c>
      <c r="AAN3" s="28">
        <v>44973</v>
      </c>
      <c r="AAO3" s="28">
        <v>44972</v>
      </c>
      <c r="AAP3" s="28">
        <v>44971</v>
      </c>
      <c r="AAQ3" s="28">
        <v>44968</v>
      </c>
      <c r="AAR3" s="28">
        <v>44967</v>
      </c>
      <c r="AAS3" s="28">
        <v>44966</v>
      </c>
      <c r="AAT3" s="28">
        <v>44965</v>
      </c>
      <c r="AAU3" s="28">
        <v>44964</v>
      </c>
      <c r="AAV3" s="28">
        <v>44961</v>
      </c>
      <c r="AAW3" s="28">
        <v>44960</v>
      </c>
      <c r="AAX3" s="28">
        <v>44959</v>
      </c>
      <c r="AAY3" s="28">
        <v>44958</v>
      </c>
      <c r="AAZ3" s="28">
        <v>44957</v>
      </c>
      <c r="ABA3" s="28">
        <v>44954</v>
      </c>
      <c r="ABB3" s="28">
        <v>44953</v>
      </c>
      <c r="ABC3" s="28">
        <v>44952</v>
      </c>
      <c r="ABD3" s="28">
        <v>44951</v>
      </c>
      <c r="ABE3" s="28">
        <v>44950</v>
      </c>
      <c r="ABF3" s="28">
        <v>44947</v>
      </c>
      <c r="ABG3" s="28">
        <v>44946</v>
      </c>
      <c r="ABH3" s="28">
        <v>44945</v>
      </c>
      <c r="ABI3" s="28">
        <v>44944</v>
      </c>
      <c r="ABJ3" s="28">
        <v>44943</v>
      </c>
      <c r="ABK3" s="28">
        <v>44940</v>
      </c>
      <c r="ABL3" s="28">
        <v>44939</v>
      </c>
      <c r="ABM3" s="28">
        <v>44938</v>
      </c>
      <c r="ABN3" s="28">
        <v>44937</v>
      </c>
      <c r="ABO3" s="28">
        <v>44936</v>
      </c>
      <c r="ABP3" s="28">
        <v>44926</v>
      </c>
      <c r="ABQ3" s="28">
        <v>44925</v>
      </c>
      <c r="ABR3" s="28">
        <v>44924</v>
      </c>
      <c r="ABS3" s="28">
        <v>44923</v>
      </c>
      <c r="ABT3" s="28">
        <v>44922</v>
      </c>
      <c r="ABU3" s="28">
        <v>44919</v>
      </c>
      <c r="ABV3" s="28">
        <v>44918</v>
      </c>
      <c r="ABW3" s="28">
        <v>44917</v>
      </c>
      <c r="ABX3" s="28">
        <v>44916</v>
      </c>
      <c r="ABY3" s="28">
        <v>44915</v>
      </c>
      <c r="ABZ3" s="28">
        <v>44912</v>
      </c>
      <c r="ACA3" s="28">
        <v>44911</v>
      </c>
      <c r="ACB3" s="28">
        <v>44910</v>
      </c>
      <c r="ACC3" s="28">
        <v>44909</v>
      </c>
      <c r="ACD3" s="28">
        <v>44908</v>
      </c>
      <c r="ACE3" s="28">
        <v>44905</v>
      </c>
      <c r="ACF3" s="28">
        <v>44904</v>
      </c>
      <c r="ACG3" s="28">
        <v>44903</v>
      </c>
      <c r="ACH3" s="28">
        <v>44902</v>
      </c>
      <c r="ACI3" s="28">
        <v>44901</v>
      </c>
      <c r="ACJ3" s="28">
        <v>44898</v>
      </c>
      <c r="ACK3" s="28">
        <v>44897</v>
      </c>
      <c r="ACL3" s="28">
        <v>44896</v>
      </c>
      <c r="ACM3" s="28">
        <v>44895</v>
      </c>
      <c r="ACN3" s="28">
        <v>44894</v>
      </c>
      <c r="ACO3" s="28">
        <v>44891</v>
      </c>
      <c r="ACP3" s="28">
        <v>44890</v>
      </c>
      <c r="ACQ3" s="28">
        <v>44889</v>
      </c>
      <c r="ACR3" s="28">
        <v>44888</v>
      </c>
      <c r="ACS3" s="28">
        <v>44887</v>
      </c>
      <c r="ACT3" s="28">
        <v>44884</v>
      </c>
      <c r="ACU3" s="28">
        <v>44883</v>
      </c>
      <c r="ACV3" s="28">
        <v>44882</v>
      </c>
      <c r="ACW3" s="28">
        <v>44881</v>
      </c>
      <c r="ACX3" s="28">
        <v>44880</v>
      </c>
      <c r="ACY3" s="28">
        <v>44877</v>
      </c>
      <c r="ACZ3" s="28">
        <v>44876</v>
      </c>
      <c r="ADA3" s="28">
        <v>44875</v>
      </c>
      <c r="ADB3" s="28">
        <v>44874</v>
      </c>
      <c r="ADC3" s="28">
        <v>44873</v>
      </c>
      <c r="ADD3" s="28">
        <v>44869</v>
      </c>
      <c r="ADE3" s="28">
        <v>44868</v>
      </c>
      <c r="ADF3" s="28">
        <v>44867</v>
      </c>
      <c r="ADG3" s="28">
        <v>44866</v>
      </c>
      <c r="ADH3" s="28">
        <v>44863</v>
      </c>
      <c r="ADI3" s="28">
        <v>44862</v>
      </c>
      <c r="ADJ3" s="28">
        <v>44861</v>
      </c>
      <c r="ADK3" s="28">
        <v>44860</v>
      </c>
      <c r="ADL3" s="28">
        <v>44859</v>
      </c>
      <c r="ADM3" s="28">
        <v>44856</v>
      </c>
      <c r="ADN3" s="28">
        <v>44855</v>
      </c>
      <c r="ADO3" s="28">
        <v>44854</v>
      </c>
      <c r="ADP3" s="28">
        <v>44853</v>
      </c>
      <c r="ADQ3" s="28">
        <v>44852</v>
      </c>
      <c r="ADR3" s="28">
        <v>44849</v>
      </c>
      <c r="ADS3" s="28">
        <v>44848</v>
      </c>
      <c r="ADT3" s="28">
        <v>44847</v>
      </c>
      <c r="ADU3" s="28">
        <v>44846</v>
      </c>
      <c r="ADV3" s="28">
        <v>44845</v>
      </c>
      <c r="ADW3" s="28">
        <v>44842</v>
      </c>
      <c r="ADX3" s="28">
        <v>44841</v>
      </c>
      <c r="ADY3" s="28">
        <v>44840</v>
      </c>
      <c r="ADZ3" s="28">
        <v>44839</v>
      </c>
      <c r="AEA3" s="28">
        <v>44838</v>
      </c>
      <c r="AEB3" s="28">
        <v>44835</v>
      </c>
      <c r="AEC3" s="28">
        <v>44834</v>
      </c>
      <c r="AED3" s="28">
        <v>44833</v>
      </c>
      <c r="AEE3" s="28">
        <v>44832</v>
      </c>
      <c r="AEF3" s="28">
        <v>44831</v>
      </c>
      <c r="AEG3" s="28">
        <v>44828</v>
      </c>
      <c r="AEH3" s="28">
        <v>44827</v>
      </c>
      <c r="AEI3" s="28">
        <v>44826</v>
      </c>
      <c r="AEJ3" s="28">
        <v>44825</v>
      </c>
      <c r="AEK3" s="28">
        <v>44824</v>
      </c>
      <c r="AEL3" s="28">
        <v>44821</v>
      </c>
      <c r="AEM3" s="28">
        <v>44820</v>
      </c>
      <c r="AEN3" s="28">
        <v>44819</v>
      </c>
      <c r="AEO3" s="28">
        <v>44818</v>
      </c>
      <c r="AEP3" s="28">
        <v>44817</v>
      </c>
      <c r="AEQ3" s="28">
        <v>44814</v>
      </c>
      <c r="AER3" s="28">
        <v>44813</v>
      </c>
      <c r="AES3" s="28">
        <v>44812</v>
      </c>
      <c r="AET3" s="28">
        <v>44811</v>
      </c>
      <c r="AEU3" s="28">
        <v>44810</v>
      </c>
      <c r="AEV3" s="28">
        <v>44807</v>
      </c>
      <c r="AEW3" s="28">
        <v>44806</v>
      </c>
      <c r="AEX3" s="28">
        <v>44805</v>
      </c>
      <c r="AEY3" s="28">
        <v>44804</v>
      </c>
      <c r="AEZ3" s="28">
        <v>44803</v>
      </c>
      <c r="AFA3" s="28">
        <v>44800</v>
      </c>
      <c r="AFB3" s="28">
        <v>44799</v>
      </c>
      <c r="AFC3" s="28">
        <v>44798</v>
      </c>
      <c r="AFD3" s="28">
        <v>44797</v>
      </c>
      <c r="AFE3" s="28">
        <v>44796</v>
      </c>
      <c r="AFF3" s="28">
        <v>44793</v>
      </c>
      <c r="AFG3" s="28">
        <v>44792</v>
      </c>
      <c r="AFH3" s="28">
        <v>44791</v>
      </c>
      <c r="AFI3" s="28">
        <v>44790</v>
      </c>
      <c r="AFJ3" s="28">
        <v>44789</v>
      </c>
      <c r="AFK3" s="28">
        <v>44786</v>
      </c>
      <c r="AFL3" s="28">
        <v>44785</v>
      </c>
      <c r="AFM3" s="28">
        <v>44784</v>
      </c>
      <c r="AFN3" s="28">
        <v>44783</v>
      </c>
      <c r="AFO3" s="28">
        <v>44782</v>
      </c>
      <c r="AFP3" s="28">
        <v>44779</v>
      </c>
      <c r="AFQ3" s="28">
        <v>44778</v>
      </c>
      <c r="AFR3" s="28">
        <v>44777</v>
      </c>
      <c r="AFS3" s="28">
        <v>44776</v>
      </c>
      <c r="AFT3" s="28">
        <v>44775</v>
      </c>
      <c r="AFU3" s="28">
        <v>44772</v>
      </c>
      <c r="AFV3" s="28">
        <v>44771</v>
      </c>
      <c r="AFW3" s="28">
        <v>44770</v>
      </c>
      <c r="AFX3" s="28">
        <v>44769</v>
      </c>
      <c r="AFY3" s="28">
        <v>44768</v>
      </c>
      <c r="AFZ3" s="28">
        <v>44765</v>
      </c>
      <c r="AGA3" s="28">
        <v>44764</v>
      </c>
      <c r="AGB3" s="28">
        <v>44763</v>
      </c>
      <c r="AGC3" s="28">
        <v>44762</v>
      </c>
      <c r="AGD3" s="28">
        <v>44761</v>
      </c>
      <c r="AGE3" s="28">
        <v>44758</v>
      </c>
      <c r="AGF3" s="28">
        <v>44757</v>
      </c>
      <c r="AGG3" s="28">
        <v>44756</v>
      </c>
      <c r="AGH3" s="28">
        <v>44755</v>
      </c>
      <c r="AGI3" s="28">
        <v>44754</v>
      </c>
      <c r="AGJ3" s="28">
        <v>44751</v>
      </c>
      <c r="AGK3" s="28">
        <v>44750</v>
      </c>
      <c r="AGL3" s="28">
        <v>44749</v>
      </c>
      <c r="AGM3" s="28">
        <v>44748</v>
      </c>
      <c r="AGN3" s="28">
        <v>44747</v>
      </c>
      <c r="AGO3" s="28">
        <v>44744</v>
      </c>
      <c r="AGP3" s="28">
        <v>44743</v>
      </c>
      <c r="AGQ3" s="28">
        <v>44742</v>
      </c>
      <c r="AGR3" s="28">
        <v>44741</v>
      </c>
      <c r="AGS3" s="28">
        <v>44740</v>
      </c>
      <c r="AGT3" s="28">
        <v>44737</v>
      </c>
      <c r="AGU3" s="28">
        <v>44736</v>
      </c>
      <c r="AGV3" s="28">
        <v>44735</v>
      </c>
      <c r="AGW3" s="28">
        <v>44734</v>
      </c>
      <c r="AGX3" s="28">
        <v>44733</v>
      </c>
      <c r="AGY3" s="28">
        <v>44730</v>
      </c>
      <c r="AGZ3" s="28">
        <v>44729</v>
      </c>
      <c r="AHA3" s="28">
        <v>44728</v>
      </c>
      <c r="AHB3" s="28">
        <v>44727</v>
      </c>
      <c r="AHC3" s="28">
        <v>44723</v>
      </c>
      <c r="AHD3" s="28">
        <v>44722</v>
      </c>
      <c r="AHE3" s="28">
        <v>44721</v>
      </c>
      <c r="AHF3" s="28">
        <v>44720</v>
      </c>
      <c r="AHG3" s="28">
        <v>44719</v>
      </c>
      <c r="AHH3" s="28">
        <v>44716</v>
      </c>
      <c r="AHI3" s="28">
        <v>44715</v>
      </c>
      <c r="AHJ3" s="28">
        <v>44714</v>
      </c>
      <c r="AHK3" s="28">
        <v>44713</v>
      </c>
      <c r="AHL3" s="28">
        <v>44712</v>
      </c>
      <c r="AHM3" s="28">
        <v>44709</v>
      </c>
      <c r="AHN3" s="28">
        <v>44708</v>
      </c>
      <c r="AHO3" s="28">
        <v>44707</v>
      </c>
      <c r="AHP3" s="28">
        <v>44706</v>
      </c>
      <c r="AHQ3" s="28">
        <v>44705</v>
      </c>
      <c r="AHR3" s="28">
        <v>44702</v>
      </c>
      <c r="AHS3" s="28">
        <v>44701</v>
      </c>
      <c r="AHT3" s="28">
        <v>44700</v>
      </c>
      <c r="AHU3" s="28">
        <v>44699</v>
      </c>
      <c r="AHV3" s="28">
        <v>44698</v>
      </c>
      <c r="AHW3" s="28">
        <v>44695</v>
      </c>
      <c r="AHX3" s="28">
        <v>44694</v>
      </c>
      <c r="AHY3" s="28">
        <v>44693</v>
      </c>
      <c r="AHZ3" s="28">
        <v>44688</v>
      </c>
      <c r="AIA3" s="28">
        <v>44687</v>
      </c>
      <c r="AIB3" s="28">
        <v>44686</v>
      </c>
      <c r="AIC3" s="28">
        <v>44681</v>
      </c>
      <c r="AID3" s="28">
        <v>44680</v>
      </c>
      <c r="AIE3" s="28">
        <v>44679</v>
      </c>
      <c r="AIF3" s="28">
        <v>44678</v>
      </c>
      <c r="AIG3" s="28">
        <v>44677</v>
      </c>
      <c r="AIH3" s="28">
        <v>44674</v>
      </c>
      <c r="AII3" s="28">
        <v>44673</v>
      </c>
      <c r="AIJ3" s="28">
        <v>44672</v>
      </c>
      <c r="AIK3" s="28">
        <v>44671</v>
      </c>
      <c r="AIL3" s="28">
        <v>44670</v>
      </c>
      <c r="AIM3" s="28">
        <v>44667</v>
      </c>
      <c r="AIN3" s="28">
        <v>44666</v>
      </c>
      <c r="AIO3" s="28">
        <v>44665</v>
      </c>
      <c r="AIP3" s="28">
        <v>44664</v>
      </c>
      <c r="AIQ3" s="28">
        <v>44663</v>
      </c>
      <c r="AIR3" s="28">
        <v>44660</v>
      </c>
      <c r="AIS3" s="28">
        <v>44659</v>
      </c>
      <c r="AIT3" s="28">
        <v>44658</v>
      </c>
      <c r="AIU3" s="28">
        <v>44657</v>
      </c>
      <c r="AIV3" s="28">
        <v>44656</v>
      </c>
      <c r="AIW3" s="28">
        <v>44653</v>
      </c>
      <c r="AIX3" s="28">
        <v>44652</v>
      </c>
      <c r="AIY3" s="28">
        <v>44651</v>
      </c>
      <c r="AIZ3" s="28">
        <v>44650</v>
      </c>
      <c r="AJA3" s="28">
        <v>44649</v>
      </c>
      <c r="AJB3" s="28">
        <v>44646</v>
      </c>
      <c r="AJC3" s="28">
        <v>44645</v>
      </c>
      <c r="AJD3" s="28">
        <v>44644</v>
      </c>
      <c r="AJE3" s="28">
        <v>44643</v>
      </c>
      <c r="AJF3" s="28">
        <v>44642</v>
      </c>
      <c r="AJG3" s="28">
        <v>44639</v>
      </c>
      <c r="AJH3" s="28">
        <v>44638</v>
      </c>
      <c r="AJI3" s="28">
        <v>44637</v>
      </c>
      <c r="AJJ3" s="28">
        <v>44636</v>
      </c>
      <c r="AJK3" s="28">
        <v>44635</v>
      </c>
      <c r="AJL3" s="28">
        <v>44632</v>
      </c>
      <c r="AJM3" s="28">
        <v>44631</v>
      </c>
      <c r="AJN3" s="28">
        <v>44630</v>
      </c>
      <c r="AJO3" s="28">
        <v>44626</v>
      </c>
      <c r="AJP3" s="28">
        <v>44625</v>
      </c>
      <c r="AJQ3" s="28">
        <v>44624</v>
      </c>
      <c r="AJR3" s="28">
        <v>44623</v>
      </c>
      <c r="AJS3" s="28">
        <v>44622</v>
      </c>
      <c r="AJT3" s="28">
        <v>44621</v>
      </c>
      <c r="AJU3" s="28">
        <v>44618</v>
      </c>
      <c r="AJV3" s="28">
        <v>44617</v>
      </c>
      <c r="AJW3" s="28">
        <v>44615</v>
      </c>
      <c r="AJX3" s="28">
        <v>44614</v>
      </c>
      <c r="AJY3" s="28">
        <v>44611</v>
      </c>
      <c r="AJZ3" s="28">
        <v>44610</v>
      </c>
      <c r="AKA3" s="28">
        <v>44609</v>
      </c>
      <c r="AKB3" s="28">
        <v>44608</v>
      </c>
      <c r="AKC3" s="28">
        <v>44607</v>
      </c>
      <c r="AKD3" s="28">
        <v>44604</v>
      </c>
      <c r="AKE3" s="28">
        <v>44603</v>
      </c>
      <c r="AKF3" s="28">
        <v>44602</v>
      </c>
      <c r="AKG3" s="28">
        <v>44601</v>
      </c>
      <c r="AKH3" s="28">
        <v>44600</v>
      </c>
      <c r="AKI3" s="28">
        <v>44597</v>
      </c>
      <c r="AKJ3" s="28">
        <v>44596</v>
      </c>
      <c r="AKK3" s="28">
        <v>44595</v>
      </c>
      <c r="AKL3" s="28">
        <v>44594</v>
      </c>
      <c r="AKM3" s="28">
        <v>44593</v>
      </c>
      <c r="AKN3" s="28">
        <v>44590</v>
      </c>
      <c r="AKO3" s="28">
        <v>44589</v>
      </c>
      <c r="AKP3" s="28">
        <v>44588</v>
      </c>
      <c r="AKQ3" s="28">
        <v>44587</v>
      </c>
      <c r="AKR3" s="28">
        <v>44586</v>
      </c>
      <c r="AKS3" s="28">
        <v>44583</v>
      </c>
      <c r="AKT3" s="28">
        <v>44582</v>
      </c>
      <c r="AKU3" s="28">
        <v>44581</v>
      </c>
      <c r="AKV3" s="28">
        <v>44580</v>
      </c>
      <c r="AKW3" s="28">
        <v>44579</v>
      </c>
      <c r="AKX3" s="28">
        <v>44576</v>
      </c>
      <c r="AKY3" s="28">
        <v>44575</v>
      </c>
      <c r="AKZ3" s="28">
        <v>44574</v>
      </c>
      <c r="ALA3" s="28">
        <v>44573</v>
      </c>
      <c r="ALB3" s="28">
        <v>44572</v>
      </c>
      <c r="ALC3" s="28">
        <v>44561</v>
      </c>
      <c r="ALD3" s="28">
        <v>44560</v>
      </c>
      <c r="ALE3" s="28">
        <v>44559</v>
      </c>
      <c r="ALF3" s="28">
        <v>44558</v>
      </c>
      <c r="ALG3" s="28">
        <v>44555</v>
      </c>
      <c r="ALH3" s="28">
        <v>44554</v>
      </c>
      <c r="ALI3" s="28">
        <v>44553</v>
      </c>
      <c r="ALJ3" s="28">
        <v>44552</v>
      </c>
      <c r="ALK3" s="28">
        <v>44551</v>
      </c>
      <c r="ALL3" s="28">
        <v>44548</v>
      </c>
      <c r="ALM3" s="28">
        <v>44547</v>
      </c>
      <c r="ALN3" s="28">
        <v>44546</v>
      </c>
      <c r="ALO3" s="28">
        <v>44545</v>
      </c>
      <c r="ALP3" s="28">
        <v>44544</v>
      </c>
      <c r="ALQ3" s="28">
        <v>44541</v>
      </c>
      <c r="ALR3" s="28">
        <v>44540</v>
      </c>
      <c r="ALS3" s="28">
        <v>44539</v>
      </c>
      <c r="ALT3" s="28">
        <v>44538</v>
      </c>
      <c r="ALU3" s="28">
        <v>44537</v>
      </c>
      <c r="ALV3" s="28">
        <v>44534</v>
      </c>
      <c r="ALW3" s="28">
        <v>44533</v>
      </c>
      <c r="ALX3" s="28">
        <v>44532</v>
      </c>
      <c r="ALY3" s="28">
        <v>44531</v>
      </c>
      <c r="ALZ3" s="28">
        <v>44530</v>
      </c>
      <c r="AMA3" s="28">
        <v>44527</v>
      </c>
      <c r="AMB3" s="28">
        <v>44526</v>
      </c>
      <c r="AMC3" s="28">
        <v>44525</v>
      </c>
      <c r="AMD3" s="28">
        <v>44524</v>
      </c>
      <c r="AME3" s="28">
        <v>44523</v>
      </c>
      <c r="AMF3" s="28">
        <v>44520</v>
      </c>
      <c r="AMG3" s="28">
        <v>44519</v>
      </c>
      <c r="AMH3" s="28">
        <v>44518</v>
      </c>
      <c r="AMI3" s="28">
        <v>44517</v>
      </c>
      <c r="AMJ3" s="28">
        <v>44516</v>
      </c>
      <c r="AMK3" s="28">
        <v>44513</v>
      </c>
      <c r="AML3" s="28">
        <v>44512</v>
      </c>
      <c r="AMM3" s="28">
        <v>44511</v>
      </c>
      <c r="AMN3" s="28">
        <v>44510</v>
      </c>
      <c r="AMO3" s="28">
        <v>44509</v>
      </c>
      <c r="AMP3" s="28">
        <v>44504</v>
      </c>
      <c r="AMQ3" s="28">
        <v>44503</v>
      </c>
      <c r="AMR3" s="28">
        <v>44502</v>
      </c>
      <c r="AMS3" s="28">
        <v>44499</v>
      </c>
      <c r="AMT3" s="28">
        <v>44498</v>
      </c>
      <c r="AMU3" s="28">
        <v>44497</v>
      </c>
      <c r="AMV3" s="28">
        <v>44496</v>
      </c>
      <c r="AMW3" s="28">
        <v>44495</v>
      </c>
      <c r="AMX3" s="28">
        <v>44492</v>
      </c>
      <c r="AMY3" s="28">
        <v>44491</v>
      </c>
      <c r="AMZ3" s="28">
        <v>44490</v>
      </c>
      <c r="ANA3" s="28">
        <v>44489</v>
      </c>
      <c r="ANB3" s="28">
        <v>44488</v>
      </c>
      <c r="ANC3" s="28">
        <v>44485</v>
      </c>
      <c r="AND3" s="28">
        <v>44484</v>
      </c>
      <c r="ANE3" s="28">
        <v>44483</v>
      </c>
      <c r="ANF3" s="28">
        <v>44482</v>
      </c>
      <c r="ANG3" s="28">
        <v>44481</v>
      </c>
      <c r="ANH3" s="28">
        <v>44478</v>
      </c>
      <c r="ANI3" s="28">
        <v>44477</v>
      </c>
      <c r="ANJ3" s="28">
        <v>44476</v>
      </c>
      <c r="ANK3" s="28">
        <v>44475</v>
      </c>
      <c r="ANL3" s="28">
        <v>44474</v>
      </c>
      <c r="ANM3" s="28">
        <v>44471</v>
      </c>
      <c r="ANN3" s="28">
        <v>44470</v>
      </c>
      <c r="ANO3" s="28">
        <v>44469</v>
      </c>
      <c r="ANP3" s="28">
        <v>44468</v>
      </c>
      <c r="ANQ3" s="28">
        <v>44467</v>
      </c>
      <c r="ANR3" s="28">
        <v>44464</v>
      </c>
      <c r="ANS3" s="28">
        <v>44463</v>
      </c>
      <c r="ANT3" s="28">
        <v>44462</v>
      </c>
      <c r="ANU3" s="28">
        <v>44461</v>
      </c>
      <c r="ANV3" s="28">
        <v>44460</v>
      </c>
      <c r="ANW3" s="28">
        <v>44457</v>
      </c>
      <c r="ANX3" s="28">
        <v>44456</v>
      </c>
      <c r="ANY3" s="28">
        <v>44455</v>
      </c>
      <c r="ANZ3" s="28">
        <v>44454</v>
      </c>
      <c r="AOA3" s="28">
        <v>44453</v>
      </c>
      <c r="AOB3" s="28">
        <v>44450</v>
      </c>
      <c r="AOC3" s="28">
        <v>44449</v>
      </c>
      <c r="AOD3" s="28">
        <v>44448</v>
      </c>
      <c r="AOE3" s="28">
        <v>44447</v>
      </c>
      <c r="AOF3" s="28">
        <v>44446</v>
      </c>
      <c r="AOG3" s="28">
        <v>44443</v>
      </c>
      <c r="AOH3" s="28">
        <v>44442</v>
      </c>
      <c r="AOI3" s="28">
        <v>44441</v>
      </c>
      <c r="AOJ3" s="28">
        <v>44440</v>
      </c>
      <c r="AOK3" s="28">
        <v>44439</v>
      </c>
      <c r="AOL3" s="28">
        <v>44436</v>
      </c>
      <c r="AOM3" s="28">
        <v>44435</v>
      </c>
      <c r="AON3" s="28">
        <v>44434</v>
      </c>
      <c r="AOO3" s="28">
        <v>44433</v>
      </c>
      <c r="AOP3" s="28">
        <v>44432</v>
      </c>
      <c r="AOQ3" s="28">
        <v>44429</v>
      </c>
      <c r="AOR3" s="28">
        <v>44428</v>
      </c>
      <c r="AOS3" s="28">
        <v>44427</v>
      </c>
      <c r="AOT3" s="28">
        <v>44426</v>
      </c>
      <c r="AOU3" s="28">
        <v>44425</v>
      </c>
      <c r="AOV3" s="28">
        <v>44422</v>
      </c>
      <c r="AOW3" s="28">
        <v>44421</v>
      </c>
      <c r="AOX3" s="28">
        <v>44420</v>
      </c>
      <c r="AOY3" s="28">
        <v>44419</v>
      </c>
      <c r="AOZ3" s="28">
        <v>44418</v>
      </c>
      <c r="APA3" s="28">
        <v>44415</v>
      </c>
      <c r="APB3" s="28">
        <v>44414</v>
      </c>
      <c r="APC3" s="28">
        <v>44413</v>
      </c>
      <c r="APD3" s="28">
        <v>44412</v>
      </c>
      <c r="APE3" s="28">
        <v>44411</v>
      </c>
      <c r="APF3" s="28">
        <v>44408</v>
      </c>
      <c r="APG3" s="28">
        <v>44407</v>
      </c>
      <c r="APH3" s="28">
        <v>44406</v>
      </c>
      <c r="API3" s="28">
        <v>44405</v>
      </c>
      <c r="APJ3" s="28">
        <v>44404</v>
      </c>
      <c r="APK3" s="28">
        <v>44401</v>
      </c>
      <c r="APL3" s="28">
        <v>44400</v>
      </c>
      <c r="APM3" s="28">
        <v>44399</v>
      </c>
      <c r="APN3" s="28">
        <v>44398</v>
      </c>
      <c r="APO3" s="28">
        <v>44397</v>
      </c>
      <c r="APP3" s="28">
        <v>44394</v>
      </c>
      <c r="APQ3" s="28">
        <v>44393</v>
      </c>
      <c r="APR3" s="28">
        <v>44392</v>
      </c>
      <c r="APS3" s="28">
        <v>44391</v>
      </c>
      <c r="APT3" s="28">
        <v>44390</v>
      </c>
      <c r="APU3" s="28">
        <v>44387</v>
      </c>
      <c r="APV3" s="28">
        <v>44386</v>
      </c>
      <c r="APW3" s="28">
        <v>44385</v>
      </c>
      <c r="APX3" s="28">
        <v>44384</v>
      </c>
      <c r="APY3" s="28">
        <v>44383</v>
      </c>
      <c r="APZ3" s="28">
        <v>44380</v>
      </c>
      <c r="AQA3" s="28">
        <v>44379</v>
      </c>
      <c r="AQB3" s="28">
        <v>44378</v>
      </c>
      <c r="AQC3" s="28">
        <v>44377</v>
      </c>
      <c r="AQD3" s="28">
        <v>44376</v>
      </c>
      <c r="AQE3" s="28">
        <v>44373</v>
      </c>
      <c r="AQF3" s="28">
        <v>44372</v>
      </c>
      <c r="AQG3" s="28">
        <v>44371</v>
      </c>
      <c r="AQH3" s="28">
        <v>44370</v>
      </c>
      <c r="AQI3" s="28">
        <v>44369</v>
      </c>
      <c r="AQJ3" s="28">
        <v>44366</v>
      </c>
      <c r="AQK3" s="28">
        <v>44365</v>
      </c>
      <c r="AQL3" s="28">
        <v>44364</v>
      </c>
      <c r="AQM3" s="28">
        <v>44363</v>
      </c>
      <c r="AQN3" s="28">
        <v>44359</v>
      </c>
      <c r="AQO3" s="28">
        <v>44358</v>
      </c>
      <c r="AQP3" s="28">
        <v>44357</v>
      </c>
      <c r="AQQ3" s="28">
        <v>44356</v>
      </c>
      <c r="AQR3" s="28">
        <v>44355</v>
      </c>
      <c r="AQS3" s="28">
        <v>44352</v>
      </c>
      <c r="AQT3" s="28">
        <v>44351</v>
      </c>
      <c r="AQU3" s="28">
        <v>44350</v>
      </c>
      <c r="AQV3" s="28">
        <v>44349</v>
      </c>
      <c r="AQW3" s="28">
        <v>44348</v>
      </c>
      <c r="AQX3" s="28">
        <v>44345</v>
      </c>
      <c r="AQY3" s="28">
        <v>44344</v>
      </c>
      <c r="AQZ3" s="28">
        <v>44343</v>
      </c>
      <c r="ARA3" s="28">
        <v>44342</v>
      </c>
      <c r="ARB3" s="28">
        <v>44341</v>
      </c>
      <c r="ARC3" s="28">
        <v>44338</v>
      </c>
      <c r="ARD3" s="28">
        <v>44337</v>
      </c>
      <c r="ARE3" s="28">
        <v>44336</v>
      </c>
      <c r="ARF3" s="28">
        <v>44335</v>
      </c>
      <c r="ARG3" s="28">
        <v>44334</v>
      </c>
      <c r="ARH3" s="28">
        <v>44331</v>
      </c>
      <c r="ARI3" s="28">
        <v>44330</v>
      </c>
      <c r="ARJ3" s="28">
        <v>44329</v>
      </c>
      <c r="ARK3" s="28">
        <v>44328</v>
      </c>
      <c r="ARL3" s="28">
        <v>44324</v>
      </c>
      <c r="ARM3" s="28">
        <v>44323</v>
      </c>
      <c r="ARN3" s="28">
        <v>44322</v>
      </c>
      <c r="ARO3" s="28">
        <v>44321</v>
      </c>
      <c r="ARP3" s="28">
        <v>44317</v>
      </c>
      <c r="ARQ3" s="28">
        <v>44316</v>
      </c>
      <c r="ARR3" s="28">
        <v>44315</v>
      </c>
      <c r="ARS3" s="28">
        <v>44314</v>
      </c>
      <c r="ART3" s="28">
        <v>44313</v>
      </c>
      <c r="ARU3" s="28">
        <v>44310</v>
      </c>
      <c r="ARV3" s="28">
        <v>44309</v>
      </c>
      <c r="ARW3" s="28">
        <v>44308</v>
      </c>
      <c r="ARX3" s="28">
        <v>44307</v>
      </c>
      <c r="ARY3" s="28">
        <v>44306</v>
      </c>
      <c r="ARZ3" s="28">
        <v>44303</v>
      </c>
      <c r="ASA3" s="28">
        <v>44302</v>
      </c>
      <c r="ASB3" s="28">
        <v>44301</v>
      </c>
      <c r="ASC3" s="28">
        <v>44300</v>
      </c>
      <c r="ASD3" s="28">
        <v>44299</v>
      </c>
      <c r="ASE3" s="28">
        <v>44296</v>
      </c>
      <c r="ASF3" s="28">
        <v>44295</v>
      </c>
      <c r="ASG3" s="28">
        <v>44294</v>
      </c>
      <c r="ASH3" s="28">
        <v>44293</v>
      </c>
      <c r="ASI3" s="28">
        <v>44292</v>
      </c>
      <c r="ASJ3" s="28">
        <v>44289</v>
      </c>
      <c r="ASK3" s="28">
        <v>44288</v>
      </c>
      <c r="ASL3" s="28">
        <v>44287</v>
      </c>
      <c r="ASM3" s="28">
        <v>44286</v>
      </c>
      <c r="ASN3" s="28">
        <v>44285</v>
      </c>
      <c r="ASO3" s="28">
        <v>44282</v>
      </c>
      <c r="ASP3" s="28">
        <v>44281</v>
      </c>
      <c r="ASQ3" s="28">
        <v>44280</v>
      </c>
      <c r="ASR3" s="28">
        <v>44279</v>
      </c>
      <c r="ASS3" s="28">
        <v>44278</v>
      </c>
      <c r="AST3" s="28">
        <v>44275</v>
      </c>
      <c r="ASU3" s="28">
        <v>44274</v>
      </c>
      <c r="ASV3" s="28">
        <v>44273</v>
      </c>
      <c r="ASW3" s="28">
        <v>44272</v>
      </c>
      <c r="ASX3" s="28">
        <v>44271</v>
      </c>
      <c r="ASY3" s="28">
        <v>44268</v>
      </c>
      <c r="ASZ3" s="28">
        <v>44267</v>
      </c>
      <c r="ATA3" s="28">
        <v>44266</v>
      </c>
      <c r="ATB3" s="28">
        <v>44265</v>
      </c>
      <c r="ATC3" s="28">
        <v>44261</v>
      </c>
      <c r="ATD3" s="28">
        <v>44260</v>
      </c>
      <c r="ATE3" s="28">
        <v>44259</v>
      </c>
      <c r="ATF3" s="28">
        <v>44258</v>
      </c>
      <c r="ATG3" s="28">
        <v>44257</v>
      </c>
      <c r="ATH3" s="28">
        <v>44254</v>
      </c>
      <c r="ATI3" s="28">
        <v>44253</v>
      </c>
      <c r="ATJ3" s="28">
        <v>44252</v>
      </c>
      <c r="ATK3" s="28">
        <v>44248</v>
      </c>
      <c r="ATL3" s="28">
        <v>44247</v>
      </c>
      <c r="ATM3" s="28">
        <v>44246</v>
      </c>
      <c r="ATN3" s="28">
        <v>44245</v>
      </c>
      <c r="ATO3" s="28">
        <v>44244</v>
      </c>
      <c r="ATP3" s="28">
        <v>44243</v>
      </c>
      <c r="ATQ3" s="28">
        <v>44240</v>
      </c>
      <c r="ATR3" s="28">
        <v>44239</v>
      </c>
      <c r="ATS3" s="28">
        <v>44238</v>
      </c>
      <c r="ATT3" s="28">
        <v>44237</v>
      </c>
      <c r="ATU3" s="28">
        <v>44236</v>
      </c>
      <c r="ATV3" s="28">
        <v>44233</v>
      </c>
      <c r="ATW3" s="28">
        <v>44232</v>
      </c>
      <c r="ATX3" s="28">
        <v>44231</v>
      </c>
      <c r="ATY3" s="28">
        <v>44230</v>
      </c>
      <c r="ATZ3" s="28">
        <v>44229</v>
      </c>
      <c r="AUA3" s="28">
        <v>44226</v>
      </c>
      <c r="AUB3" s="28">
        <v>44225</v>
      </c>
      <c r="AUC3" s="28">
        <v>44224</v>
      </c>
      <c r="AUD3" s="28">
        <v>44223</v>
      </c>
      <c r="AUE3" s="28">
        <v>44222</v>
      </c>
      <c r="AUF3" s="28">
        <v>44219</v>
      </c>
      <c r="AUG3" s="28">
        <v>44218</v>
      </c>
      <c r="AUH3" s="28">
        <v>44217</v>
      </c>
      <c r="AUI3" s="28">
        <v>44216</v>
      </c>
      <c r="AUJ3" s="28">
        <v>44215</v>
      </c>
      <c r="AUK3" s="28">
        <v>44212</v>
      </c>
      <c r="AUL3" s="28">
        <v>44211</v>
      </c>
      <c r="AUM3" s="28">
        <v>44210</v>
      </c>
      <c r="AUN3" s="28">
        <v>44209</v>
      </c>
      <c r="AUO3" s="28">
        <v>44208</v>
      </c>
      <c r="AUP3" s="28">
        <v>44197</v>
      </c>
      <c r="AUQ3" s="28">
        <v>44196</v>
      </c>
      <c r="AUR3" s="28">
        <v>44195</v>
      </c>
      <c r="AUS3" s="28">
        <v>44194</v>
      </c>
      <c r="AUT3" s="28">
        <v>44191</v>
      </c>
      <c r="AUU3" s="28">
        <v>44190</v>
      </c>
      <c r="AUV3" s="28">
        <v>44189</v>
      </c>
      <c r="AUW3" s="28">
        <v>44188</v>
      </c>
      <c r="AUX3" s="28">
        <v>44187</v>
      </c>
      <c r="AUY3" s="28">
        <v>44184</v>
      </c>
      <c r="AUZ3" s="28">
        <v>44183</v>
      </c>
      <c r="AVA3" s="28">
        <v>44182</v>
      </c>
      <c r="AVB3" s="28">
        <v>44181</v>
      </c>
      <c r="AVC3" s="28">
        <v>44180</v>
      </c>
      <c r="AVD3" s="28">
        <v>44177</v>
      </c>
      <c r="AVE3" s="28">
        <v>44176</v>
      </c>
      <c r="AVF3" s="28">
        <v>44175</v>
      </c>
      <c r="AVG3" s="28">
        <v>44174</v>
      </c>
      <c r="AVH3" s="28">
        <v>44173</v>
      </c>
      <c r="AVI3" s="28">
        <v>44170</v>
      </c>
      <c r="AVJ3" s="28">
        <v>44169</v>
      </c>
      <c r="AVK3" s="28">
        <v>44168</v>
      </c>
      <c r="AVL3" s="28">
        <v>44167</v>
      </c>
      <c r="AVM3" s="28">
        <v>44166</v>
      </c>
      <c r="AVN3" s="28">
        <v>44163</v>
      </c>
      <c r="AVO3" s="28">
        <v>44162</v>
      </c>
      <c r="AVP3" s="28">
        <v>44161</v>
      </c>
      <c r="AVQ3" s="28">
        <v>44160</v>
      </c>
      <c r="AVR3" s="28">
        <v>44159</v>
      </c>
      <c r="AVS3" s="28">
        <v>44156</v>
      </c>
      <c r="AVT3" s="28">
        <v>44155</v>
      </c>
      <c r="AVU3" s="28">
        <v>44154</v>
      </c>
      <c r="AVV3" s="28">
        <v>44153</v>
      </c>
      <c r="AVW3" s="28">
        <v>44152</v>
      </c>
      <c r="AVX3" s="28">
        <v>44149</v>
      </c>
      <c r="AVY3" s="28">
        <v>44148</v>
      </c>
      <c r="AVZ3" s="28">
        <v>44147</v>
      </c>
      <c r="AWA3" s="28">
        <v>44146</v>
      </c>
      <c r="AWB3" s="28">
        <v>44145</v>
      </c>
      <c r="AWC3" s="28">
        <v>44142</v>
      </c>
      <c r="AWD3" s="28">
        <v>44141</v>
      </c>
      <c r="AWE3" s="28">
        <v>44139</v>
      </c>
      <c r="AWF3" s="28">
        <v>44138</v>
      </c>
      <c r="AWG3" s="28">
        <v>44135</v>
      </c>
      <c r="AWH3" s="28">
        <v>44134</v>
      </c>
      <c r="AWI3" s="28">
        <v>44133</v>
      </c>
      <c r="AWJ3" s="28">
        <v>44132</v>
      </c>
      <c r="AWK3" s="28">
        <v>44131</v>
      </c>
      <c r="AWL3" s="28">
        <v>44128</v>
      </c>
      <c r="AWM3" s="28">
        <v>44127</v>
      </c>
      <c r="AWN3" s="28">
        <v>44126</v>
      </c>
      <c r="AWO3" s="28">
        <v>44125</v>
      </c>
      <c r="AWP3" s="28">
        <v>44124</v>
      </c>
      <c r="AWQ3" s="28">
        <v>44121</v>
      </c>
      <c r="AWR3" s="28">
        <v>44120</v>
      </c>
      <c r="AWS3" s="28">
        <v>44119</v>
      </c>
      <c r="AWT3" s="28">
        <v>44118</v>
      </c>
      <c r="AWU3" s="28">
        <v>44117</v>
      </c>
      <c r="AWV3" s="28">
        <v>44114</v>
      </c>
      <c r="AWW3" s="28">
        <v>44113</v>
      </c>
      <c r="AWX3" s="28">
        <v>44112</v>
      </c>
      <c r="AWY3" s="28">
        <v>44111</v>
      </c>
      <c r="AWZ3" s="28">
        <v>44110</v>
      </c>
      <c r="AXA3" s="28">
        <v>44107</v>
      </c>
      <c r="AXB3" s="28">
        <v>44106</v>
      </c>
      <c r="AXC3" s="28">
        <v>44105</v>
      </c>
      <c r="AXD3" s="28">
        <v>44104</v>
      </c>
      <c r="AXE3" s="28">
        <v>44103</v>
      </c>
      <c r="AXF3" s="28">
        <v>44100</v>
      </c>
      <c r="AXG3" s="28">
        <v>44099</v>
      </c>
      <c r="AXH3" s="28">
        <v>44098</v>
      </c>
      <c r="AXI3" s="28">
        <v>44097</v>
      </c>
      <c r="AXJ3" s="28">
        <v>44096</v>
      </c>
      <c r="AXK3" s="28">
        <v>44093</v>
      </c>
      <c r="AXL3" s="28">
        <v>44092</v>
      </c>
      <c r="AXM3" s="28">
        <v>44091</v>
      </c>
      <c r="AXN3" s="28">
        <v>44090</v>
      </c>
      <c r="AXO3" s="28">
        <v>44089</v>
      </c>
      <c r="AXP3" s="28">
        <v>44086</v>
      </c>
      <c r="AXQ3" s="28">
        <v>44085</v>
      </c>
      <c r="AXR3" s="28">
        <v>44084</v>
      </c>
      <c r="AXS3" s="28">
        <v>44083</v>
      </c>
      <c r="AXT3" s="28">
        <v>44082</v>
      </c>
      <c r="AXU3" s="28">
        <v>44079</v>
      </c>
      <c r="AXV3" s="28">
        <v>44078</v>
      </c>
      <c r="AXW3" s="28">
        <v>44077</v>
      </c>
      <c r="AXX3" s="28">
        <v>44076</v>
      </c>
      <c r="AXY3" s="28">
        <v>44075</v>
      </c>
      <c r="AXZ3" s="28">
        <v>44072</v>
      </c>
      <c r="AYA3" s="28">
        <v>44071</v>
      </c>
      <c r="AYB3" s="28">
        <v>44070</v>
      </c>
      <c r="AYC3" s="28">
        <v>44069</v>
      </c>
      <c r="AYD3" s="28">
        <v>44068</v>
      </c>
      <c r="AYE3" s="28">
        <v>44065</v>
      </c>
      <c r="AYF3" s="28">
        <v>44064</v>
      </c>
      <c r="AYG3" s="28">
        <v>44063</v>
      </c>
      <c r="AYH3" s="28">
        <v>44062</v>
      </c>
      <c r="AYI3" s="28">
        <v>44061</v>
      </c>
      <c r="AYJ3" s="28">
        <v>44058</v>
      </c>
      <c r="AYK3" s="28">
        <v>44057</v>
      </c>
      <c r="AYL3" s="28">
        <v>44056</v>
      </c>
      <c r="AYM3" s="28">
        <v>44055</v>
      </c>
      <c r="AYN3" s="28">
        <v>44054</v>
      </c>
      <c r="AYO3" s="28">
        <v>44051</v>
      </c>
      <c r="AYP3" s="28">
        <v>44050</v>
      </c>
      <c r="AYQ3" s="28">
        <v>44049</v>
      </c>
      <c r="AYR3" s="28">
        <v>44048</v>
      </c>
      <c r="AYS3" s="28">
        <v>44047</v>
      </c>
      <c r="AYT3" s="28">
        <v>44044</v>
      </c>
      <c r="AYU3" s="28">
        <v>44043</v>
      </c>
      <c r="AYV3" s="28">
        <v>44042</v>
      </c>
      <c r="AYW3" s="28">
        <v>44041</v>
      </c>
      <c r="AYX3" s="28">
        <v>44040</v>
      </c>
      <c r="AYY3" s="28">
        <v>44037</v>
      </c>
      <c r="AYZ3" s="28">
        <v>44036</v>
      </c>
      <c r="AZA3" s="28">
        <v>44035</v>
      </c>
      <c r="AZB3" s="28">
        <v>44034</v>
      </c>
      <c r="AZC3" s="28">
        <v>44033</v>
      </c>
      <c r="AZD3" s="28">
        <v>44030</v>
      </c>
      <c r="AZE3" s="28">
        <v>44029</v>
      </c>
      <c r="AZF3" s="28">
        <v>44028</v>
      </c>
      <c r="AZG3" s="28">
        <v>44027</v>
      </c>
      <c r="AZH3" s="28">
        <v>44026</v>
      </c>
      <c r="AZI3" s="28">
        <v>44023</v>
      </c>
      <c r="AZJ3" s="28">
        <v>44022</v>
      </c>
      <c r="AZK3" s="28">
        <v>44021</v>
      </c>
      <c r="AZL3" s="28">
        <v>44020</v>
      </c>
      <c r="AZM3" s="28">
        <v>44019</v>
      </c>
      <c r="AZN3" s="28">
        <v>44016</v>
      </c>
      <c r="AZO3" s="28">
        <v>44015</v>
      </c>
      <c r="AZP3" s="28">
        <v>44014</v>
      </c>
      <c r="AZQ3" s="28">
        <v>44013</v>
      </c>
      <c r="AZR3" s="28">
        <v>44012</v>
      </c>
      <c r="AZS3" s="28">
        <v>44009</v>
      </c>
      <c r="AZT3" s="28">
        <v>44008</v>
      </c>
      <c r="AZU3" s="28">
        <v>44007</v>
      </c>
      <c r="AZV3" s="28">
        <v>44006</v>
      </c>
      <c r="AZW3" s="28">
        <v>44005</v>
      </c>
      <c r="AZX3" s="28">
        <v>44002</v>
      </c>
      <c r="AZY3" s="28">
        <v>44001</v>
      </c>
      <c r="AZZ3" s="28">
        <v>44000</v>
      </c>
      <c r="BAA3" s="28">
        <v>43999</v>
      </c>
      <c r="BAB3" s="28">
        <v>43998</v>
      </c>
      <c r="BAC3" s="28">
        <v>43994</v>
      </c>
      <c r="BAD3" s="28">
        <v>43993</v>
      </c>
      <c r="BAE3" s="28">
        <v>43992</v>
      </c>
      <c r="BAF3" s="28">
        <v>43991</v>
      </c>
      <c r="BAG3" s="28">
        <v>43988</v>
      </c>
      <c r="BAH3" s="28">
        <v>43987</v>
      </c>
      <c r="BAI3" s="28">
        <v>43986</v>
      </c>
      <c r="BAJ3" s="28">
        <v>43985</v>
      </c>
      <c r="BAK3" s="28">
        <v>43984</v>
      </c>
      <c r="BAL3" s="28">
        <v>43981</v>
      </c>
      <c r="BAM3" s="28">
        <v>43980</v>
      </c>
      <c r="BAN3" s="28">
        <v>43979</v>
      </c>
      <c r="BAO3" s="28">
        <v>43978</v>
      </c>
      <c r="BAP3" s="28">
        <v>43977</v>
      </c>
      <c r="BAQ3" s="28">
        <v>43974</v>
      </c>
      <c r="BAR3" s="28">
        <v>43973</v>
      </c>
      <c r="BAS3" s="28">
        <v>43972</v>
      </c>
      <c r="BAT3" s="28">
        <v>43971</v>
      </c>
      <c r="BAU3" s="28">
        <v>43970</v>
      </c>
      <c r="BAV3" s="28">
        <v>43967</v>
      </c>
      <c r="BAW3" s="28">
        <v>43966</v>
      </c>
      <c r="BAX3" s="28">
        <v>43965</v>
      </c>
      <c r="BAY3" s="28">
        <v>43964</v>
      </c>
      <c r="BAZ3" s="28">
        <v>43960</v>
      </c>
      <c r="BBA3" s="28">
        <v>43959</v>
      </c>
      <c r="BBB3" s="28">
        <v>43958</v>
      </c>
      <c r="BBC3" s="28">
        <v>43952</v>
      </c>
      <c r="BBD3" s="28">
        <v>43951</v>
      </c>
      <c r="BBE3" s="28">
        <v>43950</v>
      </c>
      <c r="BBF3" s="28">
        <v>43949</v>
      </c>
      <c r="BBG3" s="28">
        <v>43946</v>
      </c>
      <c r="BBH3" s="28">
        <v>43945</v>
      </c>
      <c r="BBI3" s="28">
        <v>43944</v>
      </c>
      <c r="BBJ3" s="28">
        <v>43943</v>
      </c>
      <c r="BBK3" s="28">
        <v>43942</v>
      </c>
      <c r="BBL3" s="28">
        <v>43939</v>
      </c>
      <c r="BBM3" s="28">
        <v>43938</v>
      </c>
      <c r="BBN3" s="28">
        <v>43937</v>
      </c>
      <c r="BBO3" s="28">
        <v>43936</v>
      </c>
      <c r="BBP3" s="28">
        <v>43935</v>
      </c>
      <c r="BBQ3" s="28">
        <v>43932</v>
      </c>
      <c r="BBR3" s="28">
        <v>43931</v>
      </c>
      <c r="BBS3" s="28">
        <v>43930</v>
      </c>
      <c r="BBT3" s="28">
        <v>43929</v>
      </c>
      <c r="BBU3" s="28">
        <v>43928</v>
      </c>
      <c r="BBV3" s="28">
        <v>43918</v>
      </c>
      <c r="BBW3" s="28">
        <v>43917</v>
      </c>
      <c r="BBX3" s="28">
        <v>43916</v>
      </c>
      <c r="BBY3" s="28">
        <v>43915</v>
      </c>
      <c r="BBZ3" s="28">
        <v>43914</v>
      </c>
      <c r="BCA3" s="28">
        <v>43911</v>
      </c>
      <c r="BCB3" s="28">
        <v>43910</v>
      </c>
      <c r="BCC3" s="28">
        <v>43909</v>
      </c>
      <c r="BCD3" s="28">
        <v>43908</v>
      </c>
      <c r="BCE3" s="28">
        <v>43907</v>
      </c>
      <c r="BCF3" s="28">
        <v>43904</v>
      </c>
      <c r="BCG3" s="28">
        <v>43903</v>
      </c>
      <c r="BCH3" s="28">
        <v>43902</v>
      </c>
      <c r="BCI3" s="28">
        <v>43901</v>
      </c>
      <c r="BCJ3" s="28">
        <v>43897</v>
      </c>
      <c r="BCK3" s="28">
        <v>43896</v>
      </c>
      <c r="BCL3" s="28">
        <v>43895</v>
      </c>
      <c r="BCM3" s="28">
        <v>43894</v>
      </c>
      <c r="BCN3" s="28">
        <v>43893</v>
      </c>
      <c r="BCO3" s="28">
        <v>43890</v>
      </c>
      <c r="BCP3" s="28">
        <v>43889</v>
      </c>
      <c r="BCQ3" s="28">
        <v>43888</v>
      </c>
      <c r="BCR3" s="28">
        <v>43887</v>
      </c>
      <c r="BCS3" s="28">
        <v>43883</v>
      </c>
      <c r="BCT3" s="28">
        <v>43882</v>
      </c>
      <c r="BCU3" s="28">
        <v>43881</v>
      </c>
      <c r="BCV3" s="28">
        <v>43880</v>
      </c>
      <c r="BCW3" s="28">
        <v>43879</v>
      </c>
      <c r="BCX3" s="28">
        <v>43876</v>
      </c>
      <c r="BCY3" s="28">
        <v>43875</v>
      </c>
      <c r="BCZ3" s="28">
        <v>43874</v>
      </c>
      <c r="BDA3" s="28">
        <v>43873</v>
      </c>
      <c r="BDB3" s="28">
        <v>43872</v>
      </c>
      <c r="BDC3" s="28">
        <v>43869</v>
      </c>
      <c r="BDD3" s="28">
        <v>43868</v>
      </c>
      <c r="BDE3" s="28">
        <v>43867</v>
      </c>
      <c r="BDF3" s="28">
        <v>43866</v>
      </c>
      <c r="BDG3" s="28">
        <v>43865</v>
      </c>
      <c r="BDH3" s="28">
        <v>43862</v>
      </c>
      <c r="BDI3" s="28">
        <v>43861</v>
      </c>
      <c r="BDJ3" s="28">
        <v>43860</v>
      </c>
      <c r="BDK3" s="28">
        <v>43859</v>
      </c>
      <c r="BDL3" s="28">
        <v>43858</v>
      </c>
      <c r="BDM3" s="28">
        <v>43855</v>
      </c>
      <c r="BDN3" s="28">
        <v>43854</v>
      </c>
      <c r="BDO3" s="28">
        <v>43853</v>
      </c>
      <c r="BDP3" s="28">
        <v>43852</v>
      </c>
      <c r="BDQ3" s="28">
        <v>43851</v>
      </c>
      <c r="BDR3" s="28">
        <v>43848</v>
      </c>
      <c r="BDS3" s="28">
        <v>43847</v>
      </c>
      <c r="BDT3" s="28">
        <v>43846</v>
      </c>
      <c r="BDU3" s="28">
        <v>43845</v>
      </c>
      <c r="BDV3" s="28">
        <v>43844</v>
      </c>
      <c r="BDW3" s="28">
        <v>43841</v>
      </c>
      <c r="BDX3" s="28">
        <v>43840</v>
      </c>
      <c r="BDY3" s="28">
        <v>43831</v>
      </c>
      <c r="BDZ3" s="28">
        <v>43830</v>
      </c>
      <c r="BEA3" s="28">
        <v>43827</v>
      </c>
      <c r="BEB3" s="28">
        <v>43826</v>
      </c>
      <c r="BEC3" s="28">
        <v>43825</v>
      </c>
      <c r="BED3" s="28">
        <v>43824</v>
      </c>
      <c r="BEE3" s="28">
        <v>43823</v>
      </c>
      <c r="BEF3" s="28">
        <v>43820</v>
      </c>
      <c r="BEG3" s="28">
        <v>43819</v>
      </c>
      <c r="BEH3" s="28">
        <v>43818</v>
      </c>
      <c r="BEI3" s="28">
        <v>43817</v>
      </c>
      <c r="BEJ3" s="28">
        <v>43816</v>
      </c>
      <c r="BEK3" s="28">
        <v>43813</v>
      </c>
      <c r="BEL3" s="28">
        <v>43812</v>
      </c>
      <c r="BEM3" s="28">
        <v>43811</v>
      </c>
      <c r="BEN3" s="28">
        <v>43810</v>
      </c>
      <c r="BEO3" s="28">
        <v>43809</v>
      </c>
      <c r="BEP3" s="28">
        <v>43806</v>
      </c>
      <c r="BEQ3" s="28">
        <v>43805</v>
      </c>
      <c r="BER3" s="28">
        <v>43804</v>
      </c>
      <c r="BES3" s="28">
        <v>43803</v>
      </c>
      <c r="BET3" s="28">
        <v>43802</v>
      </c>
      <c r="BEU3" s="28">
        <v>43799</v>
      </c>
      <c r="BEV3" s="28">
        <v>43798</v>
      </c>
      <c r="BEW3" s="28">
        <v>43797</v>
      </c>
      <c r="BEX3" s="28">
        <v>43796</v>
      </c>
      <c r="BEY3" s="28">
        <v>43795</v>
      </c>
      <c r="BEZ3" s="28">
        <v>43792</v>
      </c>
      <c r="BFA3" s="28">
        <v>43791</v>
      </c>
      <c r="BFB3" s="28">
        <v>43790</v>
      </c>
      <c r="BFC3" s="28">
        <v>43789</v>
      </c>
      <c r="BFD3" s="28">
        <v>43788</v>
      </c>
      <c r="BFE3" s="28">
        <v>43785</v>
      </c>
      <c r="BFF3" s="28">
        <v>43784</v>
      </c>
      <c r="BFG3" s="28">
        <v>43783</v>
      </c>
      <c r="BFH3" s="28">
        <v>43782</v>
      </c>
      <c r="BFI3" s="28">
        <v>43781</v>
      </c>
      <c r="BFJ3" s="28">
        <v>43778</v>
      </c>
      <c r="BFK3" s="28">
        <v>43777</v>
      </c>
      <c r="BFL3" s="28">
        <v>43776</v>
      </c>
      <c r="BFM3" s="28">
        <v>43775</v>
      </c>
      <c r="BFN3" s="28">
        <v>43771</v>
      </c>
      <c r="BFO3" s="28">
        <v>43770</v>
      </c>
      <c r="BFP3" s="28">
        <v>43769</v>
      </c>
      <c r="BFQ3" s="28">
        <v>43768</v>
      </c>
      <c r="BFR3" s="28">
        <v>43767</v>
      </c>
      <c r="BFS3" s="28">
        <v>43764</v>
      </c>
      <c r="BFT3" s="28">
        <v>43763</v>
      </c>
      <c r="BFU3" s="28">
        <v>43762</v>
      </c>
      <c r="BFV3" s="28">
        <v>43761</v>
      </c>
      <c r="BFW3" s="28">
        <v>43760</v>
      </c>
      <c r="BFX3" s="28">
        <v>43757</v>
      </c>
      <c r="BFY3" s="28">
        <v>43756</v>
      </c>
      <c r="BFZ3" s="28">
        <v>43755</v>
      </c>
      <c r="BGA3" s="28">
        <v>43754</v>
      </c>
      <c r="BGB3" s="28">
        <v>43753</v>
      </c>
      <c r="BGC3" s="28">
        <v>43750</v>
      </c>
      <c r="BGD3" s="28">
        <v>43749</v>
      </c>
      <c r="BGE3" s="28">
        <v>43748</v>
      </c>
      <c r="BGF3" s="28">
        <v>43747</v>
      </c>
      <c r="BGG3" s="28">
        <v>43746</v>
      </c>
      <c r="BGH3" s="28">
        <v>43743</v>
      </c>
      <c r="BGI3" s="28">
        <v>43742</v>
      </c>
      <c r="BGJ3" s="28">
        <v>43741</v>
      </c>
      <c r="BGK3" s="28">
        <v>43740</v>
      </c>
      <c r="BGL3" s="28">
        <v>43739</v>
      </c>
      <c r="BGM3" s="28">
        <v>43736</v>
      </c>
      <c r="BGN3" s="28">
        <v>43735</v>
      </c>
      <c r="BGO3" s="28">
        <v>43734</v>
      </c>
      <c r="BGP3" s="28">
        <v>43733</v>
      </c>
      <c r="BGQ3" s="28">
        <v>43732</v>
      </c>
      <c r="BGR3" s="28">
        <v>43729</v>
      </c>
      <c r="BGS3" s="28">
        <v>43728</v>
      </c>
      <c r="BGT3" s="28">
        <v>43727</v>
      </c>
      <c r="BGU3" s="28">
        <v>43726</v>
      </c>
      <c r="BGV3" s="28">
        <v>43725</v>
      </c>
      <c r="BGW3" s="28">
        <v>43722</v>
      </c>
      <c r="BGX3" s="28">
        <v>43721</v>
      </c>
      <c r="BGY3" s="28">
        <v>43720</v>
      </c>
      <c r="BGZ3" s="28">
        <v>43719</v>
      </c>
      <c r="BHA3" s="28">
        <v>43718</v>
      </c>
      <c r="BHB3" s="28">
        <v>43715</v>
      </c>
      <c r="BHC3" s="28">
        <v>43714</v>
      </c>
      <c r="BHD3" s="28">
        <v>43713</v>
      </c>
      <c r="BHE3" s="28">
        <v>43712</v>
      </c>
      <c r="BHF3" s="28">
        <v>43711</v>
      </c>
      <c r="BHG3" s="28">
        <v>43708</v>
      </c>
      <c r="BHH3" s="28">
        <v>43707</v>
      </c>
      <c r="BHI3" s="28">
        <v>43706</v>
      </c>
      <c r="BHJ3" s="28">
        <v>43705</v>
      </c>
      <c r="BHK3" s="28">
        <v>43704</v>
      </c>
      <c r="BHL3" s="28">
        <v>43701</v>
      </c>
      <c r="BHM3" s="28">
        <v>43700</v>
      </c>
      <c r="BHN3" s="28">
        <v>43699</v>
      </c>
      <c r="BHO3" s="28">
        <v>43698</v>
      </c>
      <c r="BHP3" s="28">
        <v>43697</v>
      </c>
      <c r="BHQ3" s="28">
        <v>43694</v>
      </c>
      <c r="BHR3" s="28">
        <v>43693</v>
      </c>
      <c r="BHS3" s="28">
        <v>43692</v>
      </c>
      <c r="BHT3" s="28">
        <v>43691</v>
      </c>
      <c r="BHU3" s="28">
        <v>43690</v>
      </c>
      <c r="BHV3" s="28">
        <v>43687</v>
      </c>
      <c r="BHW3" s="28">
        <v>43686</v>
      </c>
      <c r="BHX3" s="28">
        <v>43685</v>
      </c>
      <c r="BHY3" s="28">
        <v>43684</v>
      </c>
      <c r="BHZ3" s="28">
        <v>43683</v>
      </c>
      <c r="BIA3" s="28">
        <v>43680</v>
      </c>
      <c r="BIB3" s="28">
        <v>43679</v>
      </c>
      <c r="BIC3" s="28">
        <v>43678</v>
      </c>
      <c r="BID3" s="28">
        <v>43677</v>
      </c>
      <c r="BIE3" s="28">
        <v>43676</v>
      </c>
      <c r="BIF3" s="28">
        <v>43673</v>
      </c>
      <c r="BIG3" s="28">
        <v>43672</v>
      </c>
      <c r="BIH3" s="28">
        <v>43671</v>
      </c>
      <c r="BII3" s="28">
        <v>43670</v>
      </c>
      <c r="BIJ3" s="28">
        <v>43669</v>
      </c>
      <c r="BIK3" s="28">
        <v>43666</v>
      </c>
      <c r="BIL3" s="28">
        <v>43665</v>
      </c>
      <c r="BIM3" s="28">
        <v>43664</v>
      </c>
      <c r="BIN3" s="28">
        <v>43663</v>
      </c>
      <c r="BIO3" s="28">
        <v>43662</v>
      </c>
      <c r="BIP3" s="28">
        <v>43659</v>
      </c>
      <c r="BIQ3" s="28">
        <v>43658</v>
      </c>
      <c r="BIR3" s="28">
        <v>43657</v>
      </c>
      <c r="BIS3" s="28">
        <v>43656</v>
      </c>
      <c r="BIT3" s="28">
        <v>43655</v>
      </c>
      <c r="BIU3" s="28">
        <v>43652</v>
      </c>
      <c r="BIV3" s="28">
        <v>43651</v>
      </c>
      <c r="BIW3" s="28">
        <v>43650</v>
      </c>
      <c r="BIX3" s="28">
        <v>43649</v>
      </c>
      <c r="BIY3" s="28">
        <v>43648</v>
      </c>
      <c r="BIZ3" s="28">
        <v>43645</v>
      </c>
      <c r="BJA3" s="28">
        <v>43644</v>
      </c>
      <c r="BJB3" s="28">
        <v>43643</v>
      </c>
      <c r="BJC3" s="28">
        <v>43642</v>
      </c>
      <c r="BJD3" s="28">
        <v>43641</v>
      </c>
      <c r="BJE3" s="28">
        <v>43638</v>
      </c>
      <c r="BJF3" s="28">
        <v>43637</v>
      </c>
      <c r="BJG3" s="28">
        <v>43636</v>
      </c>
      <c r="BJH3" s="28">
        <v>43635</v>
      </c>
      <c r="BJI3" s="28">
        <v>43634</v>
      </c>
      <c r="BJJ3" s="28">
        <v>43631</v>
      </c>
      <c r="BJK3" s="28">
        <v>43630</v>
      </c>
      <c r="BJL3" s="28">
        <v>43628</v>
      </c>
      <c r="BJM3" s="28">
        <v>43627</v>
      </c>
      <c r="BJN3" s="28">
        <v>43624</v>
      </c>
      <c r="BJO3" s="28">
        <v>43623</v>
      </c>
      <c r="BJP3" s="28">
        <v>43622</v>
      </c>
      <c r="BJQ3" s="28">
        <v>43621</v>
      </c>
      <c r="BJR3" s="28">
        <v>43620</v>
      </c>
      <c r="BJS3" s="28">
        <v>43617</v>
      </c>
      <c r="BJT3" s="28">
        <v>43616</v>
      </c>
      <c r="BJU3" s="28">
        <v>43615</v>
      </c>
      <c r="BJV3" s="28">
        <v>43614</v>
      </c>
      <c r="BJW3" s="28">
        <v>43613</v>
      </c>
      <c r="BJX3" s="28">
        <v>43610</v>
      </c>
      <c r="BJY3" s="28">
        <v>43609</v>
      </c>
      <c r="BJZ3" s="28">
        <v>43608</v>
      </c>
      <c r="BKA3" s="28">
        <v>43607</v>
      </c>
      <c r="BKB3" s="28">
        <v>43606</v>
      </c>
      <c r="BKC3" s="28">
        <v>43603</v>
      </c>
      <c r="BKD3" s="28">
        <v>43602</v>
      </c>
      <c r="BKE3" s="28">
        <v>43601</v>
      </c>
      <c r="BKF3" s="28">
        <v>43600</v>
      </c>
      <c r="BKG3" s="28">
        <v>43599</v>
      </c>
      <c r="BKH3" s="28">
        <v>43594</v>
      </c>
      <c r="BKI3" s="28">
        <v>43593</v>
      </c>
      <c r="BKJ3" s="28">
        <v>43592</v>
      </c>
      <c r="BKK3" s="28">
        <v>43586</v>
      </c>
      <c r="BKL3" s="28">
        <v>43585</v>
      </c>
      <c r="BKM3" s="28">
        <v>43582</v>
      </c>
      <c r="BKN3" s="28">
        <v>43581</v>
      </c>
      <c r="BKO3" s="28">
        <v>43580</v>
      </c>
      <c r="BKP3" s="28">
        <v>43579</v>
      </c>
      <c r="BKQ3" s="28">
        <v>43578</v>
      </c>
      <c r="BKR3" s="28">
        <v>43575</v>
      </c>
      <c r="BKS3" s="28">
        <v>43574</v>
      </c>
      <c r="BKT3" s="28">
        <v>43573</v>
      </c>
      <c r="BKU3" s="28">
        <v>43572</v>
      </c>
      <c r="BKV3" s="28">
        <v>43571</v>
      </c>
      <c r="BKW3" s="28">
        <v>43568</v>
      </c>
      <c r="BKX3" s="28">
        <v>43567</v>
      </c>
      <c r="BKY3" s="28">
        <v>43566</v>
      </c>
      <c r="BKZ3" s="28">
        <v>43565</v>
      </c>
      <c r="BLA3" s="28">
        <v>43564</v>
      </c>
      <c r="BLB3" s="28">
        <v>43561</v>
      </c>
      <c r="BLC3" s="28">
        <v>43560</v>
      </c>
      <c r="BLD3" s="28">
        <v>43559</v>
      </c>
      <c r="BLE3" s="28">
        <v>43558</v>
      </c>
      <c r="BLF3" s="28">
        <v>43557</v>
      </c>
      <c r="BLG3" s="28">
        <v>43554</v>
      </c>
      <c r="BLH3" s="28">
        <v>43553</v>
      </c>
      <c r="BLI3" s="28">
        <v>43552</v>
      </c>
      <c r="BLJ3" s="28">
        <v>43551</v>
      </c>
      <c r="BLK3" s="28">
        <v>43550</v>
      </c>
      <c r="BLL3" s="28">
        <v>43547</v>
      </c>
      <c r="BLM3" s="28">
        <v>43546</v>
      </c>
      <c r="BLN3" s="28">
        <v>43545</v>
      </c>
      <c r="BLO3" s="28">
        <v>43544</v>
      </c>
      <c r="BLP3" s="28">
        <v>43543</v>
      </c>
      <c r="BLQ3" s="28">
        <v>43540</v>
      </c>
      <c r="BLR3" s="28">
        <v>43539</v>
      </c>
      <c r="BLS3" s="28">
        <v>43538</v>
      </c>
      <c r="BLT3" s="28">
        <v>43537</v>
      </c>
      <c r="BLU3" s="28">
        <v>43536</v>
      </c>
      <c r="BLV3" s="28">
        <v>43532</v>
      </c>
      <c r="BLW3" s="28">
        <v>43531</v>
      </c>
      <c r="BLX3" s="28">
        <v>43530</v>
      </c>
      <c r="BLY3" s="28">
        <v>43529</v>
      </c>
      <c r="BLZ3" s="28">
        <v>43526</v>
      </c>
      <c r="BMA3" s="28">
        <v>43525</v>
      </c>
      <c r="BMB3" s="28">
        <v>43524</v>
      </c>
      <c r="BMC3" s="28">
        <v>43523</v>
      </c>
      <c r="BMD3" s="28">
        <v>43522</v>
      </c>
      <c r="BME3" s="28">
        <v>43519</v>
      </c>
      <c r="BMF3" s="28">
        <v>43518</v>
      </c>
      <c r="BMG3" s="28">
        <v>43517</v>
      </c>
      <c r="BMH3" s="28">
        <v>43516</v>
      </c>
      <c r="BMI3" s="28">
        <v>43515</v>
      </c>
      <c r="BMJ3" s="28">
        <v>43512</v>
      </c>
      <c r="BMK3" s="28">
        <v>43511</v>
      </c>
      <c r="BML3" s="28">
        <v>43510</v>
      </c>
      <c r="BMM3" s="28">
        <v>43509</v>
      </c>
      <c r="BMN3" s="28">
        <v>43508</v>
      </c>
      <c r="BMO3" s="28">
        <v>43505</v>
      </c>
      <c r="BMP3" s="28">
        <v>43504</v>
      </c>
      <c r="BMQ3" s="28">
        <v>43503</v>
      </c>
      <c r="BMR3" s="28">
        <v>43502</v>
      </c>
      <c r="BMS3" s="28">
        <v>43501</v>
      </c>
      <c r="BMT3" s="28">
        <v>43498</v>
      </c>
      <c r="BMU3" s="28">
        <v>43497</v>
      </c>
      <c r="BMV3" s="28">
        <v>43496</v>
      </c>
      <c r="BMW3" s="28">
        <v>43495</v>
      </c>
      <c r="BMX3" s="28">
        <v>43494</v>
      </c>
      <c r="BMY3" s="28">
        <v>43491</v>
      </c>
      <c r="BMZ3" s="28">
        <v>43490</v>
      </c>
      <c r="BNA3" s="28">
        <v>43489</v>
      </c>
      <c r="BNB3" s="28">
        <v>43488</v>
      </c>
      <c r="BNC3" s="28">
        <v>43487</v>
      </c>
      <c r="BND3" s="28">
        <v>43484</v>
      </c>
      <c r="BNE3" s="28">
        <v>43483</v>
      </c>
      <c r="BNF3" s="28">
        <v>43482</v>
      </c>
      <c r="BNG3" s="28">
        <v>43481</v>
      </c>
      <c r="BNH3" s="28">
        <v>43480</v>
      </c>
      <c r="BNI3" s="28">
        <v>43477</v>
      </c>
      <c r="BNJ3" s="28">
        <v>43476</v>
      </c>
      <c r="BNK3" s="28">
        <v>43475</v>
      </c>
      <c r="BNL3" s="28">
        <v>43464</v>
      </c>
      <c r="BNM3" s="28">
        <v>43463</v>
      </c>
      <c r="BNN3" s="28">
        <v>43462</v>
      </c>
      <c r="BNO3" s="28">
        <v>43461</v>
      </c>
      <c r="BNP3" s="28">
        <v>43460</v>
      </c>
      <c r="BNQ3" s="28">
        <v>43459</v>
      </c>
      <c r="BNR3" s="28">
        <v>43456</v>
      </c>
      <c r="BNS3" s="28">
        <v>43455</v>
      </c>
      <c r="BNT3" s="28">
        <v>43454</v>
      </c>
      <c r="BNU3" s="28">
        <v>43453</v>
      </c>
      <c r="BNV3" s="28">
        <v>43452</v>
      </c>
      <c r="BNW3" s="28">
        <v>43449</v>
      </c>
      <c r="BNX3" s="28">
        <v>43448</v>
      </c>
      <c r="BNY3" s="28">
        <v>43447</v>
      </c>
      <c r="BNZ3" s="28">
        <v>43446</v>
      </c>
      <c r="BOA3" s="28">
        <v>43445</v>
      </c>
      <c r="BOB3" s="28">
        <v>43442</v>
      </c>
      <c r="BOC3" s="28">
        <v>43441</v>
      </c>
      <c r="BOD3" s="28">
        <v>43440</v>
      </c>
      <c r="BOE3" s="28">
        <v>43439</v>
      </c>
      <c r="BOF3" s="28">
        <v>43438</v>
      </c>
      <c r="BOG3" s="28">
        <v>43435</v>
      </c>
      <c r="BOH3" s="28">
        <v>43434</v>
      </c>
      <c r="BOI3" s="28">
        <v>43433</v>
      </c>
      <c r="BOJ3" s="28">
        <v>43432</v>
      </c>
      <c r="BOK3" s="28">
        <v>43431</v>
      </c>
      <c r="BOL3" s="28">
        <v>43428</v>
      </c>
      <c r="BOM3" s="28">
        <v>43427</v>
      </c>
      <c r="BON3" s="28">
        <v>43426</v>
      </c>
      <c r="BOO3" s="28">
        <v>43425</v>
      </c>
      <c r="BOP3" s="28">
        <v>43424</v>
      </c>
      <c r="BOQ3" s="28">
        <v>43421</v>
      </c>
      <c r="BOR3" s="28">
        <v>43420</v>
      </c>
      <c r="BOS3" s="28">
        <v>43419</v>
      </c>
      <c r="BOT3" s="28">
        <v>43418</v>
      </c>
      <c r="BOU3" s="28">
        <v>43417</v>
      </c>
      <c r="BOV3" s="28">
        <v>43414</v>
      </c>
      <c r="BOW3" s="28">
        <v>43413</v>
      </c>
      <c r="BOX3" s="28">
        <v>43412</v>
      </c>
      <c r="BOY3" s="28">
        <v>43411</v>
      </c>
      <c r="BOZ3" s="28">
        <v>43407</v>
      </c>
      <c r="BPA3" s="28">
        <v>43406</v>
      </c>
      <c r="BPB3" s="28">
        <v>43405</v>
      </c>
      <c r="BPC3" s="28">
        <v>43404</v>
      </c>
      <c r="BPD3" s="28">
        <v>43403</v>
      </c>
      <c r="BPE3" s="28">
        <v>43400</v>
      </c>
      <c r="BPF3" s="28">
        <v>43399</v>
      </c>
      <c r="BPG3" s="28">
        <v>43398</v>
      </c>
      <c r="BPH3" s="28">
        <v>43397</v>
      </c>
      <c r="BPI3" s="28">
        <v>43396</v>
      </c>
      <c r="BPJ3" s="28">
        <v>43393</v>
      </c>
      <c r="BPK3" s="28">
        <v>43392</v>
      </c>
      <c r="BPL3" s="28">
        <v>43391</v>
      </c>
      <c r="BPM3" s="28">
        <v>43390</v>
      </c>
      <c r="BPN3" s="28">
        <v>43389</v>
      </c>
      <c r="BPO3" s="28">
        <v>43386</v>
      </c>
      <c r="BPP3" s="28">
        <v>43385</v>
      </c>
      <c r="BPQ3" s="28">
        <v>43384</v>
      </c>
      <c r="BPR3" s="28">
        <v>43383</v>
      </c>
      <c r="BPS3" s="28">
        <v>43382</v>
      </c>
      <c r="BPT3" s="28">
        <v>43379</v>
      </c>
      <c r="BPU3" s="28">
        <v>43378</v>
      </c>
      <c r="BPV3" s="28">
        <v>43377</v>
      </c>
      <c r="BPW3" s="28">
        <v>43376</v>
      </c>
      <c r="BPX3" s="28">
        <v>43375</v>
      </c>
      <c r="BPY3" s="28">
        <v>43372</v>
      </c>
      <c r="BPZ3" s="28">
        <v>43371</v>
      </c>
      <c r="BQA3" s="28">
        <v>43370</v>
      </c>
      <c r="BQB3" s="28">
        <v>43369</v>
      </c>
      <c r="BQC3" s="28">
        <v>43368</v>
      </c>
      <c r="BQD3" s="28">
        <v>43365</v>
      </c>
      <c r="BQE3" s="28">
        <v>43364</v>
      </c>
      <c r="BQF3" s="28">
        <v>43363</v>
      </c>
      <c r="BQG3" s="28">
        <v>43362</v>
      </c>
      <c r="BQH3" s="28">
        <v>43361</v>
      </c>
      <c r="BQI3" s="28">
        <v>43358</v>
      </c>
      <c r="BQJ3" s="28">
        <v>43357</v>
      </c>
      <c r="BQK3" s="28">
        <v>43356</v>
      </c>
      <c r="BQL3" s="28">
        <v>43355</v>
      </c>
      <c r="BQM3" s="28">
        <v>43354</v>
      </c>
      <c r="BQN3" s="28">
        <v>43351</v>
      </c>
      <c r="BQO3" s="28">
        <v>43350</v>
      </c>
      <c r="BQP3" s="28">
        <v>43349</v>
      </c>
      <c r="BQQ3" s="28">
        <v>43348</v>
      </c>
      <c r="BQR3" s="28">
        <v>43347</v>
      </c>
      <c r="BQS3" s="28">
        <v>43344</v>
      </c>
      <c r="BQT3" s="28">
        <v>43343</v>
      </c>
      <c r="BQU3" s="28">
        <v>43342</v>
      </c>
      <c r="BQV3" s="28">
        <v>43341</v>
      </c>
      <c r="BQW3" s="28">
        <v>43340</v>
      </c>
      <c r="BQX3" s="28">
        <v>43337</v>
      </c>
      <c r="BQY3" s="28">
        <v>43336</v>
      </c>
      <c r="BQZ3" s="28">
        <v>43335</v>
      </c>
      <c r="BRA3" s="28">
        <v>43334</v>
      </c>
      <c r="BRB3" s="28">
        <v>43333</v>
      </c>
      <c r="BRC3" s="28">
        <v>43330</v>
      </c>
      <c r="BRD3" s="28">
        <v>43329</v>
      </c>
      <c r="BRE3" s="28">
        <v>43328</v>
      </c>
      <c r="BRF3" s="28">
        <v>43327</v>
      </c>
      <c r="BRG3" s="28">
        <v>43326</v>
      </c>
      <c r="BRH3" s="28">
        <v>43323</v>
      </c>
      <c r="BRI3" s="28">
        <v>43322</v>
      </c>
      <c r="BRJ3" s="28">
        <v>43321</v>
      </c>
      <c r="BRK3" s="28">
        <v>43320</v>
      </c>
      <c r="BRL3" s="28">
        <v>43319</v>
      </c>
      <c r="BRM3" s="28">
        <v>43316</v>
      </c>
      <c r="BRN3" s="28">
        <v>43315</v>
      </c>
      <c r="BRO3" s="28">
        <v>43314</v>
      </c>
      <c r="BRP3" s="28">
        <v>43313</v>
      </c>
      <c r="BRQ3" s="28">
        <v>43312</v>
      </c>
      <c r="BRR3" s="28">
        <v>43309</v>
      </c>
      <c r="BRS3" s="28">
        <v>43308</v>
      </c>
      <c r="BRT3" s="28">
        <v>43307</v>
      </c>
      <c r="BRU3" s="28">
        <v>43306</v>
      </c>
      <c r="BRV3" s="28">
        <v>43305</v>
      </c>
      <c r="BRW3" s="28">
        <v>43302</v>
      </c>
      <c r="BRX3" s="28">
        <v>43301</v>
      </c>
      <c r="BRY3" s="28">
        <v>43300</v>
      </c>
      <c r="BRZ3" s="28">
        <v>43299</v>
      </c>
      <c r="BSA3" s="28">
        <v>43298</v>
      </c>
      <c r="BSB3" s="28">
        <v>43295</v>
      </c>
      <c r="BSC3" s="28">
        <v>43294</v>
      </c>
      <c r="BSD3" s="28">
        <v>43293</v>
      </c>
      <c r="BSE3" s="28">
        <v>43292</v>
      </c>
      <c r="BSF3" s="28">
        <v>43291</v>
      </c>
      <c r="BSG3" s="28">
        <v>43288</v>
      </c>
      <c r="BSH3" s="28">
        <v>43287</v>
      </c>
      <c r="BSI3" s="28">
        <v>43286</v>
      </c>
      <c r="BSJ3" s="28">
        <v>43285</v>
      </c>
      <c r="BSK3" s="28">
        <v>43284</v>
      </c>
      <c r="BSL3" s="28">
        <v>43281</v>
      </c>
      <c r="BSM3" s="28">
        <v>43280</v>
      </c>
      <c r="BSN3" s="28">
        <v>43279</v>
      </c>
      <c r="BSO3" s="28">
        <v>43278</v>
      </c>
      <c r="BSP3" s="28">
        <v>43277</v>
      </c>
      <c r="BSQ3" s="28">
        <v>43274</v>
      </c>
      <c r="BSR3" s="28">
        <v>43273</v>
      </c>
      <c r="BSS3" s="28">
        <v>43272</v>
      </c>
      <c r="BST3" s="28">
        <v>43271</v>
      </c>
      <c r="BSU3" s="28">
        <v>43270</v>
      </c>
      <c r="BSV3" s="28">
        <v>43267</v>
      </c>
      <c r="BSW3" s="28">
        <v>43266</v>
      </c>
      <c r="BSX3" s="28">
        <v>43265</v>
      </c>
      <c r="BSY3" s="28">
        <v>43261</v>
      </c>
      <c r="BSZ3" s="28">
        <v>43260</v>
      </c>
      <c r="BTA3" s="28">
        <v>43259</v>
      </c>
      <c r="BTB3" s="28">
        <v>43258</v>
      </c>
      <c r="BTC3" s="28">
        <v>43257</v>
      </c>
      <c r="BTD3" s="28">
        <v>43256</v>
      </c>
      <c r="BTE3" s="28">
        <v>43253</v>
      </c>
      <c r="BTF3" s="28">
        <v>43252</v>
      </c>
      <c r="BTG3" s="28">
        <v>43251</v>
      </c>
      <c r="BTH3" s="28">
        <v>43250</v>
      </c>
      <c r="BTI3" s="28">
        <v>43249</v>
      </c>
      <c r="BTJ3" s="28">
        <v>43246</v>
      </c>
      <c r="BTK3" s="28">
        <v>43245</v>
      </c>
      <c r="BTL3" s="28">
        <v>43244</v>
      </c>
      <c r="BTM3" s="28">
        <v>43243</v>
      </c>
      <c r="BTN3" s="28">
        <v>43242</v>
      </c>
      <c r="BTO3" s="28">
        <v>43239</v>
      </c>
      <c r="BTP3" s="28">
        <v>43238</v>
      </c>
      <c r="BTQ3" s="28">
        <v>43237</v>
      </c>
      <c r="BTR3" s="28">
        <v>43236</v>
      </c>
      <c r="BTS3" s="28">
        <v>43235</v>
      </c>
      <c r="BTT3" s="28">
        <v>43232</v>
      </c>
      <c r="BTU3" s="28">
        <v>43231</v>
      </c>
      <c r="BTV3" s="28">
        <v>43229</v>
      </c>
      <c r="BTW3" s="28">
        <v>43228</v>
      </c>
      <c r="BTX3" s="28">
        <v>43225</v>
      </c>
      <c r="BTY3" s="28">
        <v>43224</v>
      </c>
      <c r="BTZ3" s="28">
        <v>43219</v>
      </c>
      <c r="BUA3" s="28">
        <v>43218</v>
      </c>
      <c r="BUB3" s="28">
        <v>43217</v>
      </c>
      <c r="BUC3" s="28">
        <v>43216</v>
      </c>
      <c r="BUD3" s="28">
        <v>43215</v>
      </c>
      <c r="BUE3" s="28">
        <v>43214</v>
      </c>
      <c r="BUF3" s="28">
        <v>43211</v>
      </c>
      <c r="BUG3" s="28">
        <v>43210</v>
      </c>
      <c r="BUH3" s="28">
        <v>43209</v>
      </c>
      <c r="BUI3" s="28">
        <v>43208</v>
      </c>
      <c r="BUJ3" s="28">
        <v>43207</v>
      </c>
      <c r="BUK3" s="28">
        <v>43204</v>
      </c>
      <c r="BUL3" s="28">
        <v>43203</v>
      </c>
      <c r="BUM3" s="28">
        <v>43202</v>
      </c>
      <c r="BUN3" s="28">
        <v>43201</v>
      </c>
      <c r="BUO3" s="28">
        <v>43200</v>
      </c>
      <c r="BUP3" s="28">
        <v>43197</v>
      </c>
      <c r="BUQ3" s="28">
        <v>43196</v>
      </c>
      <c r="BUR3" s="28">
        <v>43195</v>
      </c>
      <c r="BUS3" s="28">
        <v>43194</v>
      </c>
      <c r="BUT3" s="28">
        <v>43193</v>
      </c>
      <c r="BUU3" s="28">
        <v>43190</v>
      </c>
      <c r="BUV3" s="28">
        <v>43189</v>
      </c>
      <c r="BUW3" s="28">
        <v>43188</v>
      </c>
      <c r="BUX3" s="28">
        <v>43187</v>
      </c>
      <c r="BUY3" s="28">
        <v>43186</v>
      </c>
      <c r="BUZ3" s="28">
        <v>43183</v>
      </c>
      <c r="BVA3" s="28">
        <v>43182</v>
      </c>
      <c r="BVB3" s="28">
        <v>43181</v>
      </c>
      <c r="BVC3" s="28">
        <v>43180</v>
      </c>
      <c r="BVD3" s="28">
        <v>43179</v>
      </c>
      <c r="BVE3" s="28">
        <v>43176</v>
      </c>
      <c r="BVF3" s="28">
        <v>43175</v>
      </c>
      <c r="BVG3" s="28">
        <v>43174</v>
      </c>
      <c r="BVH3" s="28">
        <v>43173</v>
      </c>
      <c r="BVI3" s="28">
        <v>43172</v>
      </c>
      <c r="BVJ3" s="28">
        <v>43167</v>
      </c>
      <c r="BVK3" s="28">
        <v>43166</v>
      </c>
      <c r="BVL3" s="28">
        <v>43165</v>
      </c>
      <c r="BVM3" s="28">
        <v>43162</v>
      </c>
      <c r="BVN3" s="28">
        <v>43161</v>
      </c>
      <c r="BVO3" s="28">
        <v>43160</v>
      </c>
      <c r="BVP3" s="28">
        <v>43159</v>
      </c>
      <c r="BVQ3" s="28">
        <v>43158</v>
      </c>
      <c r="BVR3" s="28">
        <v>43154</v>
      </c>
      <c r="BVS3" s="28">
        <v>43153</v>
      </c>
      <c r="BVT3" s="28">
        <v>43152</v>
      </c>
      <c r="BVU3" s="28">
        <v>43151</v>
      </c>
      <c r="BVV3" s="28">
        <v>43148</v>
      </c>
      <c r="BVW3" s="28">
        <v>43147</v>
      </c>
      <c r="BVX3" s="28">
        <v>43146</v>
      </c>
      <c r="BVY3" s="28">
        <v>43145</v>
      </c>
      <c r="BVZ3" s="28">
        <v>43144</v>
      </c>
      <c r="BWA3" s="28">
        <v>43141</v>
      </c>
      <c r="BWB3" s="28">
        <v>43140</v>
      </c>
      <c r="BWC3" s="28">
        <v>43139</v>
      </c>
      <c r="BWD3" s="28">
        <v>43138</v>
      </c>
      <c r="BWE3" s="28">
        <v>43137</v>
      </c>
      <c r="BWF3" s="28">
        <v>43134</v>
      </c>
      <c r="BWG3" s="28">
        <v>43133</v>
      </c>
      <c r="BWH3" s="28">
        <v>43132</v>
      </c>
      <c r="BWI3" s="28">
        <v>43131</v>
      </c>
      <c r="BWJ3" s="28">
        <v>43130</v>
      </c>
      <c r="BWK3" s="28">
        <v>43127</v>
      </c>
      <c r="BWL3" s="28">
        <v>43126</v>
      </c>
      <c r="BWM3" s="28">
        <v>43125</v>
      </c>
      <c r="BWN3" s="28">
        <v>43124</v>
      </c>
      <c r="BWO3" s="28">
        <v>43123</v>
      </c>
      <c r="BWP3" s="28">
        <v>43120</v>
      </c>
      <c r="BWQ3" s="28">
        <v>43119</v>
      </c>
      <c r="BWR3" s="28">
        <v>43118</v>
      </c>
      <c r="BWS3" s="28">
        <v>43117</v>
      </c>
      <c r="BWT3" s="28">
        <v>43116</v>
      </c>
      <c r="BWU3" s="28">
        <v>43113</v>
      </c>
      <c r="BWV3" s="28">
        <v>43112</v>
      </c>
      <c r="BWW3" s="28">
        <v>43111</v>
      </c>
      <c r="BWX3" s="28">
        <v>43110</v>
      </c>
      <c r="BWY3" s="28">
        <v>43099</v>
      </c>
      <c r="BWZ3" s="28">
        <v>43098</v>
      </c>
      <c r="BXA3" s="28">
        <v>43097</v>
      </c>
      <c r="BXB3" s="28">
        <v>43096</v>
      </c>
      <c r="BXC3" s="28">
        <v>43095</v>
      </c>
      <c r="BXD3" s="28">
        <v>43092</v>
      </c>
      <c r="BXE3" s="28">
        <v>43091</v>
      </c>
      <c r="BXF3" s="28">
        <v>43090</v>
      </c>
      <c r="BXG3" s="28">
        <v>43089</v>
      </c>
      <c r="BXH3" s="28">
        <v>43088</v>
      </c>
      <c r="BXI3" s="28">
        <v>43085</v>
      </c>
      <c r="BXJ3" s="28">
        <v>43084</v>
      </c>
      <c r="BXK3" s="28">
        <v>43083</v>
      </c>
      <c r="BXL3" s="28">
        <v>43082</v>
      </c>
      <c r="BXM3" s="28">
        <v>43081</v>
      </c>
      <c r="BXN3" s="28">
        <v>43078</v>
      </c>
      <c r="BXO3" s="28">
        <v>43077</v>
      </c>
      <c r="BXP3" s="28">
        <v>43076</v>
      </c>
      <c r="BXQ3" s="28">
        <v>43075</v>
      </c>
      <c r="BXR3" s="28">
        <v>43074</v>
      </c>
      <c r="BXS3" s="28">
        <v>43071</v>
      </c>
      <c r="BXT3" s="28">
        <v>43070</v>
      </c>
      <c r="BXU3" s="28">
        <v>43069</v>
      </c>
      <c r="BXV3" s="28">
        <v>43068</v>
      </c>
      <c r="BXW3" s="28">
        <v>43067</v>
      </c>
      <c r="BXX3" s="28">
        <v>43064</v>
      </c>
      <c r="BXY3" s="28">
        <v>43063</v>
      </c>
      <c r="BXZ3" s="28">
        <v>43062</v>
      </c>
      <c r="BYA3" s="28">
        <v>43061</v>
      </c>
      <c r="BYB3" s="28">
        <v>43060</v>
      </c>
      <c r="BYC3" s="28">
        <v>43057</v>
      </c>
      <c r="BYD3" s="28">
        <v>43056</v>
      </c>
      <c r="BYE3" s="28">
        <v>43055</v>
      </c>
      <c r="BYF3" s="28">
        <v>43054</v>
      </c>
      <c r="BYG3" s="28">
        <v>43053</v>
      </c>
      <c r="BYH3" s="28">
        <v>43050</v>
      </c>
      <c r="BYI3" s="28">
        <v>43049</v>
      </c>
      <c r="BYJ3" s="28">
        <v>43048</v>
      </c>
      <c r="BYK3" s="28">
        <v>43047</v>
      </c>
      <c r="BYL3" s="28">
        <v>43043</v>
      </c>
      <c r="BYM3" s="28">
        <v>43042</v>
      </c>
      <c r="BYN3" s="28">
        <v>43041</v>
      </c>
      <c r="BYO3" s="28">
        <v>43040</v>
      </c>
      <c r="BYP3" s="28">
        <v>43039</v>
      </c>
      <c r="BYQ3" s="28">
        <v>43036</v>
      </c>
      <c r="BYR3" s="28">
        <v>43035</v>
      </c>
      <c r="BYS3" s="28">
        <v>43034</v>
      </c>
      <c r="BYT3" s="28">
        <v>43033</v>
      </c>
      <c r="BYU3" s="28">
        <v>43032</v>
      </c>
      <c r="BYV3" s="28">
        <v>43029</v>
      </c>
      <c r="BYW3" s="28">
        <v>43028</v>
      </c>
      <c r="BYX3" s="28">
        <v>43027</v>
      </c>
      <c r="BYY3" s="28">
        <v>43026</v>
      </c>
      <c r="BYZ3" s="28">
        <v>43025</v>
      </c>
      <c r="BZA3" s="28">
        <v>43022</v>
      </c>
      <c r="BZB3" s="28">
        <v>43021</v>
      </c>
      <c r="BZC3" s="28">
        <v>43020</v>
      </c>
      <c r="BZD3" s="28">
        <v>43019</v>
      </c>
      <c r="BZE3" s="28">
        <v>43018</v>
      </c>
      <c r="BZF3" s="28">
        <v>43015</v>
      </c>
      <c r="BZG3" s="28">
        <v>43014</v>
      </c>
      <c r="BZH3" s="28">
        <v>43013</v>
      </c>
      <c r="BZI3" s="28">
        <v>43012</v>
      </c>
      <c r="BZJ3" s="28">
        <v>43011</v>
      </c>
      <c r="BZK3" s="28">
        <v>43008</v>
      </c>
      <c r="BZL3" s="28">
        <v>43007</v>
      </c>
      <c r="BZM3" s="28">
        <v>43006</v>
      </c>
      <c r="BZN3" s="28">
        <v>43005</v>
      </c>
      <c r="BZO3" s="28">
        <v>43004</v>
      </c>
      <c r="BZP3" s="28">
        <v>43001</v>
      </c>
      <c r="BZQ3" s="28">
        <v>43000</v>
      </c>
      <c r="BZR3" s="28">
        <v>42999</v>
      </c>
      <c r="BZS3" s="28">
        <v>42998</v>
      </c>
      <c r="BZT3" s="28">
        <v>42997</v>
      </c>
      <c r="BZU3" s="28">
        <v>42994</v>
      </c>
      <c r="BZV3" s="28">
        <v>42993</v>
      </c>
      <c r="BZW3" s="28">
        <v>42992</v>
      </c>
      <c r="BZX3" s="28">
        <v>42991</v>
      </c>
      <c r="BZY3" s="28">
        <v>42990</v>
      </c>
      <c r="BZZ3" s="28">
        <v>42987</v>
      </c>
      <c r="CAA3" s="28">
        <v>42986</v>
      </c>
      <c r="CAB3" s="28">
        <v>42985</v>
      </c>
      <c r="CAC3" s="28">
        <v>42984</v>
      </c>
      <c r="CAD3" s="28">
        <v>42983</v>
      </c>
      <c r="CAE3" s="28">
        <v>42980</v>
      </c>
      <c r="CAF3" s="28">
        <v>42979</v>
      </c>
      <c r="CAG3" s="28">
        <v>42978</v>
      </c>
      <c r="CAH3" s="28">
        <v>42977</v>
      </c>
      <c r="CAI3" s="28">
        <v>42976</v>
      </c>
      <c r="CAJ3" s="28">
        <v>42973</v>
      </c>
      <c r="CAK3" s="28">
        <v>42972</v>
      </c>
      <c r="CAL3" s="28">
        <v>42971</v>
      </c>
      <c r="CAM3" s="28">
        <v>42970</v>
      </c>
      <c r="CAN3" s="28">
        <v>42969</v>
      </c>
      <c r="CAO3" s="28">
        <v>42966</v>
      </c>
      <c r="CAP3" s="28">
        <v>42965</v>
      </c>
      <c r="CAQ3" s="28">
        <v>42964</v>
      </c>
      <c r="CAR3" s="28">
        <v>42963</v>
      </c>
      <c r="CAS3" s="28">
        <v>42962</v>
      </c>
      <c r="CAT3" s="28">
        <v>42959</v>
      </c>
      <c r="CAU3" s="28">
        <v>42958</v>
      </c>
      <c r="CAV3" s="28">
        <v>42957</v>
      </c>
      <c r="CAW3" s="28">
        <v>42956</v>
      </c>
      <c r="CAX3" s="28">
        <v>42955</v>
      </c>
      <c r="CAY3" s="28">
        <v>42952</v>
      </c>
      <c r="CAZ3" s="28">
        <v>42951</v>
      </c>
      <c r="CBA3" s="28">
        <v>42950</v>
      </c>
      <c r="CBB3" s="28">
        <v>42949</v>
      </c>
      <c r="CBC3" s="28">
        <v>42948</v>
      </c>
      <c r="CBD3" s="28">
        <v>42945</v>
      </c>
      <c r="CBE3" s="28">
        <v>42944</v>
      </c>
      <c r="CBF3" s="28">
        <v>42943</v>
      </c>
      <c r="CBG3" s="28">
        <v>42942</v>
      </c>
      <c r="CBH3" s="28">
        <v>42941</v>
      </c>
      <c r="CBI3" s="28">
        <v>42938</v>
      </c>
      <c r="CBJ3" s="28">
        <v>42937</v>
      </c>
      <c r="CBK3" s="28">
        <v>42936</v>
      </c>
      <c r="CBL3" s="28">
        <v>42935</v>
      </c>
      <c r="CBM3" s="28">
        <v>42934</v>
      </c>
      <c r="CBN3" s="28">
        <v>42931</v>
      </c>
      <c r="CBO3" s="28">
        <v>42930</v>
      </c>
      <c r="CBP3" s="28">
        <v>42929</v>
      </c>
      <c r="CBQ3" s="28">
        <v>42928</v>
      </c>
      <c r="CBR3" s="28">
        <v>42927</v>
      </c>
      <c r="CBS3" s="28">
        <v>42924</v>
      </c>
      <c r="CBT3" s="28">
        <v>42923</v>
      </c>
      <c r="CBU3" s="28">
        <v>42922</v>
      </c>
      <c r="CBV3" s="28">
        <v>42921</v>
      </c>
      <c r="CBW3" s="28">
        <v>42920</v>
      </c>
      <c r="CBX3" s="28">
        <v>42917</v>
      </c>
      <c r="CBY3" s="28">
        <v>42916</v>
      </c>
      <c r="CBZ3" s="28">
        <v>42915</v>
      </c>
      <c r="CCA3" s="28">
        <v>42914</v>
      </c>
      <c r="CCB3" s="28">
        <v>42913</v>
      </c>
      <c r="CCC3" s="28">
        <v>42910</v>
      </c>
      <c r="CCD3" s="28">
        <v>42909</v>
      </c>
      <c r="CCE3" s="28">
        <v>42908</v>
      </c>
      <c r="CCF3" s="28">
        <v>42907</v>
      </c>
      <c r="CCG3" s="28">
        <v>42906</v>
      </c>
      <c r="CCH3" s="28">
        <v>42903</v>
      </c>
      <c r="CCI3" s="28">
        <v>42902</v>
      </c>
      <c r="CCJ3" s="28">
        <v>42901</v>
      </c>
      <c r="CCK3" s="28">
        <v>42900</v>
      </c>
      <c r="CCL3" s="28">
        <v>42896</v>
      </c>
      <c r="CCM3" s="28">
        <v>42895</v>
      </c>
      <c r="CCN3" s="28">
        <v>42894</v>
      </c>
      <c r="CCO3" s="28">
        <v>42893</v>
      </c>
      <c r="CCP3" s="28">
        <v>42892</v>
      </c>
      <c r="CCQ3" s="28">
        <v>42889</v>
      </c>
      <c r="CCR3" s="28">
        <v>42888</v>
      </c>
      <c r="CCS3" s="28">
        <v>42887</v>
      </c>
      <c r="CCT3" s="28">
        <v>42886</v>
      </c>
      <c r="CCU3" s="28">
        <v>42885</v>
      </c>
      <c r="CCV3" s="28">
        <v>42882</v>
      </c>
      <c r="CCW3" s="28">
        <v>42881</v>
      </c>
      <c r="CCX3" s="28">
        <v>42880</v>
      </c>
      <c r="CCY3" s="28">
        <v>42879</v>
      </c>
      <c r="CCZ3" s="28">
        <v>42878</v>
      </c>
      <c r="CDA3" s="28">
        <v>42875</v>
      </c>
      <c r="CDB3" s="28">
        <v>42874</v>
      </c>
      <c r="CDC3" s="28">
        <v>42873</v>
      </c>
      <c r="CDD3" s="28">
        <v>42872</v>
      </c>
      <c r="CDE3" s="28">
        <v>42871</v>
      </c>
      <c r="CDF3" s="28">
        <v>42868</v>
      </c>
      <c r="CDG3" s="28">
        <v>42867</v>
      </c>
      <c r="CDH3" s="28">
        <v>42866</v>
      </c>
      <c r="CDI3" s="28">
        <v>42861</v>
      </c>
      <c r="CDJ3" s="28">
        <v>42860</v>
      </c>
      <c r="CDK3" s="28">
        <v>42859</v>
      </c>
      <c r="CDL3" s="28">
        <v>42858</v>
      </c>
      <c r="CDM3" s="28">
        <v>42854</v>
      </c>
      <c r="CDN3" s="28">
        <v>42853</v>
      </c>
      <c r="CDO3" s="28">
        <v>42852</v>
      </c>
      <c r="CDP3" s="28">
        <v>42851</v>
      </c>
      <c r="CDQ3" s="28">
        <v>42850</v>
      </c>
      <c r="CDR3" s="28">
        <v>42847</v>
      </c>
      <c r="CDS3" s="28">
        <v>42846</v>
      </c>
      <c r="CDT3" s="28">
        <v>42845</v>
      </c>
      <c r="CDU3" s="28">
        <v>42844</v>
      </c>
      <c r="CDV3" s="28">
        <v>42843</v>
      </c>
      <c r="CDW3" s="28">
        <v>42840</v>
      </c>
      <c r="CDX3" s="28">
        <v>42839</v>
      </c>
      <c r="CDY3" s="28">
        <v>42838</v>
      </c>
      <c r="CDZ3" s="28">
        <v>42837</v>
      </c>
      <c r="CEA3" s="28">
        <v>42836</v>
      </c>
      <c r="CEB3" s="28">
        <v>42833</v>
      </c>
      <c r="CEC3" s="28">
        <v>42832</v>
      </c>
      <c r="CED3" s="28">
        <v>42831</v>
      </c>
      <c r="CEE3" s="28">
        <v>42830</v>
      </c>
      <c r="CEF3" s="28">
        <v>42829</v>
      </c>
      <c r="CEG3" s="28">
        <v>42826</v>
      </c>
      <c r="CEH3" s="28">
        <v>42825</v>
      </c>
      <c r="CEI3" s="28">
        <v>42824</v>
      </c>
      <c r="CEJ3" s="28">
        <v>42823</v>
      </c>
      <c r="CEK3" s="28">
        <v>42822</v>
      </c>
      <c r="CEL3" s="28">
        <v>42819</v>
      </c>
      <c r="CEM3" s="28">
        <v>42818</v>
      </c>
      <c r="CEN3" s="28">
        <v>42817</v>
      </c>
      <c r="CEO3" s="28">
        <v>42816</v>
      </c>
      <c r="CEP3" s="28">
        <v>42815</v>
      </c>
      <c r="CEQ3" s="28">
        <v>42812</v>
      </c>
      <c r="CER3" s="28">
        <v>42811</v>
      </c>
      <c r="CES3" s="28">
        <v>42810</v>
      </c>
      <c r="CET3" s="28">
        <v>42809</v>
      </c>
      <c r="CEU3" s="28">
        <v>42808</v>
      </c>
      <c r="CEV3" s="28">
        <v>42805</v>
      </c>
      <c r="CEW3" s="28">
        <v>42804</v>
      </c>
      <c r="CEX3" s="28">
        <v>42802</v>
      </c>
      <c r="CEY3" s="28">
        <v>42801</v>
      </c>
      <c r="CEZ3" s="28">
        <v>42798</v>
      </c>
      <c r="CFA3" s="28">
        <v>42797</v>
      </c>
      <c r="CFB3" s="28">
        <v>42796</v>
      </c>
      <c r="CFC3" s="28">
        <v>42795</v>
      </c>
      <c r="CFD3" s="28">
        <v>42794</v>
      </c>
      <c r="CFE3" s="28">
        <v>42789</v>
      </c>
      <c r="CFF3" s="28">
        <v>42788</v>
      </c>
      <c r="CFG3" s="28">
        <v>42787</v>
      </c>
      <c r="CFH3" s="28">
        <v>42784</v>
      </c>
      <c r="CFI3" s="28">
        <v>42783</v>
      </c>
      <c r="CFJ3" s="28">
        <v>42782</v>
      </c>
      <c r="CFK3" s="28">
        <v>42781</v>
      </c>
      <c r="CFL3" s="28">
        <v>42780</v>
      </c>
      <c r="CFM3" s="28">
        <v>42777</v>
      </c>
      <c r="CFN3" s="28">
        <v>42776</v>
      </c>
      <c r="CFO3" s="28">
        <v>42775</v>
      </c>
      <c r="CFP3" s="28">
        <v>42774</v>
      </c>
      <c r="CFQ3" s="28">
        <v>42773</v>
      </c>
      <c r="CFR3" s="28">
        <v>42770</v>
      </c>
      <c r="CFS3" s="28">
        <v>42769</v>
      </c>
      <c r="CFT3" s="28">
        <v>42768</v>
      </c>
      <c r="CFU3" s="28">
        <v>42767</v>
      </c>
      <c r="CFV3" s="28">
        <v>42766</v>
      </c>
      <c r="CFW3" s="28">
        <v>42763</v>
      </c>
      <c r="CFX3" s="28">
        <v>42762</v>
      </c>
      <c r="CFY3" s="28">
        <v>42761</v>
      </c>
      <c r="CFZ3" s="28">
        <v>42760</v>
      </c>
      <c r="CGA3" s="28">
        <v>42759</v>
      </c>
      <c r="CGB3" s="28">
        <v>42756</v>
      </c>
      <c r="CGC3" s="28">
        <v>42755</v>
      </c>
      <c r="CGD3" s="28">
        <v>42754</v>
      </c>
      <c r="CGE3" s="28">
        <v>42753</v>
      </c>
      <c r="CGF3" s="28">
        <v>42752</v>
      </c>
      <c r="CGG3" s="28">
        <v>42749</v>
      </c>
      <c r="CGH3" s="28">
        <v>42748</v>
      </c>
      <c r="CGI3" s="28">
        <v>42747</v>
      </c>
      <c r="CGJ3" s="28">
        <v>42746</v>
      </c>
      <c r="CGK3" s="28">
        <v>42745</v>
      </c>
      <c r="CGL3" s="28">
        <v>42735</v>
      </c>
      <c r="CGM3" s="28">
        <v>42734</v>
      </c>
      <c r="CGN3" s="28">
        <v>42733</v>
      </c>
      <c r="CGO3" s="28">
        <v>42732</v>
      </c>
      <c r="CGP3" s="28">
        <v>42731</v>
      </c>
      <c r="CGQ3" s="28">
        <v>42728</v>
      </c>
      <c r="CGR3" s="28">
        <v>42727</v>
      </c>
      <c r="CGS3" s="28">
        <v>42726</v>
      </c>
      <c r="CGT3" s="28">
        <v>42725</v>
      </c>
      <c r="CGU3" s="28">
        <v>42724</v>
      </c>
      <c r="CGV3" s="28">
        <v>42721</v>
      </c>
      <c r="CGW3" s="28">
        <v>42720</v>
      </c>
      <c r="CGX3" s="28">
        <v>42719</v>
      </c>
      <c r="CGY3" s="28">
        <v>42718</v>
      </c>
      <c r="CGZ3" s="28">
        <v>42717</v>
      </c>
      <c r="CHA3" s="28">
        <v>42714</v>
      </c>
      <c r="CHB3" s="28">
        <v>42713</v>
      </c>
      <c r="CHC3" s="28">
        <v>42712</v>
      </c>
      <c r="CHD3" s="28">
        <v>42711</v>
      </c>
      <c r="CHE3" s="28">
        <v>42710</v>
      </c>
      <c r="CHF3" s="28">
        <v>42707</v>
      </c>
      <c r="CHG3" s="28">
        <v>42706</v>
      </c>
      <c r="CHH3" s="28">
        <v>42705</v>
      </c>
      <c r="CHI3" s="28">
        <v>42704</v>
      </c>
      <c r="CHJ3" s="28">
        <v>42703</v>
      </c>
      <c r="CHK3" s="28">
        <v>42700</v>
      </c>
      <c r="CHL3" s="28">
        <v>42699</v>
      </c>
      <c r="CHM3" s="28">
        <v>42698</v>
      </c>
      <c r="CHN3" s="28">
        <v>42697</v>
      </c>
      <c r="CHO3" s="28">
        <v>42696</v>
      </c>
      <c r="CHP3" s="28">
        <v>42693</v>
      </c>
      <c r="CHQ3" s="28">
        <v>42692</v>
      </c>
      <c r="CHR3" s="28">
        <v>42691</v>
      </c>
      <c r="CHS3" s="28">
        <v>42690</v>
      </c>
      <c r="CHT3" s="28">
        <v>42689</v>
      </c>
      <c r="CHU3" s="28">
        <v>42686</v>
      </c>
      <c r="CHV3" s="28">
        <v>42685</v>
      </c>
      <c r="CHW3" s="28">
        <v>42684</v>
      </c>
      <c r="CHX3" s="28">
        <v>42683</v>
      </c>
      <c r="CHY3" s="28">
        <v>42682</v>
      </c>
      <c r="CHZ3" s="28">
        <v>42678</v>
      </c>
      <c r="CIA3" s="28">
        <v>42677</v>
      </c>
      <c r="CIB3" s="28">
        <v>42676</v>
      </c>
      <c r="CIC3" s="28">
        <v>42675</v>
      </c>
      <c r="CID3" s="28">
        <v>42672</v>
      </c>
      <c r="CIE3" s="28">
        <v>42671</v>
      </c>
      <c r="CIF3" s="28">
        <v>42670</v>
      </c>
      <c r="CIG3" s="28">
        <v>42669</v>
      </c>
      <c r="CIH3" s="28">
        <v>42668</v>
      </c>
      <c r="CII3" s="28">
        <v>42665</v>
      </c>
      <c r="CIJ3" s="28">
        <v>42664</v>
      </c>
      <c r="CIK3" s="28">
        <v>42663</v>
      </c>
      <c r="CIL3" s="28">
        <v>42662</v>
      </c>
      <c r="CIM3" s="28">
        <v>42661</v>
      </c>
      <c r="CIN3" s="28">
        <v>42658</v>
      </c>
      <c r="CIO3" s="28">
        <v>42657</v>
      </c>
      <c r="CIP3" s="28">
        <v>42656</v>
      </c>
      <c r="CIQ3" s="28">
        <v>42655</v>
      </c>
      <c r="CIR3" s="28">
        <v>42654</v>
      </c>
      <c r="CIS3" s="28">
        <v>42651</v>
      </c>
      <c r="CIT3" s="28">
        <v>42650</v>
      </c>
      <c r="CIU3" s="28">
        <v>42649</v>
      </c>
      <c r="CIV3" s="28">
        <v>42648</v>
      </c>
      <c r="CIW3" s="28">
        <v>42647</v>
      </c>
      <c r="CIX3" s="28">
        <v>42644</v>
      </c>
      <c r="CIY3" s="28">
        <v>42643</v>
      </c>
      <c r="CIZ3" s="28">
        <v>42642</v>
      </c>
      <c r="CJA3" s="28">
        <v>42641</v>
      </c>
      <c r="CJB3" s="28">
        <v>42640</v>
      </c>
      <c r="CJC3" s="28">
        <v>42637</v>
      </c>
      <c r="CJD3" s="28">
        <v>42636</v>
      </c>
      <c r="CJE3" s="28">
        <v>42635</v>
      </c>
      <c r="CJF3" s="28">
        <v>42634</v>
      </c>
      <c r="CJG3" s="28">
        <v>42633</v>
      </c>
      <c r="CJH3" s="28">
        <v>42630</v>
      </c>
      <c r="CJI3" s="28">
        <v>42629</v>
      </c>
      <c r="CJJ3" s="28">
        <v>42628</v>
      </c>
      <c r="CJK3" s="28">
        <v>42627</v>
      </c>
      <c r="CJL3" s="28">
        <v>42626</v>
      </c>
      <c r="CJM3" s="28">
        <v>42623</v>
      </c>
      <c r="CJN3" s="28">
        <v>42622</v>
      </c>
      <c r="CJO3" s="28">
        <v>42621</v>
      </c>
      <c r="CJP3" s="28">
        <v>42620</v>
      </c>
      <c r="CJQ3" s="28">
        <v>42619</v>
      </c>
      <c r="CJR3" s="28">
        <v>42616</v>
      </c>
      <c r="CJS3" s="28">
        <v>42615</v>
      </c>
      <c r="CJT3" s="28">
        <v>42614</v>
      </c>
      <c r="CJU3" s="28">
        <v>42613</v>
      </c>
      <c r="CJV3" s="28">
        <v>42612</v>
      </c>
      <c r="CJW3" s="28">
        <v>42609</v>
      </c>
      <c r="CJX3" s="28">
        <v>42608</v>
      </c>
      <c r="CJY3" s="28">
        <v>42607</v>
      </c>
      <c r="CJZ3" s="28">
        <v>42606</v>
      </c>
      <c r="CKA3" s="28">
        <v>42605</v>
      </c>
      <c r="CKB3" s="28">
        <v>42602</v>
      </c>
      <c r="CKC3" s="28">
        <v>42601</v>
      </c>
      <c r="CKD3" s="28">
        <v>42600</v>
      </c>
      <c r="CKE3" s="28">
        <v>42599</v>
      </c>
      <c r="CKF3" s="28">
        <v>42598</v>
      </c>
      <c r="CKG3" s="28">
        <v>42595</v>
      </c>
      <c r="CKH3" s="28">
        <v>42594</v>
      </c>
      <c r="CKI3" s="28">
        <v>42593</v>
      </c>
      <c r="CKJ3" s="28">
        <v>42592</v>
      </c>
      <c r="CKK3" s="28">
        <v>42591</v>
      </c>
      <c r="CKL3" s="28">
        <v>42588</v>
      </c>
      <c r="CKM3" s="28">
        <v>42587</v>
      </c>
      <c r="CKN3" s="28">
        <v>42586</v>
      </c>
      <c r="CKO3" s="28">
        <v>42585</v>
      </c>
      <c r="CKP3" s="28">
        <v>42584</v>
      </c>
      <c r="CKQ3" s="28">
        <v>42581</v>
      </c>
      <c r="CKR3" s="28">
        <v>42580</v>
      </c>
      <c r="CKS3" s="28">
        <v>42579</v>
      </c>
      <c r="CKT3" s="28">
        <v>42578</v>
      </c>
      <c r="CKU3" s="28">
        <v>42577</v>
      </c>
      <c r="CKV3" s="28">
        <v>42574</v>
      </c>
      <c r="CKW3" s="28">
        <v>42573</v>
      </c>
      <c r="CKX3" s="28">
        <v>42572</v>
      </c>
      <c r="CKY3" s="28">
        <v>42571</v>
      </c>
      <c r="CKZ3" s="28">
        <v>42570</v>
      </c>
      <c r="CLA3" s="28">
        <v>42567</v>
      </c>
      <c r="CLB3" s="28">
        <v>42566</v>
      </c>
      <c r="CLC3" s="28">
        <v>42565</v>
      </c>
      <c r="CLD3" s="28">
        <v>42564</v>
      </c>
      <c r="CLE3" s="28">
        <v>42563</v>
      </c>
      <c r="CLF3" s="28">
        <v>42560</v>
      </c>
      <c r="CLG3" s="28">
        <v>42559</v>
      </c>
      <c r="CLH3" s="28">
        <v>42558</v>
      </c>
      <c r="CLI3" s="28">
        <v>42557</v>
      </c>
      <c r="CLJ3" s="28">
        <v>42556</v>
      </c>
      <c r="CLK3" s="28">
        <v>42553</v>
      </c>
      <c r="CLL3" s="28">
        <v>42552</v>
      </c>
      <c r="CLM3" s="28">
        <v>42551</v>
      </c>
      <c r="CLN3" s="28">
        <v>42550</v>
      </c>
      <c r="CLO3" s="28">
        <v>42549</v>
      </c>
      <c r="CLP3" s="28">
        <v>42546</v>
      </c>
      <c r="CLQ3" s="28">
        <v>42545</v>
      </c>
      <c r="CLR3" s="28">
        <v>42544</v>
      </c>
      <c r="CLS3" s="28">
        <v>42543</v>
      </c>
      <c r="CLT3" s="28">
        <v>42542</v>
      </c>
      <c r="CLU3" s="28">
        <v>42539</v>
      </c>
      <c r="CLV3" s="28">
        <v>42538</v>
      </c>
      <c r="CLW3" s="28">
        <v>42537</v>
      </c>
      <c r="CLX3" s="28">
        <v>42536</v>
      </c>
      <c r="CLY3" s="28">
        <v>42532</v>
      </c>
      <c r="CLZ3" s="28">
        <v>42531</v>
      </c>
      <c r="CMA3" s="28">
        <v>42530</v>
      </c>
      <c r="CMB3" s="28">
        <v>42529</v>
      </c>
      <c r="CMC3" s="28">
        <v>42528</v>
      </c>
      <c r="CMD3" s="28">
        <v>42525</v>
      </c>
      <c r="CME3" s="28">
        <v>42524</v>
      </c>
      <c r="CMF3" s="28">
        <v>42523</v>
      </c>
      <c r="CMG3" s="28">
        <v>42522</v>
      </c>
      <c r="CMH3" s="28">
        <v>42521</v>
      </c>
      <c r="CMI3" s="28">
        <v>42518</v>
      </c>
      <c r="CMJ3" s="28">
        <v>42517</v>
      </c>
      <c r="CMK3" s="28">
        <v>42516</v>
      </c>
      <c r="CML3" s="28">
        <v>42515</v>
      </c>
      <c r="CMM3" s="28">
        <v>42514</v>
      </c>
      <c r="CMN3" s="28">
        <v>42511</v>
      </c>
      <c r="CMO3" s="28">
        <v>42510</v>
      </c>
      <c r="CMP3" s="28">
        <v>42509</v>
      </c>
      <c r="CMQ3" s="28">
        <v>42508</v>
      </c>
      <c r="CMR3" s="28">
        <v>42507</v>
      </c>
      <c r="CMS3" s="28">
        <v>42504</v>
      </c>
      <c r="CMT3" s="28">
        <v>42503</v>
      </c>
      <c r="CMU3" s="28">
        <v>42502</v>
      </c>
      <c r="CMV3" s="28">
        <v>42501</v>
      </c>
      <c r="CMW3" s="28">
        <v>42497</v>
      </c>
      <c r="CMX3" s="28">
        <v>42496</v>
      </c>
      <c r="CMY3" s="28">
        <v>42495</v>
      </c>
      <c r="CMZ3" s="28">
        <v>42490</v>
      </c>
      <c r="CNA3" s="28">
        <v>42489</v>
      </c>
      <c r="CNB3" s="28">
        <v>42488</v>
      </c>
      <c r="CNC3" s="28">
        <v>42487</v>
      </c>
      <c r="CND3" s="28">
        <v>42486</v>
      </c>
      <c r="CNE3" s="28">
        <v>42483</v>
      </c>
      <c r="CNF3" s="28">
        <v>42482</v>
      </c>
      <c r="CNG3" s="28">
        <v>42481</v>
      </c>
      <c r="CNH3" s="28">
        <v>42480</v>
      </c>
      <c r="CNI3" s="28">
        <v>42479</v>
      </c>
      <c r="CNJ3" s="28">
        <v>42476</v>
      </c>
      <c r="CNK3" s="28">
        <v>42475</v>
      </c>
      <c r="CNL3" s="28">
        <v>42474</v>
      </c>
      <c r="CNM3" s="28">
        <v>42473</v>
      </c>
      <c r="CNN3" s="28">
        <v>42472</v>
      </c>
      <c r="CNO3" s="28">
        <v>42469</v>
      </c>
      <c r="CNP3" s="28">
        <v>42468</v>
      </c>
      <c r="CNQ3" s="28">
        <v>42467</v>
      </c>
      <c r="CNR3" s="28">
        <v>42466</v>
      </c>
      <c r="CNS3" s="28">
        <v>42465</v>
      </c>
      <c r="CNT3" s="28">
        <v>42462</v>
      </c>
      <c r="CNU3" s="28">
        <v>42461</v>
      </c>
      <c r="CNV3" s="28">
        <v>42460</v>
      </c>
      <c r="CNW3" s="28">
        <v>42459</v>
      </c>
      <c r="CNX3" s="28">
        <v>42458</v>
      </c>
      <c r="CNY3" s="28">
        <v>42455</v>
      </c>
      <c r="CNZ3" s="28">
        <v>42454</v>
      </c>
      <c r="COA3" s="28">
        <v>42453</v>
      </c>
      <c r="COB3" s="28">
        <v>42452</v>
      </c>
      <c r="COC3" s="28">
        <v>42451</v>
      </c>
      <c r="COD3" s="28">
        <v>42448</v>
      </c>
      <c r="COE3" s="28">
        <v>42447</v>
      </c>
      <c r="COF3" s="28">
        <v>42446</v>
      </c>
      <c r="COG3" s="28">
        <v>42445</v>
      </c>
      <c r="COH3" s="28">
        <v>42444</v>
      </c>
      <c r="COI3" s="28">
        <v>42441</v>
      </c>
      <c r="COJ3" s="28">
        <v>42440</v>
      </c>
      <c r="COK3" s="28">
        <v>42439</v>
      </c>
      <c r="COL3" s="28">
        <v>42434</v>
      </c>
      <c r="COM3" s="28">
        <v>42433</v>
      </c>
      <c r="CON3" s="28">
        <v>42432</v>
      </c>
      <c r="COO3" s="28">
        <v>42431</v>
      </c>
      <c r="COP3" s="28">
        <v>42430</v>
      </c>
      <c r="COQ3" s="28">
        <v>42427</v>
      </c>
      <c r="COR3" s="28">
        <v>42426</v>
      </c>
      <c r="COS3" s="28">
        <v>42425</v>
      </c>
      <c r="COT3" s="28">
        <v>42421</v>
      </c>
      <c r="COU3" s="28">
        <v>42420</v>
      </c>
      <c r="COV3" s="28">
        <v>42419</v>
      </c>
      <c r="COW3" s="28">
        <v>42418</v>
      </c>
      <c r="COX3" s="28">
        <v>42417</v>
      </c>
      <c r="COY3" s="28">
        <v>42416</v>
      </c>
      <c r="COZ3" s="28">
        <v>42413</v>
      </c>
      <c r="CPA3" s="28">
        <v>42412</v>
      </c>
      <c r="CPB3" s="28">
        <v>42411</v>
      </c>
      <c r="CPC3" s="28">
        <v>42410</v>
      </c>
      <c r="CPD3" s="28">
        <v>42409</v>
      </c>
      <c r="CPE3" s="28">
        <v>42406</v>
      </c>
      <c r="CPF3" s="28">
        <v>42405</v>
      </c>
      <c r="CPG3" s="28">
        <v>42404</v>
      </c>
      <c r="CPH3" s="28">
        <v>42403</v>
      </c>
      <c r="CPI3" s="28">
        <v>42402</v>
      </c>
      <c r="CPJ3" s="28">
        <v>42399</v>
      </c>
      <c r="CPK3" s="28">
        <v>42398</v>
      </c>
      <c r="CPL3" s="28">
        <v>42397</v>
      </c>
      <c r="CPM3" s="28">
        <v>42396</v>
      </c>
      <c r="CPN3" s="28">
        <v>42395</v>
      </c>
      <c r="CPO3" s="28">
        <v>42392</v>
      </c>
      <c r="CPP3" s="28">
        <v>42391</v>
      </c>
      <c r="CPQ3" s="28">
        <v>42390</v>
      </c>
      <c r="CPR3" s="28">
        <v>42389</v>
      </c>
      <c r="CPS3" s="28">
        <v>42388</v>
      </c>
      <c r="CPT3" s="28">
        <v>42385</v>
      </c>
      <c r="CPU3" s="28">
        <v>42384</v>
      </c>
      <c r="CPV3" s="28">
        <v>42383</v>
      </c>
      <c r="CPW3" s="28">
        <v>42382</v>
      </c>
      <c r="CPX3" s="28">
        <v>42381</v>
      </c>
      <c r="CPY3" s="28">
        <v>42370</v>
      </c>
      <c r="CPZ3" s="28">
        <v>42369</v>
      </c>
      <c r="CQA3" s="28">
        <v>42368</v>
      </c>
      <c r="CQB3" s="28">
        <v>42367</v>
      </c>
      <c r="CQC3" s="28">
        <v>42364</v>
      </c>
      <c r="CQD3" s="28">
        <v>42363</v>
      </c>
      <c r="CQE3" s="28">
        <v>42362</v>
      </c>
      <c r="CQF3" s="28">
        <v>42361</v>
      </c>
      <c r="CQG3" s="28">
        <v>42360</v>
      </c>
      <c r="CQH3" s="28">
        <v>42357</v>
      </c>
      <c r="CQI3" s="28">
        <v>42356</v>
      </c>
      <c r="CQJ3" s="28">
        <v>42355</v>
      </c>
      <c r="CQK3" s="28">
        <v>42354</v>
      </c>
      <c r="CQL3" s="28">
        <v>42353</v>
      </c>
      <c r="CQM3" s="28">
        <v>42350</v>
      </c>
      <c r="CQN3" s="28">
        <v>42349</v>
      </c>
      <c r="CQO3" s="28">
        <v>42348</v>
      </c>
      <c r="CQP3" s="28">
        <v>42347</v>
      </c>
      <c r="CQQ3" s="28">
        <v>42346</v>
      </c>
      <c r="CQR3" s="28">
        <v>42343</v>
      </c>
      <c r="CQS3" s="28">
        <v>42342</v>
      </c>
      <c r="CQT3" s="28">
        <v>42341</v>
      </c>
      <c r="CQU3" s="28">
        <v>42340</v>
      </c>
      <c r="CQV3" s="28">
        <v>42339</v>
      </c>
      <c r="CQW3" s="28">
        <v>42336</v>
      </c>
      <c r="CQX3" s="28">
        <v>42335</v>
      </c>
      <c r="CQY3" s="28">
        <v>42334</v>
      </c>
      <c r="CQZ3" s="28">
        <v>42333</v>
      </c>
      <c r="CRA3" s="28">
        <v>42332</v>
      </c>
      <c r="CRB3" s="28">
        <v>42329</v>
      </c>
      <c r="CRC3" s="28">
        <v>42328</v>
      </c>
      <c r="CRD3" s="28">
        <v>42327</v>
      </c>
      <c r="CRE3" s="28">
        <v>42326</v>
      </c>
      <c r="CRF3" s="28">
        <v>42325</v>
      </c>
      <c r="CRG3" s="28">
        <v>42322</v>
      </c>
      <c r="CRH3" s="28">
        <v>42321</v>
      </c>
      <c r="CRI3" s="28">
        <v>42320</v>
      </c>
      <c r="CRJ3" s="28">
        <v>42319</v>
      </c>
      <c r="CRK3" s="28">
        <v>42318</v>
      </c>
      <c r="CRL3" s="28">
        <v>42315</v>
      </c>
      <c r="CRM3" s="28">
        <v>42314</v>
      </c>
      <c r="CRN3" s="28">
        <v>42312</v>
      </c>
      <c r="CRO3" s="28">
        <v>42311</v>
      </c>
      <c r="CRP3" s="28">
        <v>42308</v>
      </c>
      <c r="CRQ3" s="28">
        <v>42307</v>
      </c>
      <c r="CRR3" s="28">
        <v>42306</v>
      </c>
      <c r="CRS3" s="28">
        <v>42305</v>
      </c>
      <c r="CRT3" s="28">
        <v>42304</v>
      </c>
      <c r="CRU3" s="28">
        <v>42301</v>
      </c>
      <c r="CRV3" s="28">
        <v>42300</v>
      </c>
      <c r="CRW3" s="28">
        <v>42299</v>
      </c>
      <c r="CRX3" s="28">
        <v>42298</v>
      </c>
      <c r="CRY3" s="28">
        <v>42297</v>
      </c>
      <c r="CRZ3" s="28">
        <v>42294</v>
      </c>
      <c r="CSA3" s="28">
        <v>42293</v>
      </c>
      <c r="CSB3" s="28">
        <v>42292</v>
      </c>
      <c r="CSC3" s="28">
        <v>42291</v>
      </c>
      <c r="CSD3" s="28">
        <v>42290</v>
      </c>
      <c r="CSE3" s="28">
        <v>42287</v>
      </c>
      <c r="CSF3" s="28">
        <v>42286</v>
      </c>
      <c r="CSG3" s="28">
        <v>42285</v>
      </c>
      <c r="CSH3" s="28">
        <v>42284</v>
      </c>
      <c r="CSI3" s="28">
        <v>42283</v>
      </c>
      <c r="CSJ3" s="28">
        <v>42280</v>
      </c>
      <c r="CSK3" s="28">
        <v>42279</v>
      </c>
      <c r="CSL3" s="28">
        <v>42278</v>
      </c>
      <c r="CSM3" s="28">
        <v>42277</v>
      </c>
      <c r="CSN3" s="28">
        <v>42276</v>
      </c>
      <c r="CSO3" s="28">
        <v>42273</v>
      </c>
      <c r="CSP3" s="28">
        <v>42272</v>
      </c>
      <c r="CSQ3" s="28">
        <v>42271</v>
      </c>
      <c r="CSR3" s="28">
        <v>42270</v>
      </c>
      <c r="CSS3" s="28">
        <v>42269</v>
      </c>
      <c r="CST3" s="28">
        <v>42266</v>
      </c>
      <c r="CSU3" s="28">
        <v>42265</v>
      </c>
      <c r="CSV3" s="28">
        <v>42264</v>
      </c>
      <c r="CSW3" s="28">
        <v>42263</v>
      </c>
      <c r="CSX3" s="28">
        <v>42262</v>
      </c>
      <c r="CSY3" s="28">
        <v>42259</v>
      </c>
      <c r="CSZ3" s="28">
        <v>42258</v>
      </c>
      <c r="CTA3" s="28">
        <v>42257</v>
      </c>
      <c r="CTB3" s="28">
        <v>42256</v>
      </c>
      <c r="CTC3" s="28">
        <v>42255</v>
      </c>
      <c r="CTD3" s="28">
        <v>42252</v>
      </c>
      <c r="CTE3" s="28">
        <v>42251</v>
      </c>
      <c r="CTF3" s="28">
        <v>42250</v>
      </c>
      <c r="CTG3" s="28">
        <v>42249</v>
      </c>
      <c r="CTH3" s="28">
        <v>42248</v>
      </c>
      <c r="CTI3" s="28">
        <v>42245</v>
      </c>
      <c r="CTJ3" s="28">
        <v>42244</v>
      </c>
      <c r="CTK3" s="28">
        <v>42243</v>
      </c>
      <c r="CTL3" s="28">
        <v>42242</v>
      </c>
      <c r="CTM3" s="28">
        <v>42241</v>
      </c>
      <c r="CTN3" s="28">
        <v>42238</v>
      </c>
      <c r="CTO3" s="28">
        <v>42237</v>
      </c>
      <c r="CTP3" s="28">
        <v>42236</v>
      </c>
      <c r="CTQ3" s="28">
        <v>42235</v>
      </c>
      <c r="CTR3" s="28">
        <v>42234</v>
      </c>
      <c r="CTS3" s="28">
        <v>42231</v>
      </c>
      <c r="CTT3" s="28">
        <v>42230</v>
      </c>
      <c r="CTU3" s="28">
        <v>42229</v>
      </c>
      <c r="CTV3" s="28">
        <v>42228</v>
      </c>
      <c r="CTW3" s="28">
        <v>42227</v>
      </c>
      <c r="CTX3" s="28">
        <v>42224</v>
      </c>
      <c r="CTY3" s="28">
        <v>42223</v>
      </c>
      <c r="CTZ3" s="28">
        <v>42222</v>
      </c>
      <c r="CUA3" s="28">
        <v>42221</v>
      </c>
      <c r="CUB3" s="28">
        <v>42220</v>
      </c>
      <c r="CUC3" s="28">
        <v>42217</v>
      </c>
      <c r="CUD3" s="28">
        <v>42216</v>
      </c>
      <c r="CUE3" s="28">
        <v>42215</v>
      </c>
      <c r="CUF3" s="28">
        <v>42214</v>
      </c>
      <c r="CUG3" s="28">
        <v>42213</v>
      </c>
      <c r="CUH3" s="28">
        <v>42210</v>
      </c>
      <c r="CUI3" s="28">
        <v>42209</v>
      </c>
      <c r="CUJ3" s="28">
        <v>42208</v>
      </c>
      <c r="CUK3" s="28">
        <v>42207</v>
      </c>
      <c r="CUL3" s="28">
        <v>42206</v>
      </c>
      <c r="CUM3" s="28">
        <v>42203</v>
      </c>
      <c r="CUN3" s="28">
        <v>42202</v>
      </c>
      <c r="CUO3" s="28">
        <v>42201</v>
      </c>
      <c r="CUP3" s="28">
        <v>42200</v>
      </c>
      <c r="CUQ3" s="28">
        <v>42199</v>
      </c>
      <c r="CUR3" s="28">
        <v>42196</v>
      </c>
      <c r="CUS3" s="28">
        <v>42195</v>
      </c>
      <c r="CUT3" s="28">
        <v>42194</v>
      </c>
      <c r="CUU3" s="28">
        <v>42193</v>
      </c>
      <c r="CUV3" s="28">
        <v>42192</v>
      </c>
      <c r="CUW3" s="28">
        <v>42189</v>
      </c>
      <c r="CUX3" s="28">
        <v>42188</v>
      </c>
      <c r="CUY3" s="28">
        <v>42187</v>
      </c>
      <c r="CUZ3" s="28">
        <v>42186</v>
      </c>
      <c r="CVA3" s="28">
        <v>42185</v>
      </c>
      <c r="CVB3" s="28">
        <v>42182</v>
      </c>
      <c r="CVC3" s="28">
        <v>42181</v>
      </c>
      <c r="CVD3" s="28">
        <v>42180</v>
      </c>
      <c r="CVE3" s="28">
        <v>42179</v>
      </c>
      <c r="CVF3" s="28">
        <v>42178</v>
      </c>
      <c r="CVG3" s="28">
        <v>42175</v>
      </c>
      <c r="CVH3" s="28">
        <v>42174</v>
      </c>
      <c r="CVI3" s="28">
        <v>42173</v>
      </c>
      <c r="CVJ3" s="28">
        <v>42172</v>
      </c>
      <c r="CVK3" s="28">
        <v>42171</v>
      </c>
      <c r="CVL3" s="28">
        <v>42167</v>
      </c>
      <c r="CVM3" s="28">
        <v>42166</v>
      </c>
      <c r="CVN3" s="28">
        <v>42165</v>
      </c>
      <c r="CVO3" s="28">
        <v>42164</v>
      </c>
      <c r="CVP3" s="28">
        <v>42161</v>
      </c>
      <c r="CVQ3" s="28">
        <v>42160</v>
      </c>
      <c r="CVR3" s="28">
        <v>42159</v>
      </c>
      <c r="CVS3" s="28">
        <v>42158</v>
      </c>
      <c r="CVT3" s="28">
        <v>42157</v>
      </c>
      <c r="CVU3" s="28">
        <v>42154</v>
      </c>
      <c r="CVV3" s="28">
        <v>42153</v>
      </c>
      <c r="CVW3" s="28">
        <v>42152</v>
      </c>
      <c r="CVX3" s="28">
        <v>42151</v>
      </c>
      <c r="CVY3" s="28">
        <v>42150</v>
      </c>
      <c r="CVZ3" s="28">
        <v>42147</v>
      </c>
      <c r="CWA3" s="28">
        <v>42146</v>
      </c>
      <c r="CWB3" s="28">
        <v>42145</v>
      </c>
      <c r="CWC3" s="28">
        <v>42144</v>
      </c>
      <c r="CWD3" s="28">
        <v>42143</v>
      </c>
      <c r="CWE3" s="28">
        <v>42140</v>
      </c>
      <c r="CWF3" s="28">
        <v>42139</v>
      </c>
      <c r="CWG3" s="28">
        <v>42138</v>
      </c>
      <c r="CWH3" s="28">
        <v>42137</v>
      </c>
      <c r="CWI3" s="28">
        <v>42133</v>
      </c>
      <c r="CWJ3" s="28">
        <v>42132</v>
      </c>
      <c r="CWK3" s="28">
        <v>42131</v>
      </c>
      <c r="CWL3" s="28">
        <v>42130</v>
      </c>
      <c r="CWM3" s="28">
        <v>42125</v>
      </c>
      <c r="CWN3" s="28">
        <v>42124</v>
      </c>
      <c r="CWO3" s="28">
        <v>42123</v>
      </c>
      <c r="CWP3" s="28">
        <v>42122</v>
      </c>
      <c r="CWQ3" s="28">
        <v>42119</v>
      </c>
      <c r="CWR3" s="28">
        <v>42118</v>
      </c>
      <c r="CWS3" s="28">
        <v>42117</v>
      </c>
      <c r="CWT3" s="28">
        <v>42116</v>
      </c>
      <c r="CWU3" s="28">
        <v>42115</v>
      </c>
      <c r="CWV3" s="28">
        <v>42112</v>
      </c>
      <c r="CWW3" s="28">
        <v>42111</v>
      </c>
      <c r="CWX3" s="28">
        <v>42110</v>
      </c>
      <c r="CWY3" s="28">
        <v>42109</v>
      </c>
      <c r="CWZ3" s="28">
        <v>42108</v>
      </c>
      <c r="CXA3" s="28">
        <v>42105</v>
      </c>
      <c r="CXB3" s="28">
        <v>42104</v>
      </c>
      <c r="CXC3" s="28">
        <v>42103</v>
      </c>
      <c r="CXD3" s="28">
        <v>42102</v>
      </c>
      <c r="CXE3" s="28">
        <v>42101</v>
      </c>
      <c r="CXF3" s="28">
        <v>42098</v>
      </c>
      <c r="CXG3" s="28">
        <v>42097</v>
      </c>
      <c r="CXH3" s="28">
        <v>42096</v>
      </c>
      <c r="CXI3" s="28">
        <v>42095</v>
      </c>
      <c r="CXJ3" s="28">
        <v>42094</v>
      </c>
      <c r="CXK3" s="28">
        <v>42091</v>
      </c>
      <c r="CXL3" s="28">
        <v>42090</v>
      </c>
      <c r="CXM3" s="28">
        <v>42089</v>
      </c>
      <c r="CXN3" s="28">
        <v>42088</v>
      </c>
      <c r="CXO3" s="28">
        <v>42087</v>
      </c>
      <c r="CXP3" s="28">
        <v>42084</v>
      </c>
      <c r="CXQ3" s="28">
        <v>42083</v>
      </c>
      <c r="CXR3" s="28">
        <v>42082</v>
      </c>
      <c r="CXS3" s="28">
        <v>42081</v>
      </c>
      <c r="CXT3" s="28">
        <v>42080</v>
      </c>
      <c r="CXU3" s="28">
        <v>42077</v>
      </c>
      <c r="CXV3" s="28">
        <v>42076</v>
      </c>
      <c r="CXW3" s="28">
        <v>42075</v>
      </c>
      <c r="CXX3" s="28">
        <v>42074</v>
      </c>
      <c r="CXY3" s="28">
        <v>42070</v>
      </c>
      <c r="CXZ3" s="28">
        <v>42069</v>
      </c>
      <c r="CYA3" s="28">
        <v>42068</v>
      </c>
      <c r="CYB3" s="28">
        <v>42067</v>
      </c>
      <c r="CYC3" s="28">
        <v>42066</v>
      </c>
      <c r="CYD3" s="28">
        <v>42063</v>
      </c>
      <c r="CYE3" s="28">
        <v>42062</v>
      </c>
      <c r="CYF3" s="28">
        <v>42061</v>
      </c>
      <c r="CYG3" s="28">
        <v>42060</v>
      </c>
      <c r="CYH3" s="28">
        <v>42056</v>
      </c>
      <c r="CYI3" s="28">
        <v>42055</v>
      </c>
      <c r="CYJ3" s="28">
        <v>42054</v>
      </c>
      <c r="CYK3" s="28">
        <v>42053</v>
      </c>
      <c r="CYL3" s="28">
        <v>42052</v>
      </c>
      <c r="CYM3" s="28">
        <v>42049</v>
      </c>
      <c r="CYN3" s="28">
        <v>42048</v>
      </c>
      <c r="CYO3" s="28">
        <v>42047</v>
      </c>
      <c r="CYP3" s="28">
        <v>42046</v>
      </c>
      <c r="CYQ3" s="28">
        <v>42045</v>
      </c>
      <c r="CYR3" s="28">
        <v>42042</v>
      </c>
      <c r="CYS3" s="28">
        <v>42041</v>
      </c>
      <c r="CYT3" s="28">
        <v>42040</v>
      </c>
      <c r="CYU3" s="28">
        <v>42039</v>
      </c>
      <c r="CYV3" s="28">
        <v>42038</v>
      </c>
      <c r="CYW3" s="28">
        <v>42035</v>
      </c>
      <c r="CYX3" s="28">
        <v>42034</v>
      </c>
      <c r="CYY3" s="28">
        <v>42033</v>
      </c>
      <c r="CYZ3" s="28">
        <v>42032</v>
      </c>
      <c r="CZA3" s="28">
        <v>42031</v>
      </c>
      <c r="CZB3" s="28">
        <v>42028</v>
      </c>
      <c r="CZC3" s="28">
        <v>42027</v>
      </c>
      <c r="CZD3" s="28">
        <v>42026</v>
      </c>
      <c r="CZE3" s="28">
        <v>42025</v>
      </c>
      <c r="CZF3" s="28">
        <v>42024</v>
      </c>
      <c r="CZG3" s="28">
        <v>42021</v>
      </c>
      <c r="CZH3" s="28">
        <v>42020</v>
      </c>
      <c r="CZI3" s="28">
        <v>42019</v>
      </c>
      <c r="CZJ3" s="28">
        <v>42018</v>
      </c>
      <c r="CZK3" s="28">
        <v>42017</v>
      </c>
      <c r="CZL3" s="28">
        <v>42005</v>
      </c>
    </row>
    <row r="4" spans="1:2716">
      <c r="A4" t="s">
        <v>117</v>
      </c>
      <c r="B4" s="29">
        <v>78.226699999999994</v>
      </c>
      <c r="C4" s="29">
        <v>77.446600000000004</v>
      </c>
      <c r="D4" s="29">
        <v>77.692300000000003</v>
      </c>
      <c r="E4" s="29">
        <v>77.884399999999999</v>
      </c>
      <c r="F4" s="29">
        <v>78.436800000000005</v>
      </c>
      <c r="G4" s="29">
        <v>78.584999999999994</v>
      </c>
      <c r="H4" s="29">
        <v>79.314599999999999</v>
      </c>
      <c r="I4" s="29">
        <v>80.721999999999994</v>
      </c>
      <c r="J4" s="29">
        <v>80.030100000000004</v>
      </c>
      <c r="K4" s="29">
        <v>80.380700000000004</v>
      </c>
      <c r="L4" s="29">
        <v>79.430199999999999</v>
      </c>
      <c r="M4" s="29">
        <v>79.4495</v>
      </c>
      <c r="N4" s="29">
        <v>79.729600000000005</v>
      </c>
      <c r="O4" s="29">
        <v>79.339799999999997</v>
      </c>
      <c r="P4" s="29">
        <v>77.899799999999999</v>
      </c>
      <c r="Q4" s="29">
        <v>76.808400000000006</v>
      </c>
      <c r="R4" s="29">
        <v>77.273300000000006</v>
      </c>
      <c r="S4" s="29">
        <v>76.093699999999998</v>
      </c>
      <c r="T4" s="29">
        <v>76.970799999999997</v>
      </c>
      <c r="U4" s="29">
        <v>77.955600000000004</v>
      </c>
      <c r="V4" s="29">
        <v>77.463099999999997</v>
      </c>
      <c r="W4" s="29">
        <v>77.702699999999993</v>
      </c>
      <c r="X4" s="29">
        <v>78.228399999999993</v>
      </c>
      <c r="Y4" s="29">
        <v>78.250299999999996</v>
      </c>
      <c r="Z4" s="29">
        <v>78.594099999999997</v>
      </c>
      <c r="AA4" s="29">
        <v>78.961500000000001</v>
      </c>
      <c r="AB4" s="29">
        <v>78.920199999999994</v>
      </c>
      <c r="AC4" s="29">
        <v>79.024600000000007</v>
      </c>
      <c r="AD4" s="29">
        <v>80.732100000000003</v>
      </c>
      <c r="AE4" s="29">
        <v>80.944800000000001</v>
      </c>
      <c r="AF4" s="29">
        <v>81.054699999999997</v>
      </c>
      <c r="AG4" s="29">
        <v>81.130200000000002</v>
      </c>
      <c r="AH4" s="29">
        <v>81.127600000000001</v>
      </c>
      <c r="AI4" s="29">
        <v>80.600999999999999</v>
      </c>
      <c r="AJ4" s="29">
        <v>81.285200000000003</v>
      </c>
      <c r="AK4" s="29">
        <v>81.356200000000001</v>
      </c>
      <c r="AL4" s="29">
        <v>81.013199999999998</v>
      </c>
      <c r="AM4" s="29">
        <v>81.225700000000003</v>
      </c>
      <c r="AN4" s="29">
        <v>81.376499999999993</v>
      </c>
      <c r="AO4" s="29">
        <v>81.188500000000005</v>
      </c>
      <c r="AP4" s="29">
        <v>80.886099999999999</v>
      </c>
      <c r="AQ4" s="29">
        <v>80.9756</v>
      </c>
      <c r="AR4" s="29">
        <v>80.503699999999995</v>
      </c>
      <c r="AS4" s="29">
        <v>79.471500000000006</v>
      </c>
      <c r="AT4" s="29">
        <v>79.817400000000006</v>
      </c>
      <c r="AU4" s="29">
        <v>78.984800000000007</v>
      </c>
      <c r="AV4" s="29">
        <v>80.971299999999999</v>
      </c>
      <c r="AW4" s="29">
        <v>81.269000000000005</v>
      </c>
      <c r="AX4" s="29">
        <v>81.654899999999998</v>
      </c>
      <c r="AY4" s="29">
        <v>81.347499999999997</v>
      </c>
      <c r="AZ4" s="29">
        <v>81.358199999999997</v>
      </c>
      <c r="BA4" s="29">
        <v>80.983400000000003</v>
      </c>
      <c r="BB4" s="29">
        <v>79.0839</v>
      </c>
      <c r="BC4" s="29">
        <v>78.838999999999999</v>
      </c>
      <c r="BD4" s="29">
        <v>79.9589</v>
      </c>
      <c r="BE4" s="29">
        <v>80.854799999999997</v>
      </c>
      <c r="BF4" s="29">
        <v>81.189800000000005</v>
      </c>
      <c r="BG4" s="29">
        <v>81.410300000000007</v>
      </c>
      <c r="BH4" s="29">
        <v>81.547799999999995</v>
      </c>
      <c r="BI4" s="29">
        <v>81.934899999999999</v>
      </c>
      <c r="BJ4" s="29">
        <v>83</v>
      </c>
      <c r="BK4" s="29">
        <v>81.896900000000002</v>
      </c>
      <c r="BL4" s="29">
        <v>81.008499999999998</v>
      </c>
      <c r="BM4" s="29">
        <v>81.496700000000004</v>
      </c>
      <c r="BN4" s="29">
        <v>82.608400000000003</v>
      </c>
      <c r="BO4" s="29">
        <v>82.867599999999996</v>
      </c>
      <c r="BP4" s="29">
        <v>83.611800000000002</v>
      </c>
      <c r="BQ4" s="29">
        <v>83.606899999999996</v>
      </c>
      <c r="BR4" s="29">
        <v>83.991399999999999</v>
      </c>
      <c r="BS4" s="29">
        <v>83.3506</v>
      </c>
      <c r="BT4" s="29">
        <v>84.018600000000006</v>
      </c>
      <c r="BU4" s="29">
        <v>83.590400000000002</v>
      </c>
      <c r="BV4" s="29">
        <v>83.172499999999999</v>
      </c>
      <c r="BW4" s="29">
        <v>82.998699999999999</v>
      </c>
      <c r="BX4" s="29">
        <v>82.835899999999995</v>
      </c>
      <c r="BY4" s="29">
        <v>83.071799999999996</v>
      </c>
      <c r="BZ4" s="29">
        <v>84.379800000000003</v>
      </c>
      <c r="CA4" s="29">
        <v>85.664699999999996</v>
      </c>
      <c r="CB4" s="29">
        <v>84.921099999999996</v>
      </c>
      <c r="CC4" s="29">
        <v>83.242500000000007</v>
      </c>
      <c r="CD4" s="29">
        <v>82.339699999999993</v>
      </c>
      <c r="CE4" s="29">
        <v>81.555599999999998</v>
      </c>
      <c r="CF4" s="29">
        <v>81.297700000000006</v>
      </c>
      <c r="CG4" s="29">
        <v>80.848799999999997</v>
      </c>
      <c r="CH4" s="29">
        <v>80.594700000000003</v>
      </c>
      <c r="CI4" s="29">
        <v>80.426100000000005</v>
      </c>
      <c r="CJ4" s="29">
        <v>80.331599999999995</v>
      </c>
      <c r="CK4" s="29">
        <v>80.291799999999995</v>
      </c>
      <c r="CL4" s="29">
        <v>80.442099999999996</v>
      </c>
      <c r="CM4" s="29">
        <v>80.526799999999994</v>
      </c>
      <c r="CN4" s="29">
        <v>80.684200000000004</v>
      </c>
      <c r="CO4" s="29">
        <v>80.749799999999993</v>
      </c>
      <c r="CP4" s="29">
        <v>80.254800000000003</v>
      </c>
      <c r="CQ4" s="29">
        <v>80.104500000000002</v>
      </c>
      <c r="CR4" s="29">
        <v>80.346599999999995</v>
      </c>
      <c r="CS4" s="29">
        <v>80.425600000000003</v>
      </c>
      <c r="CT4" s="29">
        <v>80.022400000000005</v>
      </c>
      <c r="CU4" s="29">
        <v>79.765299999999996</v>
      </c>
      <c r="CV4" s="29">
        <v>79.603200000000001</v>
      </c>
      <c r="CW4" s="29">
        <v>79.871399999999994</v>
      </c>
      <c r="CX4" s="29">
        <v>79.667699999999996</v>
      </c>
      <c r="CY4" s="29">
        <v>79.779600000000002</v>
      </c>
      <c r="CZ4" s="29">
        <v>79.384699999999995</v>
      </c>
      <c r="DA4" s="29">
        <v>80.191400000000002</v>
      </c>
      <c r="DB4" s="29">
        <v>80.049000000000007</v>
      </c>
      <c r="DC4" s="29">
        <v>79.673599999999993</v>
      </c>
      <c r="DD4" s="29">
        <v>80.328900000000004</v>
      </c>
      <c r="DE4" s="29">
        <v>80.316299999999998</v>
      </c>
      <c r="DF4" s="29">
        <v>81.834699999999998</v>
      </c>
      <c r="DG4" s="29">
        <v>82.219700000000003</v>
      </c>
      <c r="DH4" s="29">
        <v>79.578199999999995</v>
      </c>
      <c r="DI4" s="29">
        <v>79.552700000000002</v>
      </c>
      <c r="DJ4" s="29">
        <v>78.862300000000005</v>
      </c>
      <c r="DK4" s="29">
        <v>78.447699999999998</v>
      </c>
      <c r="DL4" s="29">
        <v>78.088200000000001</v>
      </c>
      <c r="DM4" s="29">
        <v>78.327399999999997</v>
      </c>
      <c r="DN4" s="29">
        <v>78.312899999999999</v>
      </c>
      <c r="DO4" s="29">
        <v>78.185599999999994</v>
      </c>
      <c r="DP4" s="29">
        <v>77.958500000000001</v>
      </c>
      <c r="DQ4" s="29">
        <v>77.958399999999997</v>
      </c>
      <c r="DR4" s="29">
        <v>78.372200000000007</v>
      </c>
      <c r="DS4" s="29">
        <v>77.885499999999993</v>
      </c>
      <c r="DT4" s="29">
        <v>77.902900000000002</v>
      </c>
      <c r="DU4" s="29">
        <v>78.172700000000006</v>
      </c>
      <c r="DV4" s="29">
        <v>78.168199999999999</v>
      </c>
      <c r="DW4" s="29">
        <v>78.718500000000006</v>
      </c>
      <c r="DX4" s="29">
        <v>78.835400000000007</v>
      </c>
      <c r="DY4" s="29">
        <v>78.783100000000005</v>
      </c>
      <c r="DZ4" s="29">
        <v>78.653999999999996</v>
      </c>
      <c r="EA4" s="29">
        <v>78.418099999999995</v>
      </c>
      <c r="EB4" s="29">
        <v>78.528400000000005</v>
      </c>
      <c r="EC4" s="29">
        <v>78.468500000000006</v>
      </c>
      <c r="ED4" s="29">
        <v>78.211699999999993</v>
      </c>
      <c r="EE4" s="29">
        <v>78.195899999999995</v>
      </c>
      <c r="EF4" s="29">
        <v>78.389200000000002</v>
      </c>
      <c r="EG4" s="29">
        <v>78.292299999999997</v>
      </c>
      <c r="EH4" s="29">
        <v>78.501599999999996</v>
      </c>
      <c r="EI4" s="29">
        <v>78.483900000000006</v>
      </c>
      <c r="EJ4" s="29">
        <v>78.717399999999998</v>
      </c>
      <c r="EK4" s="29">
        <v>78.713499999999996</v>
      </c>
      <c r="EL4" s="29">
        <v>78.506699999999995</v>
      </c>
      <c r="EM4" s="29">
        <v>79.002799999999993</v>
      </c>
      <c r="EN4" s="29">
        <v>78.600300000000004</v>
      </c>
      <c r="EO4" s="29">
        <v>79.154300000000006</v>
      </c>
      <c r="EP4" s="29">
        <v>79.170299999999997</v>
      </c>
      <c r="EQ4" s="29">
        <v>79.127200000000002</v>
      </c>
      <c r="ER4" s="29">
        <v>78.502499999999998</v>
      </c>
      <c r="ES4" s="29">
        <v>78.854900000000001</v>
      </c>
      <c r="ET4" s="29">
        <v>79.128500000000003</v>
      </c>
      <c r="EU4" s="29">
        <v>78.617099999999994</v>
      </c>
      <c r="EV4" s="29">
        <v>78.497</v>
      </c>
      <c r="EW4" s="29">
        <v>79.603700000000003</v>
      </c>
      <c r="EX4" s="29">
        <v>79.617599999999996</v>
      </c>
      <c r="EY4" s="29">
        <v>79.658799999999999</v>
      </c>
      <c r="EZ4" s="29">
        <v>79.710800000000006</v>
      </c>
      <c r="FA4" s="29">
        <v>79.735699999999994</v>
      </c>
      <c r="FB4" s="29">
        <v>79.753</v>
      </c>
      <c r="FC4" s="29">
        <v>80.307500000000005</v>
      </c>
      <c r="FD4" s="29">
        <v>80.413700000000006</v>
      </c>
      <c r="FE4" s="29">
        <v>80.768900000000002</v>
      </c>
      <c r="FF4" s="29">
        <v>80.313400000000001</v>
      </c>
      <c r="FG4" s="29">
        <v>80.223699999999994</v>
      </c>
      <c r="FH4" s="29">
        <v>80.55</v>
      </c>
      <c r="FI4" s="29">
        <v>80.888300000000001</v>
      </c>
      <c r="FJ4" s="29">
        <v>80.861199999999997</v>
      </c>
      <c r="FK4" s="29">
        <v>80.964399999999998</v>
      </c>
      <c r="FL4" s="29">
        <v>81.913700000000006</v>
      </c>
      <c r="FM4" s="29">
        <v>81.493300000000005</v>
      </c>
      <c r="FN4" s="29">
        <v>81.561599999999999</v>
      </c>
      <c r="FO4" s="29">
        <v>82.546700000000001</v>
      </c>
      <c r="FP4" s="29">
        <v>82.654899999999998</v>
      </c>
      <c r="FQ4" s="29">
        <v>82.855900000000005</v>
      </c>
      <c r="FR4" s="29">
        <v>82.363699999999994</v>
      </c>
      <c r="FS4" s="29">
        <v>81.462000000000003</v>
      </c>
      <c r="FT4" s="29">
        <v>80.759699999999995</v>
      </c>
      <c r="FU4" s="29">
        <v>81.137100000000004</v>
      </c>
      <c r="FV4" s="29">
        <v>82.02</v>
      </c>
      <c r="FW4" s="29">
        <v>82.589200000000005</v>
      </c>
      <c r="FX4" s="29">
        <v>82.300299999999993</v>
      </c>
      <c r="FY4" s="29">
        <v>82.767099999999999</v>
      </c>
      <c r="FZ4" s="29">
        <v>84.004000000000005</v>
      </c>
      <c r="GA4" s="29">
        <v>85.015900000000002</v>
      </c>
      <c r="GB4" s="29">
        <v>86.092299999999994</v>
      </c>
      <c r="GC4" s="29">
        <v>85.464100000000002</v>
      </c>
      <c r="GD4" s="29">
        <v>86.189099999999996</v>
      </c>
      <c r="GE4" s="29">
        <v>84.2774</v>
      </c>
      <c r="GF4" s="29">
        <v>84.382999999999996</v>
      </c>
      <c r="GG4" s="29">
        <v>84.552199999999999</v>
      </c>
      <c r="GH4" s="29">
        <v>84.870699999999999</v>
      </c>
      <c r="GI4" s="29">
        <v>85.496300000000005</v>
      </c>
      <c r="GJ4" s="29">
        <v>83.681299999999993</v>
      </c>
      <c r="GK4" s="29">
        <v>83.834699999999998</v>
      </c>
      <c r="GL4" s="29">
        <v>84.206500000000005</v>
      </c>
      <c r="GM4" s="29">
        <v>84.192999999999998</v>
      </c>
      <c r="GN4" s="29">
        <v>83.873699999999999</v>
      </c>
      <c r="GO4" s="29">
        <v>84.64</v>
      </c>
      <c r="GP4" s="29">
        <v>84.395499999999998</v>
      </c>
      <c r="GQ4" s="29">
        <v>82.848699999999994</v>
      </c>
      <c r="GR4" s="29">
        <v>81.501800000000003</v>
      </c>
      <c r="GS4" s="29">
        <v>84.305899999999994</v>
      </c>
      <c r="GT4" s="29">
        <v>85.569400000000002</v>
      </c>
      <c r="GU4" s="29">
        <v>86.619</v>
      </c>
      <c r="GV4" s="29">
        <v>86.620400000000004</v>
      </c>
      <c r="GW4" s="29">
        <v>86.566900000000004</v>
      </c>
      <c r="GX4" s="29">
        <v>88.387200000000007</v>
      </c>
      <c r="GY4" s="29">
        <v>89.136200000000002</v>
      </c>
      <c r="GZ4" s="29">
        <v>89.572400000000002</v>
      </c>
      <c r="HA4" s="29">
        <v>89.787800000000004</v>
      </c>
      <c r="HB4" s="29">
        <v>89.244799999999998</v>
      </c>
      <c r="HC4" s="29">
        <v>89.249700000000004</v>
      </c>
      <c r="HD4" s="29">
        <v>88.256799999999998</v>
      </c>
      <c r="HE4" s="29">
        <v>87.696700000000007</v>
      </c>
      <c r="HF4" s="29">
        <v>85.927899999999994</v>
      </c>
      <c r="HG4" s="29">
        <v>86.631799999999998</v>
      </c>
      <c r="HH4" s="29">
        <v>88.206500000000005</v>
      </c>
      <c r="HI4" s="29">
        <v>88.167599999999993</v>
      </c>
      <c r="HJ4" s="29">
        <v>88.510300000000001</v>
      </c>
      <c r="HK4" s="29">
        <v>90.4268</v>
      </c>
      <c r="HL4" s="29">
        <v>91.339799999999997</v>
      </c>
      <c r="HM4" s="29">
        <v>91.434700000000007</v>
      </c>
      <c r="HN4" s="29">
        <v>90.309899999999999</v>
      </c>
      <c r="HO4" s="29">
        <v>91.031300000000002</v>
      </c>
      <c r="HP4" s="29">
        <v>94.048500000000004</v>
      </c>
      <c r="HQ4" s="29">
        <v>95.802400000000006</v>
      </c>
      <c r="HR4" s="29">
        <v>96.7821</v>
      </c>
      <c r="HS4" s="29">
        <v>97.276200000000003</v>
      </c>
      <c r="HT4" s="29">
        <v>96.910399999999996</v>
      </c>
      <c r="HU4" s="29">
        <v>98.055599999999998</v>
      </c>
      <c r="HV4" s="29">
        <v>98.533600000000007</v>
      </c>
      <c r="HW4" s="29">
        <v>99.943299999999994</v>
      </c>
      <c r="HX4" s="29">
        <v>97.810699999999997</v>
      </c>
      <c r="HY4" s="29">
        <v>98.006200000000007</v>
      </c>
      <c r="HZ4" s="29">
        <v>98.012600000000006</v>
      </c>
      <c r="IA4" s="29">
        <v>97.965800000000002</v>
      </c>
      <c r="IB4" s="29">
        <v>97.132000000000005</v>
      </c>
      <c r="IC4" s="29">
        <v>98.263599999999997</v>
      </c>
      <c r="ID4" s="29">
        <v>99.097800000000007</v>
      </c>
      <c r="IE4" s="29">
        <v>98.2804</v>
      </c>
      <c r="IF4" s="29">
        <v>99.928200000000004</v>
      </c>
      <c r="IG4" s="29">
        <v>101.9579</v>
      </c>
      <c r="IH4" s="29">
        <v>102.41370000000001</v>
      </c>
      <c r="II4" s="29">
        <v>102.3762</v>
      </c>
      <c r="IJ4" s="29">
        <v>102.8078</v>
      </c>
      <c r="IK4" s="29">
        <v>103.438</v>
      </c>
      <c r="IL4" s="29">
        <v>102.7081</v>
      </c>
      <c r="IM4" s="29">
        <v>101.91459999999999</v>
      </c>
      <c r="IN4" s="29">
        <v>102.2911</v>
      </c>
      <c r="IO4" s="29">
        <v>101.6797</v>
      </c>
      <c r="IP4" s="29">
        <v>100.52809999999999</v>
      </c>
      <c r="IQ4" s="29">
        <v>99.229500000000002</v>
      </c>
      <c r="IR4" s="29">
        <v>99.612499999999997</v>
      </c>
      <c r="IS4" s="29">
        <v>99.872900000000001</v>
      </c>
      <c r="IT4" s="29">
        <v>101.6143</v>
      </c>
      <c r="IU4" s="29">
        <v>102.3438</v>
      </c>
      <c r="IV4" s="29">
        <v>103.4207</v>
      </c>
      <c r="IW4" s="29">
        <v>102.77630000000001</v>
      </c>
      <c r="IX4" s="29">
        <v>102.9979</v>
      </c>
      <c r="IY4" s="29">
        <v>102.91249999999999</v>
      </c>
      <c r="IZ4" s="29">
        <v>103.43049999999999</v>
      </c>
      <c r="JA4" s="29">
        <v>103.95</v>
      </c>
      <c r="JB4" s="29">
        <v>103.27070000000001</v>
      </c>
      <c r="JC4" s="29">
        <v>100.0324</v>
      </c>
      <c r="JD4" s="29">
        <v>99.375900000000001</v>
      </c>
      <c r="JE4" s="29">
        <v>99.421499999999995</v>
      </c>
      <c r="JF4" s="29">
        <v>103.3837</v>
      </c>
      <c r="JG4" s="29">
        <v>104.23609999999999</v>
      </c>
      <c r="JH4" s="29">
        <v>106.1878</v>
      </c>
      <c r="JI4" s="29">
        <v>107.1758</v>
      </c>
      <c r="JJ4" s="29">
        <v>107.7409</v>
      </c>
      <c r="JK4" s="29">
        <v>109.5782</v>
      </c>
      <c r="JL4" s="29">
        <v>108.0104</v>
      </c>
      <c r="JM4" s="29">
        <v>105.0604</v>
      </c>
      <c r="JN4" s="29">
        <v>103.7908</v>
      </c>
      <c r="JO4" s="29">
        <v>102.5761</v>
      </c>
      <c r="JP4" s="29">
        <v>100.6798</v>
      </c>
      <c r="JQ4" s="29">
        <v>100.2192</v>
      </c>
      <c r="JR4" s="29">
        <v>100.0348</v>
      </c>
      <c r="JS4" s="29">
        <v>99.942999999999998</v>
      </c>
      <c r="JT4" s="29">
        <v>99.997100000000003</v>
      </c>
      <c r="JU4" s="29">
        <v>99.018000000000001</v>
      </c>
      <c r="JV4" s="29">
        <v>98.365700000000004</v>
      </c>
      <c r="JW4" s="29">
        <v>97.9559</v>
      </c>
      <c r="JX4" s="29">
        <v>97.954999999999998</v>
      </c>
      <c r="JY4" s="29">
        <v>97.833500000000001</v>
      </c>
      <c r="JZ4" s="29">
        <v>98.072599999999994</v>
      </c>
      <c r="KA4" s="29">
        <v>98.223600000000005</v>
      </c>
      <c r="KB4" s="29">
        <v>98.056200000000004</v>
      </c>
      <c r="KC4" s="29">
        <v>97.549899999999994</v>
      </c>
      <c r="KD4" s="29">
        <v>97.440200000000004</v>
      </c>
      <c r="KE4" s="29">
        <v>97.022599999999997</v>
      </c>
      <c r="KF4" s="29">
        <v>97.052999999999997</v>
      </c>
      <c r="KG4" s="29">
        <v>97.326099999999997</v>
      </c>
      <c r="KH4" s="29">
        <v>97.23</v>
      </c>
      <c r="KI4" s="29">
        <v>96.665700000000001</v>
      </c>
      <c r="KJ4" s="29">
        <v>96.740200000000002</v>
      </c>
      <c r="KK4" s="29">
        <v>96.637900000000002</v>
      </c>
      <c r="KL4" s="29">
        <v>96.591800000000006</v>
      </c>
      <c r="KM4" s="29">
        <v>96.092399999999998</v>
      </c>
      <c r="KN4" s="29">
        <v>96.417199999999994</v>
      </c>
      <c r="KO4" s="29">
        <v>97.149000000000001</v>
      </c>
      <c r="KP4" s="29">
        <v>97.256799999999998</v>
      </c>
      <c r="KQ4" s="29">
        <v>97.012100000000004</v>
      </c>
      <c r="KR4" s="29">
        <v>96.102099999999993</v>
      </c>
      <c r="KS4" s="29">
        <v>96.068600000000004</v>
      </c>
      <c r="KT4" s="29">
        <v>97.239400000000003</v>
      </c>
      <c r="KU4" s="29">
        <v>96.948300000000003</v>
      </c>
      <c r="KV4" s="29">
        <v>96.107900000000001</v>
      </c>
      <c r="KW4" s="29">
        <v>96.064899999999994</v>
      </c>
      <c r="KX4" s="29">
        <v>94.87</v>
      </c>
      <c r="KY4" s="29">
        <v>95.026200000000003</v>
      </c>
      <c r="KZ4" s="29">
        <v>94.505399999999995</v>
      </c>
      <c r="LA4" s="29">
        <v>93.358099999999993</v>
      </c>
      <c r="LB4" s="29">
        <v>93.222099999999998</v>
      </c>
      <c r="LC4" s="29">
        <v>92.712599999999995</v>
      </c>
      <c r="LD4" s="29">
        <v>92.407399999999996</v>
      </c>
      <c r="LE4" s="29">
        <v>92.388000000000005</v>
      </c>
      <c r="LF4" s="29">
        <v>92.862200000000001</v>
      </c>
      <c r="LG4" s="29">
        <v>92.92</v>
      </c>
      <c r="LH4" s="29">
        <v>92.584800000000001</v>
      </c>
      <c r="LI4" s="29">
        <v>92.696200000000005</v>
      </c>
      <c r="LJ4" s="29">
        <v>91.671199999999999</v>
      </c>
      <c r="LK4" s="29">
        <v>91.429199999999994</v>
      </c>
      <c r="LL4" s="29">
        <v>91.142300000000006</v>
      </c>
      <c r="LM4" s="29">
        <v>90.9345</v>
      </c>
      <c r="LN4" s="29">
        <v>91.1096</v>
      </c>
      <c r="LO4" s="29">
        <v>91.265299999999996</v>
      </c>
      <c r="LP4" s="29">
        <v>91.112700000000004</v>
      </c>
      <c r="LQ4" s="29">
        <v>90.385300000000001</v>
      </c>
      <c r="LR4" s="29">
        <v>89.822500000000005</v>
      </c>
      <c r="LS4" s="29">
        <v>89.704400000000007</v>
      </c>
      <c r="LT4" s="29">
        <v>88.928799999999995</v>
      </c>
      <c r="LU4" s="29">
        <v>88.611800000000002</v>
      </c>
      <c r="LV4" s="29">
        <v>90.001300000000001</v>
      </c>
      <c r="LW4" s="29">
        <v>91.186800000000005</v>
      </c>
      <c r="LX4" s="29">
        <v>91.454800000000006</v>
      </c>
      <c r="LY4" s="29">
        <v>91.444900000000004</v>
      </c>
      <c r="LZ4" s="29">
        <v>91.480699999999999</v>
      </c>
      <c r="MA4" s="29">
        <v>91.774500000000003</v>
      </c>
      <c r="MB4" s="29">
        <v>91.601200000000006</v>
      </c>
      <c r="MC4" s="29">
        <v>91.2881</v>
      </c>
      <c r="MD4" s="29">
        <v>91.686199999999999</v>
      </c>
      <c r="ME4" s="29">
        <v>90.694400000000002</v>
      </c>
      <c r="MF4" s="29">
        <v>89.5428</v>
      </c>
      <c r="MG4" s="29">
        <v>88.906199999999998</v>
      </c>
      <c r="MH4" s="29">
        <v>88.796000000000006</v>
      </c>
      <c r="MI4" s="29">
        <v>90.005499999999998</v>
      </c>
      <c r="MJ4" s="29">
        <v>92.659199999999998</v>
      </c>
      <c r="MK4" s="29">
        <v>89.947500000000005</v>
      </c>
      <c r="ML4" s="29">
        <v>87.992000000000004</v>
      </c>
      <c r="MM4" s="29">
        <v>86.562100000000001</v>
      </c>
      <c r="MN4" s="29">
        <v>85.954300000000003</v>
      </c>
      <c r="MO4" s="29">
        <v>85.164599999999993</v>
      </c>
      <c r="MP4" s="29">
        <v>84.947100000000006</v>
      </c>
      <c r="MQ4" s="29">
        <v>85.702399999999997</v>
      </c>
      <c r="MR4" s="29">
        <v>85.783299999999997</v>
      </c>
      <c r="MS4" s="29">
        <v>86.109099999999998</v>
      </c>
      <c r="MT4" s="29">
        <v>86.33</v>
      </c>
      <c r="MU4" s="29">
        <v>86.555400000000006</v>
      </c>
      <c r="MV4" s="29">
        <v>85.564999999999998</v>
      </c>
      <c r="MW4" s="29">
        <v>85.41</v>
      </c>
      <c r="MX4" s="29">
        <v>86.550200000000004</v>
      </c>
      <c r="MY4" s="29">
        <v>87.299000000000007</v>
      </c>
      <c r="MZ4" s="29">
        <v>87.780500000000004</v>
      </c>
      <c r="NA4" s="29">
        <v>88.020600000000002</v>
      </c>
      <c r="NB4" s="29">
        <v>87.875399999999999</v>
      </c>
      <c r="NC4" s="29">
        <v>88.087199999999996</v>
      </c>
      <c r="ND4" s="29">
        <v>88.282399999999996</v>
      </c>
      <c r="NE4" s="29">
        <v>87.807699999999997</v>
      </c>
      <c r="NF4" s="29">
        <v>87.742699999999999</v>
      </c>
      <c r="NG4" s="29">
        <v>87.988</v>
      </c>
      <c r="NH4" s="29">
        <v>87.855099999999993</v>
      </c>
      <c r="NI4" s="29">
        <v>88.003100000000003</v>
      </c>
      <c r="NJ4" s="29">
        <v>88.168800000000005</v>
      </c>
      <c r="NK4" s="29">
        <v>88.134799999999998</v>
      </c>
      <c r="NL4" s="29">
        <v>88.120500000000007</v>
      </c>
      <c r="NM4" s="29">
        <v>87.950599999999994</v>
      </c>
      <c r="NN4" s="29">
        <v>87.992099999999994</v>
      </c>
      <c r="NO4" s="29">
        <v>87.297200000000004</v>
      </c>
      <c r="NP4" s="29">
        <v>85.748000000000005</v>
      </c>
      <c r="NQ4" s="29">
        <v>84.963999999999999</v>
      </c>
      <c r="NR4" s="29">
        <v>87.806399999999996</v>
      </c>
      <c r="NS4" s="29">
        <v>87.277000000000001</v>
      </c>
      <c r="NT4" s="29">
        <v>87.373000000000005</v>
      </c>
      <c r="NU4" s="29">
        <v>87.959500000000006</v>
      </c>
      <c r="NV4" s="29">
        <v>85.417599999999993</v>
      </c>
      <c r="NW4" s="29">
        <v>82.628200000000007</v>
      </c>
      <c r="NX4" s="29">
        <v>87.035399999999996</v>
      </c>
      <c r="NY4" s="29">
        <v>89.049899999999994</v>
      </c>
      <c r="NZ4" s="29">
        <v>89.065799999999996</v>
      </c>
      <c r="OA4" s="29">
        <v>88.207999999999998</v>
      </c>
      <c r="OB4" s="29">
        <v>89.0214</v>
      </c>
      <c r="OC4" s="29">
        <v>88.994399999999999</v>
      </c>
      <c r="OD4" s="29">
        <v>88.760599999999997</v>
      </c>
      <c r="OE4" s="29">
        <v>88.760400000000004</v>
      </c>
      <c r="OF4" s="29">
        <v>88.743600000000001</v>
      </c>
      <c r="OG4" s="29">
        <v>88.757400000000004</v>
      </c>
      <c r="OH4" s="29">
        <v>89.375500000000002</v>
      </c>
      <c r="OI4" s="29">
        <v>90.191500000000005</v>
      </c>
      <c r="OJ4" s="29">
        <v>89.786900000000003</v>
      </c>
      <c r="OK4" s="29">
        <v>89.258899999999997</v>
      </c>
      <c r="OL4" s="29">
        <v>88.4375</v>
      </c>
      <c r="OM4" s="29">
        <v>88.685199999999995</v>
      </c>
      <c r="ON4" s="29">
        <v>89.702600000000004</v>
      </c>
      <c r="OO4" s="29">
        <v>90.248599999999996</v>
      </c>
      <c r="OP4" s="29">
        <v>90.188699999999997</v>
      </c>
      <c r="OQ4" s="29">
        <v>90.408199999999994</v>
      </c>
      <c r="OR4" s="29">
        <v>90.653700000000001</v>
      </c>
      <c r="OS4" s="29">
        <v>90.987300000000005</v>
      </c>
      <c r="OT4" s="29">
        <v>90.923900000000003</v>
      </c>
      <c r="OU4" s="29">
        <v>91.257300000000001</v>
      </c>
      <c r="OV4" s="29">
        <v>91.359099999999998</v>
      </c>
      <c r="OW4" s="29">
        <v>91.632999999999996</v>
      </c>
      <c r="OX4" s="29">
        <v>91.823899999999995</v>
      </c>
      <c r="OY4" s="29">
        <v>91.123099999999994</v>
      </c>
      <c r="OZ4" s="29">
        <v>91.312399999999997</v>
      </c>
      <c r="PA4" s="29">
        <v>91.691800000000001</v>
      </c>
      <c r="PB4" s="29">
        <v>92.053799999999995</v>
      </c>
      <c r="PC4" s="29">
        <v>91.7791</v>
      </c>
      <c r="PD4" s="29">
        <v>92.013400000000004</v>
      </c>
      <c r="PE4" s="29">
        <v>92.131399999999999</v>
      </c>
      <c r="PF4" s="29">
        <v>92.505799999999994</v>
      </c>
      <c r="PG4" s="29">
        <v>93.291799999999995</v>
      </c>
      <c r="PH4" s="29">
        <v>93.251900000000006</v>
      </c>
      <c r="PI4" s="29">
        <v>93.440899999999999</v>
      </c>
      <c r="PJ4" s="29">
        <v>94.092200000000005</v>
      </c>
      <c r="PK4" s="29">
        <v>94.324200000000005</v>
      </c>
      <c r="PL4" s="29">
        <v>94.074200000000005</v>
      </c>
      <c r="PM4" s="29">
        <v>93.589100000000002</v>
      </c>
      <c r="PN4" s="29">
        <v>93.441900000000004</v>
      </c>
      <c r="PO4" s="29">
        <v>93.7196</v>
      </c>
      <c r="PP4" s="29">
        <v>93.219800000000006</v>
      </c>
      <c r="PQ4" s="29">
        <v>92.746300000000005</v>
      </c>
      <c r="PR4" s="29">
        <v>92.581000000000003</v>
      </c>
      <c r="PS4" s="29">
        <v>92.415499999999994</v>
      </c>
      <c r="PT4" s="29">
        <v>92.305800000000005</v>
      </c>
      <c r="PU4" s="29">
        <v>92.389200000000002</v>
      </c>
      <c r="PV4" s="29">
        <v>92.525400000000005</v>
      </c>
      <c r="PW4" s="29">
        <v>92.291399999999996</v>
      </c>
      <c r="PX4" s="29">
        <v>92.366</v>
      </c>
      <c r="PY4" s="29">
        <v>92.262799999999999</v>
      </c>
      <c r="PZ4" s="29">
        <v>92.591899999999995</v>
      </c>
      <c r="QA4" s="29">
        <v>92.5745</v>
      </c>
      <c r="QB4" s="29">
        <v>92.7761</v>
      </c>
      <c r="QC4" s="29">
        <v>92.611800000000002</v>
      </c>
      <c r="QD4" s="29">
        <v>91.9499</v>
      </c>
      <c r="QE4" s="29">
        <v>92.686099999999996</v>
      </c>
      <c r="QF4" s="29">
        <v>92.224299999999999</v>
      </c>
      <c r="QG4" s="29">
        <v>91.982900000000001</v>
      </c>
      <c r="QH4" s="29">
        <v>91.87</v>
      </c>
      <c r="QI4" s="29">
        <v>91.635900000000007</v>
      </c>
      <c r="QJ4" s="29">
        <v>91.544899999999998</v>
      </c>
      <c r="QK4" s="29">
        <v>90.881799999999998</v>
      </c>
      <c r="QL4" s="29">
        <v>90.625200000000007</v>
      </c>
      <c r="QM4" s="29">
        <v>90.749300000000005</v>
      </c>
      <c r="QN4" s="29">
        <v>90.341200000000001</v>
      </c>
      <c r="QO4" s="29">
        <v>91.160399999999996</v>
      </c>
      <c r="QP4" s="29">
        <v>91.353399999999993</v>
      </c>
      <c r="QQ4" s="29">
        <v>91.333600000000004</v>
      </c>
      <c r="QR4" s="29">
        <v>90.842299999999994</v>
      </c>
      <c r="QS4" s="29">
        <v>91.869200000000006</v>
      </c>
      <c r="QT4" s="29">
        <v>92.042500000000004</v>
      </c>
      <c r="QU4" s="29">
        <v>92.632099999999994</v>
      </c>
      <c r="QV4" s="29">
        <v>92.751900000000006</v>
      </c>
      <c r="QW4" s="29">
        <v>92.438699999999997</v>
      </c>
      <c r="QX4" s="29">
        <v>92.349000000000004</v>
      </c>
      <c r="QY4" s="29">
        <v>92.410200000000003</v>
      </c>
      <c r="QZ4" s="29">
        <v>92.549199999999999</v>
      </c>
      <c r="RA4" s="29">
        <v>91.823700000000002</v>
      </c>
      <c r="RB4" s="29">
        <v>91.431600000000003</v>
      </c>
      <c r="RC4" s="29">
        <v>91.205699999999993</v>
      </c>
      <c r="RD4" s="29">
        <v>91.075800000000001</v>
      </c>
      <c r="RE4" s="29">
        <v>90.890100000000004</v>
      </c>
      <c r="RF4" s="29">
        <v>91.256100000000004</v>
      </c>
      <c r="RG4" s="29">
        <v>91.151399999999995</v>
      </c>
      <c r="RH4" s="29">
        <v>90.684200000000004</v>
      </c>
      <c r="RI4" s="29">
        <v>91.243399999999994</v>
      </c>
      <c r="RJ4" s="29">
        <v>90.662599999999998</v>
      </c>
      <c r="RK4" s="29">
        <v>90.229900000000001</v>
      </c>
      <c r="RL4" s="29">
        <v>89.6678</v>
      </c>
      <c r="RM4" s="29">
        <v>89.288700000000006</v>
      </c>
      <c r="RN4" s="29">
        <v>89.608999999999995</v>
      </c>
      <c r="RO4" s="29">
        <v>89.515900000000002</v>
      </c>
      <c r="RP4" s="29">
        <v>88.656199999999998</v>
      </c>
      <c r="RQ4" s="29">
        <v>88.282899999999998</v>
      </c>
      <c r="RR4" s="29">
        <v>87.919899999999998</v>
      </c>
      <c r="RS4" s="29">
        <v>87.972399999999993</v>
      </c>
      <c r="RT4" s="29">
        <v>88.589600000000004</v>
      </c>
      <c r="RU4" s="29">
        <v>88.661000000000001</v>
      </c>
      <c r="RV4" s="29">
        <v>88.353999999999999</v>
      </c>
      <c r="RW4" s="29">
        <v>87.645700000000005</v>
      </c>
      <c r="RX4" s="29">
        <v>87.677199999999999</v>
      </c>
      <c r="RY4" s="29">
        <v>88.132400000000004</v>
      </c>
      <c r="RZ4" s="29">
        <v>88.781800000000004</v>
      </c>
      <c r="SA4" s="29">
        <v>89.393900000000002</v>
      </c>
      <c r="SB4" s="29">
        <v>90.403999999999996</v>
      </c>
      <c r="SC4" s="29">
        <v>89.688299999999998</v>
      </c>
      <c r="SD4" s="29">
        <v>90.304100000000005</v>
      </c>
      <c r="SE4" s="29">
        <v>91.705100000000002</v>
      </c>
      <c r="SF4" s="29">
        <v>91.706900000000005</v>
      </c>
      <c r="SG4" s="29">
        <v>91.968999999999994</v>
      </c>
      <c r="SH4" s="29">
        <v>91.938900000000004</v>
      </c>
      <c r="SI4" s="29">
        <v>91.706199999999995</v>
      </c>
      <c r="SJ4" s="29">
        <v>90.405600000000007</v>
      </c>
      <c r="SK4" s="29">
        <v>90.087000000000003</v>
      </c>
      <c r="SL4" s="29">
        <v>90.416200000000003</v>
      </c>
      <c r="SM4" s="29">
        <v>89.696600000000004</v>
      </c>
      <c r="SN4" s="29">
        <v>89.674099999999996</v>
      </c>
      <c r="SO4" s="29">
        <v>89.892600000000002</v>
      </c>
      <c r="SP4" s="29">
        <v>90.215800000000002</v>
      </c>
      <c r="SQ4" s="29">
        <v>90.9846</v>
      </c>
      <c r="SR4" s="29">
        <v>91.640199999999993</v>
      </c>
      <c r="SS4" s="29">
        <v>92.565399999999997</v>
      </c>
      <c r="ST4" s="29">
        <v>92.782600000000002</v>
      </c>
      <c r="SU4" s="29">
        <v>91.582300000000004</v>
      </c>
      <c r="SV4" s="29">
        <v>90.672799999999995</v>
      </c>
      <c r="SW4" s="29">
        <v>89.761899999999997</v>
      </c>
      <c r="SX4" s="29">
        <v>88.581900000000005</v>
      </c>
      <c r="SY4" s="29">
        <v>88.884100000000004</v>
      </c>
      <c r="SZ4" s="29">
        <v>88.610200000000006</v>
      </c>
      <c r="TA4" s="29">
        <v>88.704499999999996</v>
      </c>
      <c r="TB4" s="29">
        <v>88.813299999999998</v>
      </c>
      <c r="TC4" s="29">
        <v>88.120599999999996</v>
      </c>
      <c r="TD4" s="29">
        <v>88.1648</v>
      </c>
      <c r="TE4" s="29">
        <v>87.870099999999994</v>
      </c>
      <c r="TF4" s="29">
        <v>88.495400000000004</v>
      </c>
      <c r="TG4" s="29">
        <v>89.123699999999999</v>
      </c>
      <c r="TH4" s="29">
        <v>88.946600000000004</v>
      </c>
      <c r="TI4" s="29">
        <v>89.456500000000005</v>
      </c>
      <c r="TJ4" s="29">
        <v>91.257000000000005</v>
      </c>
      <c r="TK4" s="29">
        <v>92.118499999999997</v>
      </c>
      <c r="TL4" s="29">
        <v>92.0535</v>
      </c>
      <c r="TM4" s="29">
        <v>91.926599999999993</v>
      </c>
      <c r="TN4" s="29">
        <v>92.197299999999998</v>
      </c>
      <c r="TO4" s="29">
        <v>92.415099999999995</v>
      </c>
      <c r="TP4" s="29">
        <v>93.0351</v>
      </c>
      <c r="TQ4" s="29">
        <v>93.173000000000002</v>
      </c>
      <c r="TR4" s="29">
        <v>93.280100000000004</v>
      </c>
      <c r="TS4" s="29">
        <v>92.022599999999997</v>
      </c>
      <c r="TT4" s="29">
        <v>93.243499999999997</v>
      </c>
      <c r="TU4" s="29">
        <v>93.217399999999998</v>
      </c>
      <c r="TV4" s="29">
        <v>93.561599999999999</v>
      </c>
      <c r="TW4" s="29">
        <v>93.150700000000001</v>
      </c>
      <c r="TX4" s="29">
        <v>93.522400000000005</v>
      </c>
      <c r="TY4" s="29">
        <v>94.708100000000002</v>
      </c>
      <c r="TZ4" s="29">
        <v>95.905299999999997</v>
      </c>
      <c r="UA4" s="29">
        <v>97.307400000000001</v>
      </c>
      <c r="UB4" s="29">
        <v>97.372399999999999</v>
      </c>
      <c r="UC4" s="29">
        <v>97.345799999999997</v>
      </c>
      <c r="UD4" s="29">
        <v>97.286500000000004</v>
      </c>
      <c r="UE4" s="29">
        <v>97.307500000000005</v>
      </c>
      <c r="UF4" s="29">
        <v>96.994799999999998</v>
      </c>
      <c r="UG4" s="29">
        <v>99.980800000000002</v>
      </c>
      <c r="UH4" s="29">
        <v>99.934899999999999</v>
      </c>
      <c r="UI4" s="29">
        <v>101.35980000000001</v>
      </c>
      <c r="UJ4" s="29">
        <v>100.4911</v>
      </c>
      <c r="UK4" s="29">
        <v>99.676199999999994</v>
      </c>
      <c r="UL4" s="29">
        <v>99.455500000000001</v>
      </c>
      <c r="UM4" s="29">
        <v>99.267700000000005</v>
      </c>
      <c r="UN4" s="29">
        <v>98.478499999999997</v>
      </c>
      <c r="UO4" s="29">
        <v>97.414699999999996</v>
      </c>
      <c r="UP4" s="29">
        <v>97.001800000000003</v>
      </c>
      <c r="UQ4" s="29">
        <v>96.5</v>
      </c>
      <c r="UR4" s="29">
        <v>96.237799999999993</v>
      </c>
      <c r="US4" s="29">
        <v>96.145600000000002</v>
      </c>
      <c r="UT4" s="29">
        <v>96.041899999999998</v>
      </c>
      <c r="UU4" s="29">
        <v>96.0762</v>
      </c>
      <c r="UV4" s="29">
        <v>96.617199999999997</v>
      </c>
      <c r="UW4" s="29">
        <v>96.223600000000005</v>
      </c>
      <c r="UX4" s="29">
        <v>96.647199999999998</v>
      </c>
      <c r="UY4" s="29">
        <v>96.633799999999994</v>
      </c>
      <c r="UZ4" s="29">
        <v>96.160899999999998</v>
      </c>
      <c r="VA4" s="29">
        <v>95.979399999999998</v>
      </c>
      <c r="VB4" s="29">
        <v>94.703500000000005</v>
      </c>
      <c r="VC4" s="29">
        <v>96.508300000000006</v>
      </c>
      <c r="VD4" s="29">
        <v>97.924099999999996</v>
      </c>
      <c r="VE4" s="29">
        <v>98.196100000000001</v>
      </c>
      <c r="VF4" s="29">
        <v>97.843900000000005</v>
      </c>
      <c r="VG4" s="29">
        <v>97.538300000000007</v>
      </c>
      <c r="VH4" s="29">
        <v>96.619900000000001</v>
      </c>
      <c r="VI4" s="29">
        <v>96.341099999999997</v>
      </c>
      <c r="VJ4" s="29">
        <v>96.334400000000002</v>
      </c>
      <c r="VK4" s="29">
        <v>95.928299999999993</v>
      </c>
      <c r="VL4" s="29">
        <v>95.706999999999994</v>
      </c>
      <c r="VM4" s="29">
        <v>95.471699999999998</v>
      </c>
      <c r="VN4" s="29">
        <v>94.711699999999993</v>
      </c>
      <c r="VO4" s="29">
        <v>94.400700000000001</v>
      </c>
      <c r="VP4" s="29">
        <v>94.442099999999996</v>
      </c>
      <c r="VQ4" s="29">
        <v>94.118499999999997</v>
      </c>
      <c r="VR4" s="29">
        <v>94.142399999999995</v>
      </c>
      <c r="VS4" s="29">
        <v>93.404700000000005</v>
      </c>
      <c r="VT4" s="29">
        <v>93.745999999999995</v>
      </c>
      <c r="VU4" s="29">
        <v>96.704499999999996</v>
      </c>
      <c r="VV4" s="29">
        <v>97.421700000000001</v>
      </c>
      <c r="VW4" s="29">
        <v>101.0399</v>
      </c>
      <c r="VX4" s="29">
        <v>98.206599999999995</v>
      </c>
      <c r="VY4" s="29">
        <v>97.279399999999995</v>
      </c>
      <c r="VZ4" s="29">
        <v>97.399900000000002</v>
      </c>
      <c r="WA4" s="29">
        <v>96.075500000000005</v>
      </c>
      <c r="WB4" s="29">
        <v>96.566800000000001</v>
      </c>
      <c r="WC4" s="29">
        <v>94.807599999999994</v>
      </c>
      <c r="WD4" s="29">
        <v>93.779200000000003</v>
      </c>
      <c r="WE4" s="29">
        <v>92.840999999999994</v>
      </c>
      <c r="WF4" s="29">
        <v>91.775499999999994</v>
      </c>
      <c r="WG4" s="29">
        <v>91.592299999999994</v>
      </c>
      <c r="WH4" s="29">
        <v>90.978300000000004</v>
      </c>
      <c r="WI4" s="29">
        <v>90.022499999999994</v>
      </c>
      <c r="WJ4" s="29">
        <v>90.046800000000005</v>
      </c>
      <c r="WK4" s="29">
        <v>90.094499999999996</v>
      </c>
      <c r="WL4" s="29">
        <v>90.489000000000004</v>
      </c>
      <c r="WM4" s="29">
        <v>90.384600000000006</v>
      </c>
      <c r="WN4" s="29">
        <v>90.854500000000002</v>
      </c>
      <c r="WO4" s="29">
        <v>91.204599999999999</v>
      </c>
      <c r="WP4" s="29">
        <v>90.690600000000003</v>
      </c>
      <c r="WQ4" s="29">
        <v>90.421700000000001</v>
      </c>
      <c r="WR4" s="29">
        <v>90.119</v>
      </c>
      <c r="WS4" s="29">
        <v>90.175700000000006</v>
      </c>
      <c r="WT4" s="29">
        <v>90.625299999999996</v>
      </c>
      <c r="WU4" s="29">
        <v>90.504499999999993</v>
      </c>
      <c r="WV4" s="29">
        <v>91.493099999999998</v>
      </c>
      <c r="WW4" s="29">
        <v>91.687899999999999</v>
      </c>
      <c r="WX4" s="29">
        <v>92.569500000000005</v>
      </c>
      <c r="WY4" s="29">
        <v>90.337999999999994</v>
      </c>
      <c r="WZ4" s="29">
        <v>89.545000000000002</v>
      </c>
      <c r="XA4" s="29">
        <v>89.325500000000005</v>
      </c>
      <c r="XB4" s="29">
        <v>88.384399999999999</v>
      </c>
      <c r="XC4" s="29">
        <v>87.034099999999995</v>
      </c>
      <c r="XD4" s="29">
        <v>85.619200000000006</v>
      </c>
      <c r="XE4" s="29">
        <v>85.050399999999996</v>
      </c>
      <c r="XF4" s="29">
        <v>84.664199999999994</v>
      </c>
      <c r="XG4" s="29">
        <v>84.079300000000003</v>
      </c>
      <c r="XH4" s="29">
        <v>83.607699999999994</v>
      </c>
      <c r="XI4" s="29">
        <v>84.246700000000004</v>
      </c>
      <c r="XJ4" s="29">
        <v>84.233599999999996</v>
      </c>
      <c r="XK4" s="29">
        <v>83.986599999999996</v>
      </c>
      <c r="XL4" s="29">
        <v>83.649799999999999</v>
      </c>
      <c r="XM4" s="29">
        <v>83.961100000000002</v>
      </c>
      <c r="XN4" s="29">
        <v>84.3249</v>
      </c>
      <c r="XO4" s="29">
        <v>83.640500000000003</v>
      </c>
      <c r="XP4" s="29">
        <v>82.6417</v>
      </c>
      <c r="XQ4" s="29">
        <v>82.093000000000004</v>
      </c>
      <c r="XR4" s="29">
        <v>81.458100000000002</v>
      </c>
      <c r="XS4" s="29">
        <v>81.250200000000007</v>
      </c>
      <c r="XT4" s="29">
        <v>81.329400000000007</v>
      </c>
      <c r="XU4" s="29">
        <v>80.875600000000006</v>
      </c>
      <c r="XV4" s="29">
        <v>80.965699999999998</v>
      </c>
      <c r="XW4" s="29">
        <v>80.994200000000006</v>
      </c>
      <c r="XX4" s="29">
        <v>80.687200000000004</v>
      </c>
      <c r="XY4" s="29">
        <v>80.055499999999995</v>
      </c>
      <c r="XZ4" s="29">
        <v>79.966700000000003</v>
      </c>
      <c r="YA4" s="29">
        <v>79.984099999999998</v>
      </c>
      <c r="YB4" s="29">
        <v>79.966899999999995</v>
      </c>
      <c r="YC4" s="29">
        <v>80.166499999999999</v>
      </c>
      <c r="YD4" s="29">
        <v>79.937899999999999</v>
      </c>
      <c r="YE4" s="29">
        <v>79.909300000000002</v>
      </c>
      <c r="YF4" s="29">
        <v>80.036600000000007</v>
      </c>
      <c r="YG4" s="29">
        <v>80.764200000000002</v>
      </c>
      <c r="YH4" s="29">
        <v>79.979799999999997</v>
      </c>
      <c r="YI4" s="29">
        <v>79.100399999999993</v>
      </c>
      <c r="YJ4" s="29">
        <v>77.204099999999997</v>
      </c>
      <c r="YK4" s="29">
        <v>75.884600000000006</v>
      </c>
      <c r="YL4" s="29">
        <v>76.692899999999995</v>
      </c>
      <c r="YM4" s="29">
        <v>76.820700000000002</v>
      </c>
      <c r="YN4" s="29">
        <v>78.613900000000001</v>
      </c>
      <c r="YO4" s="29">
        <v>79.307100000000005</v>
      </c>
      <c r="YP4" s="29">
        <v>79.960899999999995</v>
      </c>
      <c r="YQ4" s="29">
        <v>80.509299999999996</v>
      </c>
      <c r="YR4" s="29">
        <v>81.560100000000006</v>
      </c>
      <c r="YS4" s="29">
        <v>81.627399999999994</v>
      </c>
      <c r="YT4" s="29">
        <v>81.549899999999994</v>
      </c>
      <c r="YU4" s="29">
        <v>81.274500000000003</v>
      </c>
      <c r="YV4" s="29">
        <v>81.4863</v>
      </c>
      <c r="YW4" s="29">
        <v>81.618799999999993</v>
      </c>
      <c r="YX4" s="29">
        <v>81.654899999999998</v>
      </c>
      <c r="YY4" s="29">
        <v>81.602800000000002</v>
      </c>
      <c r="YZ4" s="29">
        <v>81.627899999999997</v>
      </c>
      <c r="ZA4" s="29">
        <v>81.504499999999993</v>
      </c>
      <c r="ZB4" s="29">
        <v>81.675799999999995</v>
      </c>
      <c r="ZC4" s="29">
        <v>82.093400000000003</v>
      </c>
      <c r="ZD4" s="29">
        <v>82.179900000000004</v>
      </c>
      <c r="ZE4" s="29">
        <v>81.744100000000003</v>
      </c>
      <c r="ZF4" s="29">
        <v>82.398799999999994</v>
      </c>
      <c r="ZG4" s="29">
        <v>80.671300000000002</v>
      </c>
      <c r="ZH4" s="29">
        <v>79.496099999999998</v>
      </c>
      <c r="ZI4" s="29">
        <v>79.356300000000005</v>
      </c>
      <c r="ZJ4" s="29">
        <v>77.950999999999993</v>
      </c>
      <c r="ZK4" s="29">
        <v>77.323300000000003</v>
      </c>
      <c r="ZL4" s="29">
        <v>77.086299999999994</v>
      </c>
      <c r="ZM4" s="29">
        <v>76.978099999999998</v>
      </c>
      <c r="ZN4" s="29">
        <v>76.593900000000005</v>
      </c>
      <c r="ZO4" s="29">
        <v>76.566199999999995</v>
      </c>
      <c r="ZP4" s="29">
        <v>76.447900000000004</v>
      </c>
      <c r="ZQ4" s="29">
        <v>76.307199999999995</v>
      </c>
      <c r="ZR4" s="29">
        <v>76.956100000000006</v>
      </c>
      <c r="ZS4" s="29">
        <v>76.837299999999999</v>
      </c>
      <c r="ZT4" s="29">
        <v>77.242199999999997</v>
      </c>
      <c r="ZU4" s="29">
        <v>76.604399999999998</v>
      </c>
      <c r="ZV4" s="29">
        <v>76.409499999999994</v>
      </c>
      <c r="ZW4" s="29">
        <v>75.745699999999999</v>
      </c>
      <c r="ZX4" s="29">
        <v>75.192700000000002</v>
      </c>
      <c r="ZY4" s="29">
        <v>75.460899999999995</v>
      </c>
      <c r="ZZ4" s="29">
        <v>75.940600000000003</v>
      </c>
      <c r="AAA4" s="29">
        <v>75.902799999999999</v>
      </c>
      <c r="AAB4" s="29">
        <v>75.457700000000003</v>
      </c>
      <c r="AAC4" s="29">
        <v>75.472800000000007</v>
      </c>
      <c r="AAD4" s="29">
        <v>75.459199999999996</v>
      </c>
      <c r="AAE4" s="29">
        <v>75.472899999999996</v>
      </c>
      <c r="AAF4" s="29">
        <v>75.251300000000001</v>
      </c>
      <c r="AAG4" s="29">
        <v>74.893199999999993</v>
      </c>
      <c r="AAH4" s="29">
        <v>75.432299999999998</v>
      </c>
      <c r="AAI4" s="29">
        <v>74.708699999999993</v>
      </c>
      <c r="AAJ4" s="29">
        <v>74.8596</v>
      </c>
      <c r="AAK4" s="29">
        <v>74.043199999999999</v>
      </c>
      <c r="AAL4" s="29">
        <v>74.758799999999994</v>
      </c>
      <c r="AAM4" s="29">
        <v>74.763800000000003</v>
      </c>
      <c r="AAN4" s="29">
        <v>74.207700000000003</v>
      </c>
      <c r="AAO4" s="29">
        <v>73.864500000000007</v>
      </c>
      <c r="AAP4" s="29">
        <v>73.630700000000004</v>
      </c>
      <c r="AAQ4" s="29">
        <v>72.792299999999997</v>
      </c>
      <c r="AAR4" s="29">
        <v>72.894900000000007</v>
      </c>
      <c r="AAS4" s="29">
        <v>71.576300000000003</v>
      </c>
      <c r="AAT4" s="29">
        <v>70.892399999999995</v>
      </c>
      <c r="AAU4" s="29">
        <v>70.599100000000007</v>
      </c>
      <c r="AAV4" s="29">
        <v>70.384699999999995</v>
      </c>
      <c r="AAW4" s="29">
        <v>70.041399999999996</v>
      </c>
      <c r="AAX4" s="29">
        <v>70.121700000000004</v>
      </c>
      <c r="AAY4" s="29">
        <v>70.517399999999995</v>
      </c>
      <c r="AAZ4" s="29">
        <v>69.592699999999994</v>
      </c>
      <c r="ABA4" s="29">
        <v>69.337199999999996</v>
      </c>
      <c r="ABB4" s="29">
        <v>69.126300000000001</v>
      </c>
      <c r="ABC4" s="29">
        <v>68.957300000000004</v>
      </c>
      <c r="ABD4" s="29">
        <v>68.752899999999997</v>
      </c>
      <c r="ABE4" s="29">
        <v>68.628799999999998</v>
      </c>
      <c r="ABF4" s="29">
        <v>68.665599999999998</v>
      </c>
      <c r="ABG4" s="29">
        <v>68.846699999999998</v>
      </c>
      <c r="ABH4" s="29">
        <v>68.872799999999998</v>
      </c>
      <c r="ABI4" s="29">
        <v>68.664400000000001</v>
      </c>
      <c r="ABJ4" s="29">
        <v>68.289199999999994</v>
      </c>
      <c r="ABK4" s="29">
        <v>67.574399999999997</v>
      </c>
      <c r="ABL4" s="29">
        <v>67.777500000000003</v>
      </c>
      <c r="ABM4" s="29">
        <v>69.020200000000003</v>
      </c>
      <c r="ABN4" s="29">
        <v>69.609399999999994</v>
      </c>
      <c r="ABO4" s="29">
        <v>70.300200000000004</v>
      </c>
      <c r="ABP4" s="29">
        <v>70.337500000000006</v>
      </c>
      <c r="ABQ4" s="29">
        <v>71.977800000000002</v>
      </c>
      <c r="ABR4" s="29">
        <v>71.326099999999997</v>
      </c>
      <c r="ABS4" s="29">
        <v>69.934600000000003</v>
      </c>
      <c r="ABT4" s="29">
        <v>68.448700000000002</v>
      </c>
      <c r="ABU4" s="29">
        <v>68.676000000000002</v>
      </c>
      <c r="ABV4" s="29">
        <v>72.130600000000001</v>
      </c>
      <c r="ABW4" s="29">
        <v>70.525599999999997</v>
      </c>
      <c r="ABX4" s="29">
        <v>69.003699999999995</v>
      </c>
      <c r="ABY4" s="29">
        <v>66.347399999999993</v>
      </c>
      <c r="ABZ4" s="29">
        <v>64.607799999999997</v>
      </c>
      <c r="ACA4" s="29">
        <v>64.301500000000004</v>
      </c>
      <c r="ACB4" s="29">
        <v>63.359000000000002</v>
      </c>
      <c r="ACC4" s="29">
        <v>63.212000000000003</v>
      </c>
      <c r="ACD4" s="29">
        <v>62.767400000000002</v>
      </c>
      <c r="ACE4" s="29">
        <v>62.381300000000003</v>
      </c>
      <c r="ACF4" s="29">
        <v>62.572200000000002</v>
      </c>
      <c r="ACG4" s="29">
        <v>62.937199999999997</v>
      </c>
      <c r="ACH4" s="29">
        <v>62.910299999999999</v>
      </c>
      <c r="ACI4" s="29">
        <v>62.184899999999999</v>
      </c>
      <c r="ACJ4" s="29">
        <v>61.774900000000002</v>
      </c>
      <c r="ACK4" s="29">
        <v>61.1479</v>
      </c>
      <c r="ACL4" s="29">
        <v>60.880299999999998</v>
      </c>
      <c r="ACM4" s="29">
        <v>61.074199999999998</v>
      </c>
      <c r="ACN4" s="29">
        <v>60.752000000000002</v>
      </c>
      <c r="ACO4" s="29">
        <v>60.479700000000001</v>
      </c>
      <c r="ACP4" s="29">
        <v>60.386600000000001</v>
      </c>
      <c r="ACQ4" s="29">
        <v>60.504300000000001</v>
      </c>
      <c r="ACR4" s="29">
        <v>60.656599999999997</v>
      </c>
      <c r="ACS4" s="29">
        <v>60.737900000000003</v>
      </c>
      <c r="ACT4" s="29">
        <v>60.374099999999999</v>
      </c>
      <c r="ACU4" s="29">
        <v>60.389400000000002</v>
      </c>
      <c r="ACV4" s="29">
        <v>60.348399999999998</v>
      </c>
      <c r="ACW4" s="29">
        <v>60.311599999999999</v>
      </c>
      <c r="ACX4" s="29">
        <v>60.398200000000003</v>
      </c>
      <c r="ACY4" s="29">
        <v>60.2179</v>
      </c>
      <c r="ACZ4" s="29">
        <v>61.243400000000001</v>
      </c>
      <c r="ADA4" s="29">
        <v>61.061100000000003</v>
      </c>
      <c r="ADB4" s="29">
        <v>60.977400000000003</v>
      </c>
      <c r="ADC4" s="29">
        <v>61.236699999999999</v>
      </c>
      <c r="ADD4" s="29">
        <v>62.095500000000001</v>
      </c>
      <c r="ADE4" s="29">
        <v>61.6175</v>
      </c>
      <c r="ADF4" s="29">
        <v>61.427500000000002</v>
      </c>
      <c r="ADG4" s="29">
        <v>61.622900000000001</v>
      </c>
      <c r="ADH4" s="29">
        <v>61.534300000000002</v>
      </c>
      <c r="ADI4" s="29">
        <v>61.358899999999998</v>
      </c>
      <c r="ADJ4" s="29">
        <v>61.427700000000002</v>
      </c>
      <c r="ADK4" s="29">
        <v>61.332599999999999</v>
      </c>
      <c r="ADL4" s="29">
        <v>61.1629</v>
      </c>
      <c r="ADM4" s="29">
        <v>61.195799999999998</v>
      </c>
      <c r="ADN4" s="29">
        <v>61.501800000000003</v>
      </c>
      <c r="ADO4" s="29">
        <v>61.590499999999999</v>
      </c>
      <c r="ADP4" s="29">
        <v>61.703200000000002</v>
      </c>
      <c r="ADQ4" s="29">
        <v>61.763399999999997</v>
      </c>
      <c r="ADR4" s="29">
        <v>63.055799999999998</v>
      </c>
      <c r="ADS4" s="29">
        <v>63.491700000000002</v>
      </c>
      <c r="ADT4" s="29">
        <v>63.755899999999997</v>
      </c>
      <c r="ADU4" s="29">
        <v>63.683999999999997</v>
      </c>
      <c r="ADV4" s="29">
        <v>62.312600000000003</v>
      </c>
      <c r="ADW4" s="29">
        <v>61.247500000000002</v>
      </c>
      <c r="ADX4" s="29">
        <v>60.253399999999999</v>
      </c>
      <c r="ADY4" s="29">
        <v>59.404299999999999</v>
      </c>
      <c r="ADZ4" s="29">
        <v>58.7913</v>
      </c>
      <c r="AEA4" s="29">
        <v>57.566400000000002</v>
      </c>
      <c r="AEB4" s="29">
        <v>55.298699999999997</v>
      </c>
      <c r="AEC4" s="29">
        <v>57.412999999999997</v>
      </c>
      <c r="AED4" s="29">
        <v>58.448500000000003</v>
      </c>
      <c r="AEE4" s="29">
        <v>58.175600000000003</v>
      </c>
      <c r="AEF4" s="29">
        <v>57.999000000000002</v>
      </c>
      <c r="AEG4" s="29">
        <v>58.1006</v>
      </c>
      <c r="AEH4" s="29">
        <v>59.831800000000001</v>
      </c>
      <c r="AEI4" s="29">
        <v>60.868499999999997</v>
      </c>
      <c r="AEJ4" s="29">
        <v>60.015799999999999</v>
      </c>
      <c r="AEK4" s="29">
        <v>60.166200000000003</v>
      </c>
      <c r="AEL4" s="29">
        <v>60.031599999999997</v>
      </c>
      <c r="AEM4" s="29">
        <v>59.6663</v>
      </c>
      <c r="AEN4" s="29">
        <v>59.775100000000002</v>
      </c>
      <c r="AEO4" s="29">
        <v>60.067599999999999</v>
      </c>
      <c r="AEP4" s="29">
        <v>60.456800000000001</v>
      </c>
      <c r="AEQ4" s="29">
        <v>60.4696</v>
      </c>
      <c r="AER4" s="29">
        <v>60.801000000000002</v>
      </c>
      <c r="AES4" s="29">
        <v>61.181399999999996</v>
      </c>
      <c r="AET4" s="29">
        <v>60.854399999999998</v>
      </c>
      <c r="AEU4" s="29">
        <v>60.903300000000002</v>
      </c>
      <c r="AEV4" s="29">
        <v>60.371299999999998</v>
      </c>
      <c r="AEW4" s="29">
        <v>60.237000000000002</v>
      </c>
      <c r="AEX4" s="29">
        <v>60.238599999999998</v>
      </c>
      <c r="AEY4" s="29">
        <v>60.367699999999999</v>
      </c>
      <c r="AEZ4" s="29">
        <v>60.363599999999998</v>
      </c>
      <c r="AFA4" s="29">
        <v>60.092399999999998</v>
      </c>
      <c r="AFB4" s="29">
        <v>59.7699</v>
      </c>
      <c r="AFC4" s="29">
        <v>59.997399999999999</v>
      </c>
      <c r="AFD4" s="29">
        <v>59.896299999999997</v>
      </c>
      <c r="AFE4" s="29">
        <v>59.741900000000001</v>
      </c>
      <c r="AFF4" s="29">
        <v>59.132100000000001</v>
      </c>
      <c r="AFG4" s="29">
        <v>59.957000000000001</v>
      </c>
      <c r="AFH4" s="29">
        <v>60.755200000000002</v>
      </c>
      <c r="AFI4" s="29">
        <v>61.424700000000001</v>
      </c>
      <c r="AFJ4" s="29">
        <v>61.374699999999997</v>
      </c>
      <c r="AFK4" s="29">
        <v>60.899299999999997</v>
      </c>
      <c r="AFL4" s="29">
        <v>60.622900000000001</v>
      </c>
      <c r="AFM4" s="29">
        <v>60.4542</v>
      </c>
      <c r="AFN4" s="29">
        <v>60.381399999999999</v>
      </c>
      <c r="AFO4" s="29">
        <v>60.316400000000002</v>
      </c>
      <c r="AFP4" s="29">
        <v>60.369599999999998</v>
      </c>
      <c r="AFQ4" s="29">
        <v>60.258000000000003</v>
      </c>
      <c r="AFR4" s="29">
        <v>60.237400000000001</v>
      </c>
      <c r="AFS4" s="29">
        <v>60.159500000000001</v>
      </c>
      <c r="AFT4" s="29">
        <v>62.050600000000003</v>
      </c>
      <c r="AFU4" s="29">
        <v>61.310099999999998</v>
      </c>
      <c r="AFV4" s="29">
        <v>60.203099999999999</v>
      </c>
      <c r="AFW4" s="29">
        <v>60.219799999999999</v>
      </c>
      <c r="AFX4" s="29">
        <v>58.660499999999999</v>
      </c>
      <c r="AFY4" s="29">
        <v>57.7821</v>
      </c>
      <c r="AFZ4" s="29">
        <v>57.3917</v>
      </c>
      <c r="AGA4" s="29">
        <v>56.478299999999997</v>
      </c>
      <c r="AGB4" s="29">
        <v>54.8491</v>
      </c>
      <c r="AGC4" s="29">
        <v>55.436999999999998</v>
      </c>
      <c r="AGD4" s="29">
        <v>56.561599999999999</v>
      </c>
      <c r="AGE4" s="29">
        <v>57.832299999999996</v>
      </c>
      <c r="AGF4" s="29">
        <v>58.256799999999998</v>
      </c>
      <c r="AGG4" s="29">
        <v>58.532200000000003</v>
      </c>
      <c r="AGH4" s="29">
        <v>58.854100000000003</v>
      </c>
      <c r="AGI4" s="29">
        <v>61.304499999999997</v>
      </c>
      <c r="AGJ4" s="29">
        <v>61.266399999999997</v>
      </c>
      <c r="AGK4" s="29">
        <v>63.142699999999998</v>
      </c>
      <c r="AGL4" s="29">
        <v>62.911000000000001</v>
      </c>
      <c r="AGM4" s="29">
        <v>58.511800000000001</v>
      </c>
      <c r="AGN4" s="29">
        <v>55.085799999999999</v>
      </c>
      <c r="AGO4" s="29">
        <v>53.767600000000002</v>
      </c>
      <c r="AGP4" s="29">
        <v>52.512300000000003</v>
      </c>
      <c r="AGQ4" s="29">
        <v>51.158000000000001</v>
      </c>
      <c r="AGR4" s="29">
        <v>52.969900000000003</v>
      </c>
      <c r="AGS4" s="29">
        <v>53.364100000000001</v>
      </c>
      <c r="AGT4" s="29">
        <v>53.323399999999999</v>
      </c>
      <c r="AGU4" s="29">
        <v>53.357799999999997</v>
      </c>
      <c r="AGV4" s="29">
        <v>53.278799999999997</v>
      </c>
      <c r="AGW4" s="29">
        <v>54.708100000000002</v>
      </c>
      <c r="AGX4" s="29">
        <v>56.172699999999999</v>
      </c>
      <c r="AGY4" s="29">
        <v>56.710099999999997</v>
      </c>
      <c r="AGZ4" s="29">
        <v>56.869100000000003</v>
      </c>
      <c r="AHA4" s="29">
        <v>56.662399999999998</v>
      </c>
      <c r="AHB4" s="29">
        <v>57.092599999999997</v>
      </c>
      <c r="AHC4" s="29">
        <v>57.777999999999999</v>
      </c>
      <c r="AHD4" s="29">
        <v>58.389499999999998</v>
      </c>
      <c r="AHE4" s="29">
        <v>60.228200000000001</v>
      </c>
      <c r="AHF4" s="29">
        <v>60.956499999999998</v>
      </c>
      <c r="AHG4" s="29">
        <v>61.109400000000001</v>
      </c>
      <c r="AHH4" s="29">
        <v>61.965899999999998</v>
      </c>
      <c r="AHI4" s="29">
        <v>61.575000000000003</v>
      </c>
      <c r="AHJ4" s="29">
        <v>61.473300000000002</v>
      </c>
      <c r="AHK4" s="29">
        <v>61.606900000000003</v>
      </c>
      <c r="AHL4" s="29">
        <v>63.097499999999997</v>
      </c>
      <c r="AHM4" s="29">
        <v>66.402900000000002</v>
      </c>
      <c r="AHN4" s="29">
        <v>62.049500000000002</v>
      </c>
      <c r="AHO4" s="29">
        <v>56.299599999999998</v>
      </c>
      <c r="AHP4" s="29">
        <v>56.969000000000001</v>
      </c>
      <c r="AHQ4" s="29">
        <v>58.2087</v>
      </c>
      <c r="AHR4" s="29">
        <v>58.886200000000002</v>
      </c>
      <c r="AHS4" s="29">
        <v>62.403100000000002</v>
      </c>
      <c r="AHT4" s="29">
        <v>63.564300000000003</v>
      </c>
      <c r="AHU4" s="29">
        <v>63.5428</v>
      </c>
      <c r="AHV4" s="29">
        <v>63.444499999999998</v>
      </c>
      <c r="AHW4" s="29">
        <v>63.779899999999998</v>
      </c>
      <c r="AHX4" s="29">
        <v>65.791600000000003</v>
      </c>
      <c r="AHY4" s="29">
        <v>68.838899999999995</v>
      </c>
      <c r="AHZ4" s="29">
        <v>67.384299999999996</v>
      </c>
      <c r="AIA4" s="29">
        <v>66.237799999999993</v>
      </c>
      <c r="AIB4" s="29">
        <v>69.415999999999997</v>
      </c>
      <c r="AIC4" s="29">
        <v>71.023700000000005</v>
      </c>
      <c r="AID4" s="29">
        <v>72.295299999999997</v>
      </c>
      <c r="AIE4" s="29">
        <v>72.876400000000004</v>
      </c>
      <c r="AIF4" s="29">
        <v>72.7089</v>
      </c>
      <c r="AIG4" s="29">
        <v>73.361099999999993</v>
      </c>
      <c r="AIH4" s="29">
        <v>73.504999999999995</v>
      </c>
      <c r="AII4" s="29">
        <v>74.998999999999995</v>
      </c>
      <c r="AIJ4" s="29">
        <v>77.0809</v>
      </c>
      <c r="AIK4" s="29">
        <v>79.028700000000001</v>
      </c>
      <c r="AIL4" s="29">
        <v>79.4529</v>
      </c>
      <c r="AIM4" s="29">
        <v>80.043700000000001</v>
      </c>
      <c r="AIN4" s="29">
        <v>81.287999999999997</v>
      </c>
      <c r="AIO4" s="29">
        <v>79.847099999999998</v>
      </c>
      <c r="AIP4" s="29">
        <v>79.627399999999994</v>
      </c>
      <c r="AIQ4" s="29">
        <v>79.159599999999998</v>
      </c>
      <c r="AIR4" s="29">
        <v>74.850099999999998</v>
      </c>
      <c r="AIS4" s="29">
        <v>76.2547</v>
      </c>
      <c r="AIT4" s="29">
        <v>82.596199999999996</v>
      </c>
      <c r="AIU4" s="29">
        <v>83.352000000000004</v>
      </c>
      <c r="AIV4" s="29">
        <v>83.593199999999996</v>
      </c>
      <c r="AIW4" s="29">
        <v>83.4285</v>
      </c>
      <c r="AIX4" s="29">
        <v>83.409700000000001</v>
      </c>
      <c r="AIY4" s="29">
        <v>84.085099999999997</v>
      </c>
      <c r="AIZ4" s="29">
        <v>86.284300000000002</v>
      </c>
      <c r="AJA4" s="29">
        <v>93.712500000000006</v>
      </c>
      <c r="AJB4" s="29">
        <v>95.661799999999999</v>
      </c>
      <c r="AJC4" s="29">
        <v>96.0458</v>
      </c>
      <c r="AJD4" s="29">
        <v>103.1618</v>
      </c>
      <c r="AJE4" s="29">
        <v>104.0741</v>
      </c>
      <c r="AJF4" s="29">
        <v>104.6819</v>
      </c>
      <c r="AJG4" s="29">
        <v>103.9524</v>
      </c>
      <c r="AJH4" s="29">
        <v>104.80119999999999</v>
      </c>
      <c r="AJI4" s="29">
        <v>108.0521</v>
      </c>
      <c r="AJJ4" s="29">
        <v>111.4823</v>
      </c>
      <c r="AJK4" s="29">
        <v>115.19629999999999</v>
      </c>
      <c r="AJL4" s="29">
        <v>116.7517</v>
      </c>
      <c r="AJM4" s="29">
        <v>120.3785</v>
      </c>
      <c r="AJN4" s="29">
        <v>116.0847</v>
      </c>
      <c r="AJO4" s="29">
        <v>105.8124</v>
      </c>
      <c r="AJP4" s="29">
        <v>105.8124</v>
      </c>
      <c r="AJQ4" s="29">
        <v>111.7564</v>
      </c>
      <c r="AJR4" s="29">
        <v>103.2487</v>
      </c>
      <c r="AJS4" s="29">
        <v>91.745699999999999</v>
      </c>
      <c r="AJT4" s="29">
        <v>93.558899999999994</v>
      </c>
      <c r="AJU4" s="29">
        <v>83.548500000000004</v>
      </c>
      <c r="AJV4" s="29">
        <v>86.928799999999995</v>
      </c>
      <c r="AJW4" s="29">
        <v>80.419399999999996</v>
      </c>
      <c r="AJX4" s="29">
        <v>76.767099999999999</v>
      </c>
      <c r="AJY4" s="29">
        <v>75.761899999999997</v>
      </c>
      <c r="AJZ4" s="29">
        <v>75.752700000000004</v>
      </c>
      <c r="AKA4" s="29">
        <v>75.014099999999999</v>
      </c>
      <c r="AKB4" s="29">
        <v>76.165999999999997</v>
      </c>
      <c r="AKC4" s="29">
        <v>76.5762</v>
      </c>
      <c r="AKD4" s="29">
        <v>74.986699999999999</v>
      </c>
      <c r="AKE4" s="29">
        <v>74.724100000000007</v>
      </c>
      <c r="AKF4" s="29">
        <v>74.801500000000004</v>
      </c>
      <c r="AKG4" s="29">
        <v>75.304199999999994</v>
      </c>
      <c r="AKH4" s="29">
        <v>75.680599999999998</v>
      </c>
      <c r="AKI4" s="29">
        <v>76.050899999999999</v>
      </c>
      <c r="AKJ4" s="29">
        <v>76.650099999999995</v>
      </c>
      <c r="AKK4" s="29">
        <v>76.484899999999996</v>
      </c>
      <c r="AKL4" s="29">
        <v>77.130200000000002</v>
      </c>
      <c r="AKM4" s="29">
        <v>77.470200000000006</v>
      </c>
      <c r="AKN4" s="29">
        <v>77.817400000000006</v>
      </c>
      <c r="AKO4" s="29">
        <v>78.947000000000003</v>
      </c>
      <c r="AKP4" s="29">
        <v>78.943700000000007</v>
      </c>
      <c r="AKQ4" s="29">
        <v>78.642200000000003</v>
      </c>
      <c r="AKR4" s="29">
        <v>77.364900000000006</v>
      </c>
      <c r="AKS4" s="29">
        <v>76.690299999999993</v>
      </c>
      <c r="AKT4" s="29">
        <v>76.440799999999996</v>
      </c>
      <c r="AKU4" s="29">
        <v>76.869699999999995</v>
      </c>
      <c r="AKV4" s="29">
        <v>76.334699999999998</v>
      </c>
      <c r="AKW4" s="29">
        <v>76.040400000000005</v>
      </c>
      <c r="AKX4" s="29">
        <v>75.766800000000003</v>
      </c>
      <c r="AKY4" s="29">
        <v>74.568600000000004</v>
      </c>
      <c r="AKZ4" s="29">
        <v>74.527699999999996</v>
      </c>
      <c r="ALA4" s="29">
        <v>74.835499999999996</v>
      </c>
      <c r="ALB4" s="29">
        <v>75.131500000000003</v>
      </c>
      <c r="ALC4" s="29">
        <v>74.292599999999993</v>
      </c>
      <c r="ALD4" s="29">
        <v>73.651399999999995</v>
      </c>
      <c r="ALE4" s="29">
        <v>73.495900000000006</v>
      </c>
      <c r="ALF4" s="29">
        <v>73.232900000000001</v>
      </c>
      <c r="ALG4" s="29">
        <v>73.188599999999994</v>
      </c>
      <c r="ALH4" s="29">
        <v>73.3583</v>
      </c>
      <c r="ALI4" s="29">
        <v>73.790099999999995</v>
      </c>
      <c r="ALJ4" s="29">
        <v>73.820599999999999</v>
      </c>
      <c r="ALK4" s="29">
        <v>74.294700000000006</v>
      </c>
      <c r="ALL4" s="29">
        <v>73.733000000000004</v>
      </c>
      <c r="ALM4" s="29">
        <v>73.570800000000006</v>
      </c>
      <c r="ALN4" s="29">
        <v>73.850999999999999</v>
      </c>
      <c r="ALO4" s="29">
        <v>73.469800000000006</v>
      </c>
      <c r="ALP4" s="29">
        <v>73.410700000000006</v>
      </c>
      <c r="ALQ4" s="29">
        <v>73.605900000000005</v>
      </c>
      <c r="ALR4" s="29">
        <v>73.599800000000002</v>
      </c>
      <c r="ALS4" s="29">
        <v>73.845299999999995</v>
      </c>
      <c r="ALT4" s="29">
        <v>74.139899999999997</v>
      </c>
      <c r="ALU4" s="29">
        <v>73.669399999999996</v>
      </c>
      <c r="ALV4" s="29">
        <v>73.742599999999996</v>
      </c>
      <c r="ALW4" s="29">
        <v>74.063699999999997</v>
      </c>
      <c r="ALX4" s="29">
        <v>73.974599999999995</v>
      </c>
      <c r="ALY4" s="29">
        <v>74.892600000000002</v>
      </c>
      <c r="ALZ4" s="29">
        <v>74.981800000000007</v>
      </c>
      <c r="AMA4" s="29">
        <v>75.587299999999999</v>
      </c>
      <c r="AMB4" s="29">
        <v>74.600399999999993</v>
      </c>
      <c r="AMC4" s="29">
        <v>74.372600000000006</v>
      </c>
      <c r="AMD4" s="29">
        <v>74.832700000000003</v>
      </c>
      <c r="AME4" s="29">
        <v>73.450599999999994</v>
      </c>
      <c r="AMF4" s="29">
        <v>72.761700000000005</v>
      </c>
      <c r="AMG4" s="29">
        <v>72.602199999999996</v>
      </c>
      <c r="AMH4" s="29">
        <v>72.822800000000001</v>
      </c>
      <c r="AMI4" s="29">
        <v>72.555300000000003</v>
      </c>
      <c r="AMJ4" s="29">
        <v>72.272400000000005</v>
      </c>
      <c r="AMK4" s="29">
        <v>71.811800000000005</v>
      </c>
      <c r="AML4" s="29">
        <v>71.196399999999997</v>
      </c>
      <c r="AMM4" s="29">
        <v>70.694999999999993</v>
      </c>
      <c r="AMN4" s="29">
        <v>71.286600000000007</v>
      </c>
      <c r="AMO4" s="29">
        <v>71.397499999999994</v>
      </c>
      <c r="AMP4" s="29">
        <v>71.4876</v>
      </c>
      <c r="AMQ4" s="29">
        <v>71.478300000000004</v>
      </c>
      <c r="AMR4" s="29">
        <v>71.086299999999994</v>
      </c>
      <c r="AMS4" s="29">
        <v>70.52</v>
      </c>
      <c r="AMT4" s="29">
        <v>70.520700000000005</v>
      </c>
      <c r="AMU4" s="29">
        <v>69.810400000000001</v>
      </c>
      <c r="AMV4" s="29">
        <v>69.552599999999998</v>
      </c>
      <c r="AMW4" s="29">
        <v>70.134500000000003</v>
      </c>
      <c r="AMX4" s="29">
        <v>70.862300000000005</v>
      </c>
      <c r="AMY4" s="29">
        <v>70.990399999999994</v>
      </c>
      <c r="AMZ4" s="29">
        <v>71.055499999999995</v>
      </c>
      <c r="ANA4" s="29">
        <v>70.967399999999998</v>
      </c>
      <c r="ANB4" s="29">
        <v>71.171400000000006</v>
      </c>
      <c r="ANC4" s="29">
        <v>71.237099999999998</v>
      </c>
      <c r="AND4" s="29">
        <v>71.784599999999998</v>
      </c>
      <c r="ANE4" s="29">
        <v>71.857699999999994</v>
      </c>
      <c r="ANF4" s="29">
        <v>71.880099999999999</v>
      </c>
      <c r="ANG4" s="29">
        <v>71.637299999999996</v>
      </c>
      <c r="ANH4" s="29">
        <v>71.988200000000006</v>
      </c>
      <c r="ANI4" s="29">
        <v>72.285399999999996</v>
      </c>
      <c r="ANJ4" s="29">
        <v>72.568200000000004</v>
      </c>
      <c r="ANK4" s="29">
        <v>72.568600000000004</v>
      </c>
      <c r="ANL4" s="29">
        <v>72.923900000000003</v>
      </c>
      <c r="ANM4" s="29">
        <v>72.921499999999995</v>
      </c>
      <c r="ANN4" s="29">
        <v>72.664199999999994</v>
      </c>
      <c r="ANO4" s="29">
        <v>72.760800000000003</v>
      </c>
      <c r="ANP4" s="29">
        <v>72.508300000000006</v>
      </c>
      <c r="ANQ4" s="29">
        <v>72.661299999999997</v>
      </c>
      <c r="ANR4" s="29">
        <v>73.008099999999999</v>
      </c>
      <c r="ANS4" s="29">
        <v>72.724500000000006</v>
      </c>
      <c r="ANT4" s="29">
        <v>72.880600000000001</v>
      </c>
      <c r="ANU4" s="29">
        <v>73.206699999999998</v>
      </c>
      <c r="ANV4" s="29">
        <v>73.331500000000005</v>
      </c>
      <c r="ANW4" s="29">
        <v>72.560199999999995</v>
      </c>
      <c r="ANX4" s="29">
        <v>72.432900000000004</v>
      </c>
      <c r="ANY4" s="29">
        <v>72.852000000000004</v>
      </c>
      <c r="ANZ4" s="29">
        <v>72.717100000000002</v>
      </c>
      <c r="AOA4" s="29">
        <v>73.084100000000007</v>
      </c>
      <c r="AOB4" s="29">
        <v>72.760000000000005</v>
      </c>
      <c r="AOC4" s="29">
        <v>73.129000000000005</v>
      </c>
      <c r="AOD4" s="29">
        <v>73.442099999999996</v>
      </c>
      <c r="AOE4" s="29">
        <v>73.190899999999999</v>
      </c>
      <c r="AOF4" s="29">
        <v>72.953800000000001</v>
      </c>
      <c r="AOG4" s="29">
        <v>72.854500000000002</v>
      </c>
      <c r="AOH4" s="29">
        <v>72.849100000000007</v>
      </c>
      <c r="AOI4" s="29">
        <v>73.191199999999995</v>
      </c>
      <c r="AOJ4" s="29">
        <v>73.278099999999995</v>
      </c>
      <c r="AOK4" s="29">
        <v>73.574399999999997</v>
      </c>
      <c r="AOL4" s="29">
        <v>73.986599999999996</v>
      </c>
      <c r="AOM4" s="29">
        <v>73.990799999999993</v>
      </c>
      <c r="AON4" s="29">
        <v>73.742800000000003</v>
      </c>
      <c r="AOO4" s="29">
        <v>73.9465</v>
      </c>
      <c r="AOP4" s="29">
        <v>74.066599999999994</v>
      </c>
      <c r="AOQ4" s="29">
        <v>74.364000000000004</v>
      </c>
      <c r="AOR4" s="29">
        <v>74.150300000000001</v>
      </c>
      <c r="AOS4" s="29">
        <v>73.463300000000004</v>
      </c>
      <c r="AOT4" s="29">
        <v>73.475300000000004</v>
      </c>
      <c r="AOU4" s="29">
        <v>73.391999999999996</v>
      </c>
      <c r="AOV4" s="29">
        <v>73.472099999999998</v>
      </c>
      <c r="AOW4" s="29">
        <v>73.567099999999996</v>
      </c>
      <c r="AOX4" s="29">
        <v>73.969499999999996</v>
      </c>
      <c r="AOY4" s="29">
        <v>73.596199999999996</v>
      </c>
      <c r="AOZ4" s="29">
        <v>73.507800000000003</v>
      </c>
      <c r="APA4" s="29">
        <v>73.130399999999995</v>
      </c>
      <c r="APB4" s="29">
        <v>73.168000000000006</v>
      </c>
      <c r="APC4" s="29">
        <v>72.785700000000006</v>
      </c>
      <c r="APD4" s="29">
        <v>72.872399999999999</v>
      </c>
      <c r="APE4" s="29">
        <v>73.015600000000006</v>
      </c>
      <c r="APF4" s="29">
        <v>73.138800000000003</v>
      </c>
      <c r="APG4" s="29">
        <v>73.190399999999997</v>
      </c>
      <c r="APH4" s="29">
        <v>73.608800000000002</v>
      </c>
      <c r="API4" s="29">
        <v>73.847099999999998</v>
      </c>
      <c r="APJ4" s="29">
        <v>74.097999999999999</v>
      </c>
      <c r="APK4" s="29">
        <v>73.766300000000001</v>
      </c>
      <c r="APL4" s="29">
        <v>73.694500000000005</v>
      </c>
      <c r="APM4" s="29">
        <v>74.494699999999995</v>
      </c>
      <c r="APN4" s="29">
        <v>74.491</v>
      </c>
      <c r="APO4" s="29">
        <v>74.346299999999999</v>
      </c>
      <c r="APP4" s="29">
        <v>74.165599999999998</v>
      </c>
      <c r="APQ4" s="29">
        <v>74.219700000000003</v>
      </c>
      <c r="APR4" s="29">
        <v>74.123599999999996</v>
      </c>
      <c r="APS4" s="29">
        <v>74.058899999999994</v>
      </c>
      <c r="APT4" s="29">
        <v>74.633600000000001</v>
      </c>
      <c r="APU4" s="29">
        <v>74.467500000000001</v>
      </c>
      <c r="APV4" s="29">
        <v>75.1952</v>
      </c>
      <c r="APW4" s="29">
        <v>74.058000000000007</v>
      </c>
      <c r="APX4" s="29">
        <v>73.266000000000005</v>
      </c>
      <c r="APY4" s="29">
        <v>73.353999999999999</v>
      </c>
      <c r="APZ4" s="29">
        <v>73.617500000000007</v>
      </c>
      <c r="AQA4" s="29">
        <v>72.908600000000007</v>
      </c>
      <c r="AQB4" s="29">
        <v>72.723399999999998</v>
      </c>
      <c r="AQC4" s="29">
        <v>72.372299999999996</v>
      </c>
      <c r="AQD4" s="29">
        <v>72.177700000000002</v>
      </c>
      <c r="AQE4" s="29">
        <v>72.169399999999996</v>
      </c>
      <c r="AQF4" s="29">
        <v>72.325999999999993</v>
      </c>
      <c r="AQG4" s="29">
        <v>72.667100000000005</v>
      </c>
      <c r="AQH4" s="29">
        <v>73.1661</v>
      </c>
      <c r="AQI4" s="29">
        <v>73.198700000000002</v>
      </c>
      <c r="AQJ4" s="29">
        <v>72.221599999999995</v>
      </c>
      <c r="AQK4" s="29">
        <v>72.504800000000003</v>
      </c>
      <c r="AQL4" s="29">
        <v>72.032300000000006</v>
      </c>
      <c r="AQM4" s="29">
        <v>71.831800000000001</v>
      </c>
      <c r="AQN4" s="29">
        <v>71.679699999999997</v>
      </c>
      <c r="AQO4" s="29">
        <v>72.197400000000002</v>
      </c>
      <c r="AQP4" s="29">
        <v>72.082899999999995</v>
      </c>
      <c r="AQQ4" s="29">
        <v>72.825599999999994</v>
      </c>
      <c r="AQR4" s="29">
        <v>72.929400000000001</v>
      </c>
      <c r="AQS4" s="29">
        <v>73.272099999999995</v>
      </c>
      <c r="AQT4" s="29">
        <v>73.263599999999997</v>
      </c>
      <c r="AQU4" s="29">
        <v>73.497900000000001</v>
      </c>
      <c r="AQV4" s="29">
        <v>73.241100000000003</v>
      </c>
      <c r="AQW4" s="29">
        <v>73.296499999999995</v>
      </c>
      <c r="AQX4" s="29">
        <v>73.587000000000003</v>
      </c>
      <c r="AQY4" s="29">
        <v>73.457999999999998</v>
      </c>
      <c r="AQZ4" s="29">
        <v>73.473699999999994</v>
      </c>
      <c r="ARA4" s="29">
        <v>73.396299999999997</v>
      </c>
      <c r="ARB4" s="29">
        <v>73.526600000000002</v>
      </c>
      <c r="ARC4" s="29">
        <v>73.580299999999994</v>
      </c>
      <c r="ARD4" s="29">
        <v>73.600700000000003</v>
      </c>
      <c r="ARE4" s="29">
        <v>73.677800000000005</v>
      </c>
      <c r="ARF4" s="29">
        <v>73.699200000000005</v>
      </c>
      <c r="ARG4" s="29">
        <v>73.853700000000003</v>
      </c>
      <c r="ARH4" s="29">
        <v>73.996799999999993</v>
      </c>
      <c r="ARI4" s="29">
        <v>74.3566</v>
      </c>
      <c r="ARJ4" s="29">
        <v>74.040000000000006</v>
      </c>
      <c r="ARK4" s="29">
        <v>74.156700000000001</v>
      </c>
      <c r="ARL4" s="29">
        <v>74.137299999999996</v>
      </c>
      <c r="ARM4" s="29">
        <v>74.576999999999998</v>
      </c>
      <c r="ARN4" s="29">
        <v>74.861699999999999</v>
      </c>
      <c r="ARO4" s="29">
        <v>75.256699999999995</v>
      </c>
      <c r="ARP4" s="29">
        <v>74.845100000000002</v>
      </c>
      <c r="ARQ4" s="29">
        <v>74.382300000000001</v>
      </c>
      <c r="ARR4" s="29">
        <v>74.938999999999993</v>
      </c>
      <c r="ARS4" s="29">
        <v>74.957800000000006</v>
      </c>
      <c r="ART4" s="29">
        <v>74.768000000000001</v>
      </c>
      <c r="ARU4" s="29">
        <v>75.089299999999994</v>
      </c>
      <c r="ARV4" s="29">
        <v>76.421700000000001</v>
      </c>
      <c r="ARW4" s="29">
        <v>76.819800000000001</v>
      </c>
      <c r="ARX4" s="29">
        <v>76.015500000000003</v>
      </c>
      <c r="ARY4" s="29">
        <v>76.249099999999999</v>
      </c>
      <c r="ARZ4" s="29">
        <v>75.5535</v>
      </c>
      <c r="ASA4" s="29">
        <v>76.980800000000002</v>
      </c>
      <c r="ASB4" s="29">
        <v>75.682599999999994</v>
      </c>
      <c r="ASC4" s="29">
        <v>77.253500000000003</v>
      </c>
      <c r="ASD4" s="29">
        <v>77.510400000000004</v>
      </c>
      <c r="ASE4" s="29">
        <v>77.165700000000001</v>
      </c>
      <c r="ASF4" s="29">
        <v>77.101100000000002</v>
      </c>
      <c r="ASG4" s="29">
        <v>77.772999999999996</v>
      </c>
      <c r="ASH4" s="29">
        <v>76.380200000000002</v>
      </c>
      <c r="ASI4" s="29">
        <v>76.605199999999996</v>
      </c>
      <c r="ASJ4" s="29">
        <v>76.073400000000007</v>
      </c>
      <c r="ASK4" s="29">
        <v>75.807299999999998</v>
      </c>
      <c r="ASL4" s="29">
        <v>75.637299999999996</v>
      </c>
      <c r="ASM4" s="29">
        <v>75.702299999999994</v>
      </c>
      <c r="ASN4" s="29">
        <v>75.828699999999998</v>
      </c>
      <c r="ASO4" s="29">
        <v>75.757599999999996</v>
      </c>
      <c r="ASP4" s="29">
        <v>76.174099999999996</v>
      </c>
      <c r="ASQ4" s="29">
        <v>76.153499999999994</v>
      </c>
      <c r="ASR4" s="29">
        <v>75.358500000000006</v>
      </c>
      <c r="ASS4" s="29">
        <v>74.608500000000006</v>
      </c>
      <c r="AST4" s="29">
        <v>74.138999999999996</v>
      </c>
      <c r="ASU4" s="29">
        <v>73.658199999999994</v>
      </c>
      <c r="ASV4" s="29">
        <v>73.101900000000001</v>
      </c>
      <c r="ASW4" s="29">
        <v>72.9619</v>
      </c>
      <c r="ASX4" s="29">
        <v>73.231700000000004</v>
      </c>
      <c r="ASY4" s="29">
        <v>73.508099999999999</v>
      </c>
      <c r="ASZ4" s="29">
        <v>73.499600000000001</v>
      </c>
      <c r="ATA4" s="29">
        <v>74.039299999999997</v>
      </c>
      <c r="ATB4" s="29">
        <v>74.263999999999996</v>
      </c>
      <c r="ATC4" s="29">
        <v>74.427499999999995</v>
      </c>
      <c r="ATD4" s="29">
        <v>73.7864</v>
      </c>
      <c r="ATE4" s="29">
        <v>73.518699999999995</v>
      </c>
      <c r="ATF4" s="29">
        <v>74.575500000000005</v>
      </c>
      <c r="ATG4" s="29">
        <v>74.044799999999995</v>
      </c>
      <c r="ATH4" s="29">
        <v>74.437299999999993</v>
      </c>
      <c r="ATI4" s="29">
        <v>73.474699999999999</v>
      </c>
      <c r="ATJ4" s="29">
        <v>73.753200000000007</v>
      </c>
      <c r="ATK4" s="29">
        <v>73.9833</v>
      </c>
      <c r="ATL4" s="29">
        <v>73.971699999999998</v>
      </c>
      <c r="ATM4" s="29">
        <v>73.775499999999994</v>
      </c>
      <c r="ATN4" s="29">
        <v>73.766900000000007</v>
      </c>
      <c r="ATO4" s="29">
        <v>73.289500000000004</v>
      </c>
      <c r="ATP4" s="29">
        <v>73.309200000000004</v>
      </c>
      <c r="ATQ4" s="29">
        <v>73.937799999999996</v>
      </c>
      <c r="ATR4" s="29">
        <v>73.757900000000006</v>
      </c>
      <c r="ATS4" s="29">
        <v>73.852599999999995</v>
      </c>
      <c r="ATT4" s="29">
        <v>74.119200000000006</v>
      </c>
      <c r="ATU4" s="29">
        <v>74.260199999999998</v>
      </c>
      <c r="ATV4" s="29">
        <v>75.110699999999994</v>
      </c>
      <c r="ATW4" s="29">
        <v>75.729299999999995</v>
      </c>
      <c r="ATX4" s="29">
        <v>76.080100000000002</v>
      </c>
      <c r="ATY4" s="29">
        <v>75.905100000000004</v>
      </c>
      <c r="ATZ4" s="29">
        <v>75.505300000000005</v>
      </c>
      <c r="AUA4" s="29">
        <v>76.252700000000004</v>
      </c>
      <c r="AUB4" s="29">
        <v>76.185400000000001</v>
      </c>
      <c r="AUC4" s="29">
        <v>75.040000000000006</v>
      </c>
      <c r="AUD4" s="29">
        <v>75.635400000000004</v>
      </c>
      <c r="AUE4" s="29">
        <v>74.856899999999996</v>
      </c>
      <c r="AUF4" s="29">
        <v>74.361500000000007</v>
      </c>
      <c r="AUG4" s="29">
        <v>73.369399999999999</v>
      </c>
      <c r="AUH4" s="29">
        <v>73.355000000000004</v>
      </c>
      <c r="AUI4" s="29">
        <v>73.724299999999999</v>
      </c>
      <c r="AUJ4" s="29">
        <v>73.973500000000001</v>
      </c>
      <c r="AUK4" s="29">
        <v>73.545299999999997</v>
      </c>
      <c r="AUL4" s="29">
        <v>73.796099999999996</v>
      </c>
      <c r="AUM4" s="29">
        <v>73.526399999999995</v>
      </c>
      <c r="AUN4" s="29">
        <v>74.266300000000001</v>
      </c>
      <c r="AUO4" s="29">
        <v>74.515699999999995</v>
      </c>
      <c r="AUP4" s="29">
        <v>73.875699999999995</v>
      </c>
      <c r="AUQ4" s="29">
        <v>73.875699999999995</v>
      </c>
      <c r="AUR4" s="29">
        <v>73.656700000000001</v>
      </c>
      <c r="AUS4" s="29">
        <v>73.717500000000001</v>
      </c>
      <c r="AUT4" s="29">
        <v>73.692099999999996</v>
      </c>
      <c r="AUU4" s="29">
        <v>74.839200000000005</v>
      </c>
      <c r="AUV4" s="29">
        <v>75.457099999999997</v>
      </c>
      <c r="AUW4" s="29">
        <v>75.349800000000002</v>
      </c>
      <c r="AUX4" s="29">
        <v>74.6721</v>
      </c>
      <c r="AUY4" s="29">
        <v>73.3155</v>
      </c>
      <c r="AUZ4" s="29">
        <v>72.978099999999998</v>
      </c>
      <c r="AVA4" s="29">
        <v>73.420100000000005</v>
      </c>
      <c r="AVB4" s="29">
        <v>73.445300000000003</v>
      </c>
      <c r="AVC4" s="29">
        <v>72.927199999999999</v>
      </c>
      <c r="AVD4" s="29">
        <v>73.119500000000002</v>
      </c>
      <c r="AVE4" s="29">
        <v>73.712400000000002</v>
      </c>
      <c r="AVF4" s="29">
        <v>73.305700000000002</v>
      </c>
      <c r="AVG4" s="29">
        <v>73.661799999999999</v>
      </c>
      <c r="AVH4" s="29">
        <v>74.250600000000006</v>
      </c>
      <c r="AVI4" s="29">
        <v>74.252899999999997</v>
      </c>
      <c r="AVJ4" s="29">
        <v>75.199600000000004</v>
      </c>
      <c r="AVK4" s="29">
        <v>75.615099999999998</v>
      </c>
      <c r="AVL4" s="29">
        <v>76.320300000000003</v>
      </c>
      <c r="AVM4" s="29">
        <v>76.1999</v>
      </c>
      <c r="AVN4" s="29">
        <v>75.859899999999996</v>
      </c>
      <c r="AVO4" s="29">
        <v>75.451800000000006</v>
      </c>
      <c r="AVP4" s="29">
        <v>75.472700000000003</v>
      </c>
      <c r="AVQ4" s="29">
        <v>75.814599999999999</v>
      </c>
      <c r="AVR4" s="29">
        <v>75.760000000000005</v>
      </c>
      <c r="AVS4" s="29">
        <v>76.012</v>
      </c>
      <c r="AVT4" s="29">
        <v>76.262699999999995</v>
      </c>
      <c r="AVU4" s="29">
        <v>75.9268</v>
      </c>
      <c r="AVV4" s="29">
        <v>76.253</v>
      </c>
      <c r="AVW4" s="29">
        <v>76.919700000000006</v>
      </c>
      <c r="AVX4" s="29">
        <v>77.3262</v>
      </c>
      <c r="AVY4" s="29">
        <v>77.114800000000002</v>
      </c>
      <c r="AVZ4" s="29">
        <v>76.207499999999996</v>
      </c>
      <c r="AWA4" s="29">
        <v>76.397800000000004</v>
      </c>
      <c r="AWB4" s="29">
        <v>76.951499999999996</v>
      </c>
      <c r="AWC4" s="29">
        <v>77.1875</v>
      </c>
      <c r="AWD4" s="29">
        <v>78.4559</v>
      </c>
      <c r="AWE4" s="29">
        <v>80.000600000000006</v>
      </c>
      <c r="AWF4" s="29">
        <v>80.5749</v>
      </c>
      <c r="AWG4" s="29">
        <v>79.332300000000004</v>
      </c>
      <c r="AWH4" s="29">
        <v>78.869900000000001</v>
      </c>
      <c r="AWI4" s="29">
        <v>77.552000000000007</v>
      </c>
      <c r="AWJ4" s="29">
        <v>76.455600000000004</v>
      </c>
      <c r="AWK4" s="29">
        <v>76.444299999999998</v>
      </c>
      <c r="AWL4" s="29">
        <v>76.466700000000003</v>
      </c>
      <c r="AWM4" s="29">
        <v>77.0809</v>
      </c>
      <c r="AWN4" s="29">
        <v>77.032200000000003</v>
      </c>
      <c r="AWO4" s="29">
        <v>77.778000000000006</v>
      </c>
      <c r="AWP4" s="29">
        <v>77.924099999999996</v>
      </c>
      <c r="AWQ4" s="29">
        <v>77.964399999999998</v>
      </c>
      <c r="AWR4" s="29">
        <v>77.946100000000001</v>
      </c>
      <c r="AWS4" s="29">
        <v>77.275899999999993</v>
      </c>
      <c r="AWT4" s="29">
        <v>77.285499999999999</v>
      </c>
      <c r="AWU4" s="29">
        <v>77.023899999999998</v>
      </c>
      <c r="AWV4" s="29">
        <v>77.028400000000005</v>
      </c>
      <c r="AWW4" s="29">
        <v>77.915700000000001</v>
      </c>
      <c r="AWX4" s="29">
        <v>78.092100000000002</v>
      </c>
      <c r="AWY4" s="29">
        <v>78.511899999999997</v>
      </c>
      <c r="AWZ4" s="29">
        <v>78.128100000000003</v>
      </c>
      <c r="AXA4" s="29">
        <v>78.091499999999996</v>
      </c>
      <c r="AXB4" s="29">
        <v>77.2774</v>
      </c>
      <c r="AXC4" s="29">
        <v>78.784700000000001</v>
      </c>
      <c r="AXD4" s="29">
        <v>79.6845</v>
      </c>
      <c r="AXE4" s="29">
        <v>78.671300000000002</v>
      </c>
      <c r="AXF4" s="29">
        <v>76.819500000000005</v>
      </c>
      <c r="AXG4" s="29">
        <v>77.177999999999997</v>
      </c>
      <c r="AXH4" s="29">
        <v>76.354500000000002</v>
      </c>
      <c r="AXI4" s="29">
        <v>76.271100000000004</v>
      </c>
      <c r="AXJ4" s="29">
        <v>76.0381</v>
      </c>
      <c r="AXK4" s="29">
        <v>75.031899999999993</v>
      </c>
      <c r="AXL4" s="29">
        <v>75.194100000000006</v>
      </c>
      <c r="AXM4" s="29">
        <v>74.927800000000005</v>
      </c>
      <c r="AXN4" s="29">
        <v>75.188400000000001</v>
      </c>
      <c r="AXO4" s="29">
        <v>74.714799999999997</v>
      </c>
      <c r="AXP4" s="29">
        <v>74.889600000000002</v>
      </c>
      <c r="AXQ4" s="29">
        <v>75.5274</v>
      </c>
      <c r="AXR4" s="29">
        <v>76.071299999999994</v>
      </c>
      <c r="AXS4" s="29">
        <v>75.964500000000001</v>
      </c>
      <c r="AXT4" s="29">
        <v>75.590999999999994</v>
      </c>
      <c r="AXU4" s="29">
        <v>75.182299999999998</v>
      </c>
      <c r="AXV4" s="29">
        <v>75.468000000000004</v>
      </c>
      <c r="AXW4" s="29">
        <v>73.858800000000002</v>
      </c>
      <c r="AXX4" s="29">
        <v>73.584900000000005</v>
      </c>
      <c r="AXY4" s="29">
        <v>73.803899999999999</v>
      </c>
      <c r="AXZ4" s="29">
        <v>74.638199999999998</v>
      </c>
      <c r="AYA4" s="29">
        <v>75.235399999999998</v>
      </c>
      <c r="AYB4" s="29">
        <v>75.537899999999993</v>
      </c>
      <c r="AYC4" s="29">
        <v>74.512600000000006</v>
      </c>
      <c r="AYD4" s="29">
        <v>74.418400000000005</v>
      </c>
      <c r="AYE4" s="29">
        <v>74.099900000000005</v>
      </c>
      <c r="AYF4" s="29">
        <v>73.771100000000004</v>
      </c>
      <c r="AYG4" s="29">
        <v>73.239199999999997</v>
      </c>
      <c r="AYH4" s="29">
        <v>73.432100000000005</v>
      </c>
      <c r="AYI4" s="29">
        <v>72.967600000000004</v>
      </c>
      <c r="AYJ4" s="29">
        <v>73.215699999999998</v>
      </c>
      <c r="AYK4" s="29">
        <v>73.606700000000004</v>
      </c>
      <c r="AYL4" s="29">
        <v>73.235100000000003</v>
      </c>
      <c r="AYM4" s="29">
        <v>73.152199999999993</v>
      </c>
      <c r="AYN4" s="29">
        <v>73.775000000000006</v>
      </c>
      <c r="AYO4" s="29">
        <v>73.637600000000006</v>
      </c>
      <c r="AYP4" s="29">
        <v>73.039699999999996</v>
      </c>
      <c r="AYQ4" s="29">
        <v>73.280600000000007</v>
      </c>
      <c r="AYR4" s="29">
        <v>73.380600000000001</v>
      </c>
      <c r="AYS4" s="29">
        <v>74.158600000000007</v>
      </c>
      <c r="AYT4" s="29">
        <v>73.426100000000005</v>
      </c>
      <c r="AYU4" s="29">
        <v>73.363299999999995</v>
      </c>
      <c r="AYV4" s="29">
        <v>72.234800000000007</v>
      </c>
      <c r="AYW4" s="29">
        <v>71.919600000000003</v>
      </c>
      <c r="AYX4" s="29">
        <v>71.584999999999994</v>
      </c>
      <c r="AYY4" s="29">
        <v>71.597399999999993</v>
      </c>
      <c r="AYZ4" s="29">
        <v>70.962999999999994</v>
      </c>
      <c r="AZA4" s="29">
        <v>70.7881</v>
      </c>
      <c r="AZB4" s="29">
        <v>70.966800000000006</v>
      </c>
      <c r="AZC4" s="29">
        <v>71.962800000000001</v>
      </c>
      <c r="AZD4" s="29">
        <v>71.713899999999995</v>
      </c>
      <c r="AZE4" s="29">
        <v>71.230999999999995</v>
      </c>
      <c r="AZF4" s="29">
        <v>70.799800000000005</v>
      </c>
      <c r="AZG4" s="29">
        <v>71.127499999999998</v>
      </c>
      <c r="AZH4" s="29">
        <v>70.747900000000001</v>
      </c>
      <c r="AZI4" s="29">
        <v>71.229799999999997</v>
      </c>
      <c r="AZJ4" s="29">
        <v>70.88</v>
      </c>
      <c r="AZK4" s="29">
        <v>71.237899999999996</v>
      </c>
      <c r="AZL4" s="29">
        <v>72.171899999999994</v>
      </c>
      <c r="AZM4" s="29">
        <v>71.340900000000005</v>
      </c>
      <c r="AZN4" s="29">
        <v>70.499899999999997</v>
      </c>
      <c r="AZO4" s="29">
        <v>70.519800000000004</v>
      </c>
      <c r="AZP4" s="29">
        <v>70.441299999999998</v>
      </c>
      <c r="AZQ4" s="29">
        <v>70.441299999999998</v>
      </c>
      <c r="AZR4" s="29">
        <v>69.951300000000003</v>
      </c>
      <c r="AZS4" s="29">
        <v>69.128399999999999</v>
      </c>
      <c r="AZT4" s="29">
        <v>69.465999999999994</v>
      </c>
      <c r="AZU4" s="29">
        <v>68.837599999999995</v>
      </c>
      <c r="AZV4" s="29">
        <v>68.837599999999995</v>
      </c>
      <c r="AZW4" s="29">
        <v>69.483500000000006</v>
      </c>
      <c r="AZX4" s="29">
        <v>69.572500000000005</v>
      </c>
      <c r="AZY4" s="29">
        <v>69.617999999999995</v>
      </c>
      <c r="AZZ4" s="29">
        <v>69.482200000000006</v>
      </c>
      <c r="BAA4" s="29">
        <v>69.752399999999994</v>
      </c>
      <c r="BAB4" s="29">
        <v>70.394999999999996</v>
      </c>
      <c r="BAC4" s="29">
        <v>69.121899999999997</v>
      </c>
      <c r="BAD4" s="29">
        <v>68.618300000000005</v>
      </c>
      <c r="BAE4" s="29">
        <v>68.674499999999995</v>
      </c>
      <c r="BAF4" s="29">
        <v>68.312299999999993</v>
      </c>
      <c r="BAG4" s="29">
        <v>68.631900000000002</v>
      </c>
      <c r="BAH4" s="29">
        <v>69.015100000000004</v>
      </c>
      <c r="BAI4" s="29">
        <v>68.341300000000004</v>
      </c>
      <c r="BAJ4" s="29">
        <v>68.983099999999993</v>
      </c>
      <c r="BAK4" s="29">
        <v>69.711399999999998</v>
      </c>
      <c r="BAL4" s="29">
        <v>70.751999999999995</v>
      </c>
      <c r="BAM4" s="29">
        <v>71.101200000000006</v>
      </c>
      <c r="BAN4" s="29">
        <v>71.063500000000005</v>
      </c>
      <c r="BAO4" s="29">
        <v>71.140799999999999</v>
      </c>
      <c r="BAP4" s="29">
        <v>71.596199999999996</v>
      </c>
      <c r="BAQ4" s="29">
        <v>71.880399999999995</v>
      </c>
      <c r="BAR4" s="29">
        <v>70.924000000000007</v>
      </c>
      <c r="BAS4" s="29">
        <v>72.338099999999997</v>
      </c>
      <c r="BAT4" s="29">
        <v>72.391800000000003</v>
      </c>
      <c r="BAU4" s="29">
        <v>72.979799999999997</v>
      </c>
      <c r="BAV4" s="29">
        <v>73.205600000000004</v>
      </c>
      <c r="BAW4" s="29">
        <v>73.9298</v>
      </c>
      <c r="BAX4" s="29">
        <v>73.581900000000005</v>
      </c>
      <c r="BAY4" s="29">
        <v>73.432599999999994</v>
      </c>
      <c r="BAZ4" s="29">
        <v>73.872500000000002</v>
      </c>
      <c r="BBA4" s="29">
        <v>74.116900000000001</v>
      </c>
      <c r="BBB4" s="29">
        <v>73.971900000000005</v>
      </c>
      <c r="BBC4" s="29">
        <v>72.726299999999995</v>
      </c>
      <c r="BBD4" s="29">
        <v>73.689400000000006</v>
      </c>
      <c r="BBE4" s="29">
        <v>74.570599999999999</v>
      </c>
      <c r="BBF4" s="29">
        <v>74.495999999999995</v>
      </c>
      <c r="BBG4" s="29">
        <v>74.716300000000004</v>
      </c>
      <c r="BBH4" s="29">
        <v>75.129000000000005</v>
      </c>
      <c r="BBI4" s="29">
        <v>77.041600000000003</v>
      </c>
      <c r="BBJ4" s="29">
        <v>76.256200000000007</v>
      </c>
      <c r="BBK4" s="29">
        <v>74.665700000000001</v>
      </c>
      <c r="BBL4" s="29">
        <v>73.944100000000006</v>
      </c>
      <c r="BBM4" s="29">
        <v>74.7119</v>
      </c>
      <c r="BBN4" s="29">
        <v>73.714500000000001</v>
      </c>
      <c r="BBO4" s="29">
        <v>73.314999999999998</v>
      </c>
      <c r="BBP4" s="29">
        <v>73.524500000000003</v>
      </c>
      <c r="BBQ4" s="29">
        <v>73.751499999999993</v>
      </c>
      <c r="BBR4" s="29">
        <v>74.605000000000004</v>
      </c>
      <c r="BBS4" s="29">
        <v>75.749899999999997</v>
      </c>
      <c r="BBT4" s="29">
        <v>75.454999999999998</v>
      </c>
      <c r="BBU4" s="29">
        <v>76.407399999999996</v>
      </c>
      <c r="BBV4" s="29">
        <v>77.732500000000002</v>
      </c>
      <c r="BBW4" s="29">
        <v>78.722300000000004</v>
      </c>
      <c r="BBX4" s="29">
        <v>77.7928</v>
      </c>
      <c r="BBY4" s="29">
        <v>78.849299999999999</v>
      </c>
      <c r="BBZ4" s="29">
        <v>80.881500000000003</v>
      </c>
      <c r="BCA4" s="29">
        <v>78.044300000000007</v>
      </c>
      <c r="BCB4" s="29">
        <v>80.156999999999996</v>
      </c>
      <c r="BCC4" s="29">
        <v>77.213099999999997</v>
      </c>
      <c r="BCD4" s="29">
        <v>73.889600000000002</v>
      </c>
      <c r="BCE4" s="29">
        <v>74.126199999999997</v>
      </c>
      <c r="BCF4" s="29">
        <v>73.188199999999995</v>
      </c>
      <c r="BCG4" s="29">
        <v>74.0274</v>
      </c>
      <c r="BCH4" s="29">
        <v>71.471999999999994</v>
      </c>
      <c r="BCI4" s="29">
        <v>72.020799999999994</v>
      </c>
      <c r="BCJ4" s="29">
        <v>67.517499999999998</v>
      </c>
      <c r="BCK4" s="29">
        <v>66.185400000000001</v>
      </c>
      <c r="BCL4" s="29">
        <v>66.078400000000002</v>
      </c>
      <c r="BCM4" s="29">
        <v>66.443700000000007</v>
      </c>
      <c r="BCN4" s="29">
        <v>66.327399999999997</v>
      </c>
      <c r="BCO4" s="29">
        <v>66.990899999999996</v>
      </c>
      <c r="BCP4" s="29">
        <v>65.609700000000004</v>
      </c>
      <c r="BCQ4" s="29">
        <v>65.517700000000005</v>
      </c>
      <c r="BCR4" s="29">
        <v>64.921300000000002</v>
      </c>
      <c r="BCS4" s="29">
        <v>64.300799999999995</v>
      </c>
      <c r="BCT4" s="29">
        <v>63.741300000000003</v>
      </c>
      <c r="BCU4" s="29">
        <v>63.6873</v>
      </c>
      <c r="BCV4" s="29">
        <v>63.769799999999996</v>
      </c>
      <c r="BCW4" s="29">
        <v>63.308500000000002</v>
      </c>
      <c r="BCX4" s="29">
        <v>63.453600000000002</v>
      </c>
      <c r="BCY4" s="29">
        <v>63.601599999999998</v>
      </c>
      <c r="BCZ4" s="29">
        <v>63.046999999999997</v>
      </c>
      <c r="BDA4" s="29">
        <v>63.948999999999998</v>
      </c>
      <c r="BDB4" s="29">
        <v>63.770800000000001</v>
      </c>
      <c r="BDC4" s="29">
        <v>63.472000000000001</v>
      </c>
      <c r="BDD4" s="29">
        <v>62.797699999999999</v>
      </c>
      <c r="BDE4" s="29">
        <v>63.174199999999999</v>
      </c>
      <c r="BDF4" s="29">
        <v>63.434199999999997</v>
      </c>
      <c r="BDG4" s="29">
        <v>63.909100000000002</v>
      </c>
      <c r="BDH4" s="29">
        <v>63.138500000000001</v>
      </c>
      <c r="BDI4" s="29">
        <v>63.035899999999998</v>
      </c>
      <c r="BDJ4" s="29">
        <v>62.3934</v>
      </c>
      <c r="BDK4" s="29">
        <v>62.829900000000002</v>
      </c>
      <c r="BDL4" s="29">
        <v>62.338000000000001</v>
      </c>
      <c r="BDM4" s="29">
        <v>61.803100000000001</v>
      </c>
      <c r="BDN4" s="29">
        <v>61.951500000000003</v>
      </c>
      <c r="BDO4" s="29">
        <v>61.834299999999999</v>
      </c>
      <c r="BDP4" s="29">
        <v>61.855200000000004</v>
      </c>
      <c r="BDQ4" s="29">
        <v>61.465400000000002</v>
      </c>
      <c r="BDR4" s="29">
        <v>61.533299999999997</v>
      </c>
      <c r="BDS4" s="29">
        <v>61.569400000000002</v>
      </c>
      <c r="BDT4" s="29">
        <v>61.4328</v>
      </c>
      <c r="BDU4" s="29">
        <v>61.414000000000001</v>
      </c>
      <c r="BDV4" s="29">
        <v>60.947400000000002</v>
      </c>
      <c r="BDW4" s="29">
        <v>61.263199999999998</v>
      </c>
      <c r="BDX4" s="29">
        <v>61.234000000000002</v>
      </c>
      <c r="BDY4" s="29">
        <v>61.905700000000003</v>
      </c>
      <c r="BDZ4" s="29">
        <v>61.905700000000003</v>
      </c>
      <c r="BEA4" s="29">
        <v>62.031500000000001</v>
      </c>
      <c r="BEB4" s="29">
        <v>61.767600000000002</v>
      </c>
      <c r="BEC4" s="29">
        <v>61.7164</v>
      </c>
      <c r="BED4" s="29">
        <v>62.167299999999997</v>
      </c>
      <c r="BEE4" s="29">
        <v>62.249899999999997</v>
      </c>
      <c r="BEF4" s="29">
        <v>62.4071</v>
      </c>
      <c r="BEG4" s="29">
        <v>62.528300000000002</v>
      </c>
      <c r="BEH4" s="29">
        <v>62.583100000000002</v>
      </c>
      <c r="BEI4" s="29">
        <v>62.532600000000002</v>
      </c>
      <c r="BEJ4" s="29">
        <v>62.768599999999999</v>
      </c>
      <c r="BEK4" s="29">
        <v>62.554400000000001</v>
      </c>
      <c r="BEL4" s="29">
        <v>63.225700000000003</v>
      </c>
      <c r="BEM4" s="29">
        <v>63.565300000000001</v>
      </c>
      <c r="BEN4" s="29">
        <v>63.578800000000001</v>
      </c>
      <c r="BEO4" s="29">
        <v>63.724400000000003</v>
      </c>
      <c r="BEP4" s="29">
        <v>63.718499999999999</v>
      </c>
      <c r="BEQ4" s="29">
        <v>63.813499999999998</v>
      </c>
      <c r="BER4" s="29">
        <v>64.194800000000001</v>
      </c>
      <c r="BES4" s="29">
        <v>64.140100000000004</v>
      </c>
      <c r="BET4" s="29">
        <v>64.409700000000001</v>
      </c>
      <c r="BEU4" s="29">
        <v>64.081699999999998</v>
      </c>
      <c r="BEV4" s="29">
        <v>64.100499999999997</v>
      </c>
      <c r="BEW4" s="29">
        <v>63.972200000000001</v>
      </c>
      <c r="BEX4" s="29">
        <v>64.023899999999998</v>
      </c>
      <c r="BEY4" s="29">
        <v>63.7637</v>
      </c>
      <c r="BEZ4" s="29">
        <v>63.710099999999997</v>
      </c>
      <c r="BFA4" s="29">
        <v>63.843000000000004</v>
      </c>
      <c r="BFB4" s="29">
        <v>64.021299999999997</v>
      </c>
      <c r="BFC4" s="29">
        <v>63.773000000000003</v>
      </c>
      <c r="BFD4" s="29">
        <v>63.754199999999997</v>
      </c>
      <c r="BFE4" s="29">
        <v>63.888100000000001</v>
      </c>
      <c r="BFF4" s="29">
        <v>64.210099999999997</v>
      </c>
      <c r="BFG4" s="29">
        <v>64.200900000000004</v>
      </c>
      <c r="BFH4" s="29">
        <v>63.853000000000002</v>
      </c>
      <c r="BFI4" s="29">
        <v>63.912100000000002</v>
      </c>
      <c r="BFJ4" s="29">
        <v>63.729500000000002</v>
      </c>
      <c r="BFK4" s="29">
        <v>63.729799999999997</v>
      </c>
      <c r="BFL4" s="29">
        <v>63.588000000000001</v>
      </c>
      <c r="BFM4" s="29">
        <v>63.247999999999998</v>
      </c>
      <c r="BFN4" s="29">
        <v>64.031599999999997</v>
      </c>
      <c r="BFO4" s="29">
        <v>63.774799999999999</v>
      </c>
      <c r="BFP4" s="29">
        <v>63.873399999999997</v>
      </c>
      <c r="BFQ4" s="29">
        <v>63.832000000000001</v>
      </c>
      <c r="BFR4" s="29">
        <v>63.87</v>
      </c>
      <c r="BFS4" s="29">
        <v>63.996600000000001</v>
      </c>
      <c r="BFT4" s="29">
        <v>63.86</v>
      </c>
      <c r="BFU4" s="29">
        <v>63.799700000000001</v>
      </c>
      <c r="BFV4" s="29">
        <v>63.633600000000001</v>
      </c>
      <c r="BFW4" s="29">
        <v>63.760599999999997</v>
      </c>
      <c r="BFX4" s="29">
        <v>63.9542</v>
      </c>
      <c r="BFY4" s="29">
        <v>64.014399999999995</v>
      </c>
      <c r="BFZ4" s="29">
        <v>64.345500000000001</v>
      </c>
      <c r="BGA4" s="29">
        <v>64.254800000000003</v>
      </c>
      <c r="BGB4" s="29">
        <v>64.365200000000002</v>
      </c>
      <c r="BGC4" s="29">
        <v>64.223699999999994</v>
      </c>
      <c r="BGD4" s="29">
        <v>64.741600000000005</v>
      </c>
      <c r="BGE4" s="29">
        <v>65.0976</v>
      </c>
      <c r="BGF4" s="29">
        <v>64.867199999999997</v>
      </c>
      <c r="BGG4" s="29">
        <v>64.825900000000004</v>
      </c>
      <c r="BGH4" s="29">
        <v>65.03</v>
      </c>
      <c r="BGI4" s="29">
        <v>65.131200000000007</v>
      </c>
      <c r="BGJ4" s="29">
        <v>65.439899999999994</v>
      </c>
      <c r="BGK4" s="29">
        <v>65.066999999999993</v>
      </c>
      <c r="BGL4" s="29">
        <v>64.640699999999995</v>
      </c>
      <c r="BGM4" s="29">
        <v>64.415599999999998</v>
      </c>
      <c r="BGN4" s="29">
        <v>64.288799999999995</v>
      </c>
      <c r="BGO4" s="29">
        <v>64.187299999999993</v>
      </c>
      <c r="BGP4" s="29">
        <v>63.706000000000003</v>
      </c>
      <c r="BGQ4" s="29">
        <v>63.945300000000003</v>
      </c>
      <c r="BGR4" s="29">
        <v>63.848700000000001</v>
      </c>
      <c r="BGS4" s="29">
        <v>64.219899999999996</v>
      </c>
      <c r="BGT4" s="29">
        <v>64.429000000000002</v>
      </c>
      <c r="BGU4" s="29">
        <v>64.121300000000005</v>
      </c>
      <c r="BGV4" s="29">
        <v>63.827199999999998</v>
      </c>
      <c r="BGW4" s="29">
        <v>64.471100000000007</v>
      </c>
      <c r="BGX4" s="29">
        <v>65.190899999999999</v>
      </c>
      <c r="BGY4" s="29">
        <v>65.432100000000005</v>
      </c>
      <c r="BGZ4" s="29">
        <v>65.439300000000003</v>
      </c>
      <c r="BHA4" s="29">
        <v>65.569800000000001</v>
      </c>
      <c r="BHB4" s="29">
        <v>65.998099999999994</v>
      </c>
      <c r="BHC4" s="29">
        <v>66.052800000000005</v>
      </c>
      <c r="BHD4" s="29">
        <v>66.500200000000007</v>
      </c>
      <c r="BHE4" s="29">
        <v>66.907200000000003</v>
      </c>
      <c r="BHF4" s="29">
        <v>66.623500000000007</v>
      </c>
      <c r="BHG4" s="29">
        <v>66.489699999999999</v>
      </c>
      <c r="BHH4" s="29">
        <v>66.747100000000003</v>
      </c>
      <c r="BHI4" s="29">
        <v>66.412700000000001</v>
      </c>
      <c r="BHJ4" s="29">
        <v>66.260800000000003</v>
      </c>
      <c r="BHK4" s="29">
        <v>65.973500000000001</v>
      </c>
      <c r="BHL4" s="29">
        <v>65.604600000000005</v>
      </c>
      <c r="BHM4" s="29">
        <v>65.619600000000005</v>
      </c>
      <c r="BHN4" s="29">
        <v>66.263000000000005</v>
      </c>
      <c r="BHO4" s="29">
        <v>66.784000000000006</v>
      </c>
      <c r="BHP4" s="29">
        <v>66.608199999999997</v>
      </c>
      <c r="BHQ4" s="29">
        <v>65.996099999999998</v>
      </c>
      <c r="BHR4" s="29">
        <v>65.890699999999995</v>
      </c>
      <c r="BHS4" s="29">
        <v>65.203199999999995</v>
      </c>
      <c r="BHT4" s="29">
        <v>65.601699999999994</v>
      </c>
      <c r="BHU4" s="29">
        <v>65.428700000000006</v>
      </c>
      <c r="BHV4" s="29">
        <v>65.254300000000001</v>
      </c>
      <c r="BHW4" s="29">
        <v>65.129900000000006</v>
      </c>
      <c r="BHX4" s="29">
        <v>65.093199999999996</v>
      </c>
      <c r="BHY4" s="29">
        <v>65.203000000000003</v>
      </c>
      <c r="BHZ4" s="29">
        <v>65.054599999999994</v>
      </c>
      <c r="BIA4" s="29">
        <v>64.642300000000006</v>
      </c>
      <c r="BIB4" s="29">
        <v>63.834000000000003</v>
      </c>
      <c r="BIC4" s="29">
        <v>63.417200000000001</v>
      </c>
      <c r="BID4" s="29">
        <v>63.379100000000001</v>
      </c>
      <c r="BIE4" s="29">
        <v>63.521000000000001</v>
      </c>
      <c r="BIF4" s="29">
        <v>63.127099999999999</v>
      </c>
      <c r="BIG4" s="29">
        <v>63.157200000000003</v>
      </c>
      <c r="BIH4" s="29">
        <v>63.116199999999999</v>
      </c>
      <c r="BII4" s="29">
        <v>63.128999999999998</v>
      </c>
      <c r="BIJ4" s="29">
        <v>62.977600000000002</v>
      </c>
      <c r="BIK4" s="29">
        <v>62.866599999999998</v>
      </c>
      <c r="BIL4" s="29">
        <v>62.828600000000002</v>
      </c>
      <c r="BIM4" s="29">
        <v>62.945099999999996</v>
      </c>
      <c r="BIN4" s="29">
        <v>62.812899999999999</v>
      </c>
      <c r="BIO4" s="29">
        <v>62.828000000000003</v>
      </c>
      <c r="BIP4" s="29">
        <v>63.020400000000002</v>
      </c>
      <c r="BIQ4" s="29">
        <v>62.994399999999999</v>
      </c>
      <c r="BIR4" s="29">
        <v>63.7988</v>
      </c>
      <c r="BIS4" s="29">
        <v>63.765999999999998</v>
      </c>
      <c r="BIT4" s="29">
        <v>63.869900000000001</v>
      </c>
      <c r="BIU4" s="29">
        <v>63.584099999999999</v>
      </c>
      <c r="BIV4" s="29">
        <v>63.401299999999999</v>
      </c>
      <c r="BIW4" s="29">
        <v>63.495100000000001</v>
      </c>
      <c r="BIX4" s="29">
        <v>63.226500000000001</v>
      </c>
      <c r="BIY4" s="29">
        <v>63.054099999999998</v>
      </c>
      <c r="BIZ4" s="29">
        <v>63.075600000000001</v>
      </c>
      <c r="BJA4" s="29">
        <v>63.045200000000001</v>
      </c>
      <c r="BJB4" s="29">
        <v>62.808300000000003</v>
      </c>
      <c r="BJC4" s="29">
        <v>62.5229</v>
      </c>
      <c r="BJD4" s="29">
        <v>62.909500000000001</v>
      </c>
      <c r="BJE4" s="29">
        <v>63.1295</v>
      </c>
      <c r="BJF4" s="29">
        <v>63.387700000000002</v>
      </c>
      <c r="BJG4" s="29">
        <v>63.979399999999998</v>
      </c>
      <c r="BJH4" s="29">
        <v>64.3352</v>
      </c>
      <c r="BJI4" s="29">
        <v>64.318700000000007</v>
      </c>
      <c r="BJJ4" s="29">
        <v>64.432599999999994</v>
      </c>
      <c r="BJK4" s="29">
        <v>64.631399999999999</v>
      </c>
      <c r="BJL4" s="29">
        <v>64.515799999999999</v>
      </c>
      <c r="BJM4" s="29">
        <v>64.791899999999998</v>
      </c>
      <c r="BJN4" s="29">
        <v>65.039500000000004</v>
      </c>
      <c r="BJO4" s="29">
        <v>65.233999999999995</v>
      </c>
      <c r="BJP4" s="29">
        <v>65.124300000000005</v>
      </c>
      <c r="BJQ4" s="29">
        <v>65.1614</v>
      </c>
      <c r="BJR4" s="29">
        <v>65.554699999999997</v>
      </c>
      <c r="BJS4" s="29">
        <v>65.383399999999995</v>
      </c>
      <c r="BJT4" s="29">
        <v>65.058300000000003</v>
      </c>
      <c r="BJU4" s="29">
        <v>64.9084</v>
      </c>
      <c r="BJV4" s="29">
        <v>64.539400000000001</v>
      </c>
      <c r="BJW4" s="29">
        <v>64.4636</v>
      </c>
      <c r="BJX4" s="29">
        <v>64.610600000000005</v>
      </c>
      <c r="BJY4" s="29">
        <v>64.491299999999995</v>
      </c>
      <c r="BJZ4" s="29">
        <v>64.415599999999998</v>
      </c>
      <c r="BKA4" s="29">
        <v>64.537199999999999</v>
      </c>
      <c r="BKB4" s="29">
        <v>64.488799999999998</v>
      </c>
      <c r="BKC4" s="29">
        <v>64.6327</v>
      </c>
      <c r="BKD4" s="29">
        <v>64.559799999999996</v>
      </c>
      <c r="BKE4" s="29">
        <v>64.8489</v>
      </c>
      <c r="BKF4" s="29">
        <v>65.3001</v>
      </c>
      <c r="BKG4" s="29">
        <v>65.470299999999995</v>
      </c>
      <c r="BKH4" s="29">
        <v>65.228700000000003</v>
      </c>
      <c r="BKI4" s="29">
        <v>65.2166</v>
      </c>
      <c r="BKJ4" s="29">
        <v>65.334999999999994</v>
      </c>
      <c r="BKK4" s="29">
        <v>64.631399999999999</v>
      </c>
      <c r="BKL4" s="29">
        <v>64.691699999999997</v>
      </c>
      <c r="BKM4" s="29">
        <v>64.705299999999994</v>
      </c>
      <c r="BKN4" s="29">
        <v>64.679400000000001</v>
      </c>
      <c r="BKO4" s="29">
        <v>63.979799999999997</v>
      </c>
      <c r="BKP4" s="29">
        <v>63.790599999999998</v>
      </c>
      <c r="BKQ4" s="29">
        <v>63.786000000000001</v>
      </c>
      <c r="BKR4" s="29">
        <v>63.9602</v>
      </c>
      <c r="BKS4" s="29">
        <v>64.068799999999996</v>
      </c>
      <c r="BKT4" s="29">
        <v>63.945</v>
      </c>
      <c r="BKU4" s="29">
        <v>64.242199999999997</v>
      </c>
      <c r="BKV4" s="29">
        <v>64.246899999999997</v>
      </c>
      <c r="BKW4" s="29">
        <v>64.517099999999999</v>
      </c>
      <c r="BKX4" s="29">
        <v>64.399100000000004</v>
      </c>
      <c r="BKY4" s="29">
        <v>64.737300000000005</v>
      </c>
      <c r="BKZ4" s="29">
        <v>64.776600000000002</v>
      </c>
      <c r="BLA4" s="29">
        <v>65.349800000000002</v>
      </c>
      <c r="BLB4" s="29">
        <v>65.407200000000003</v>
      </c>
      <c r="BLC4" s="29">
        <v>65.328100000000006</v>
      </c>
      <c r="BLD4" s="29">
        <v>65.163899999999998</v>
      </c>
      <c r="BLE4" s="29">
        <v>65.4726</v>
      </c>
      <c r="BLF4" s="29">
        <v>65.417599999999993</v>
      </c>
      <c r="BLG4" s="29">
        <v>64.734700000000004</v>
      </c>
      <c r="BLH4" s="29">
        <v>64.801199999999994</v>
      </c>
      <c r="BLI4" s="29">
        <v>64.592500000000001</v>
      </c>
      <c r="BLJ4" s="29">
        <v>64.168300000000002</v>
      </c>
      <c r="BLK4" s="29">
        <v>64.499300000000005</v>
      </c>
      <c r="BLL4" s="29">
        <v>63.770499999999998</v>
      </c>
      <c r="BLM4" s="29">
        <v>63.741999999999997</v>
      </c>
      <c r="BLN4" s="29">
        <v>64.280299999999997</v>
      </c>
      <c r="BLO4" s="29">
        <v>64.316699999999997</v>
      </c>
      <c r="BLP4" s="29">
        <v>64.669399999999996</v>
      </c>
      <c r="BLQ4" s="29">
        <v>65.420100000000005</v>
      </c>
      <c r="BLR4" s="29">
        <v>65.402100000000004</v>
      </c>
      <c r="BLS4" s="29">
        <v>65.588999999999999</v>
      </c>
      <c r="BLT4" s="29">
        <v>65.767399999999995</v>
      </c>
      <c r="BLU4" s="29">
        <v>66.076300000000003</v>
      </c>
      <c r="BLV4" s="29">
        <v>65.964600000000004</v>
      </c>
      <c r="BLW4" s="29">
        <v>65.843000000000004</v>
      </c>
      <c r="BLX4" s="29">
        <v>65.800399999999996</v>
      </c>
      <c r="BLY4" s="29">
        <v>65.795599999999993</v>
      </c>
      <c r="BLZ4" s="29">
        <v>65.814499999999995</v>
      </c>
      <c r="BMA4" s="29">
        <v>65.889499999999998</v>
      </c>
      <c r="BMB4" s="29">
        <v>65.757000000000005</v>
      </c>
      <c r="BMC4" s="29">
        <v>65.618200000000002</v>
      </c>
      <c r="BMD4" s="29">
        <v>65.258200000000002</v>
      </c>
      <c r="BME4" s="29">
        <v>65.514899999999997</v>
      </c>
      <c r="BMF4" s="29">
        <v>65.540099999999995</v>
      </c>
      <c r="BMG4" s="29">
        <v>65.856800000000007</v>
      </c>
      <c r="BMH4" s="29">
        <v>66.202200000000005</v>
      </c>
      <c r="BMI4" s="29">
        <v>66.247</v>
      </c>
      <c r="BMJ4" s="29">
        <v>66.704400000000007</v>
      </c>
      <c r="BMK4" s="29">
        <v>66.542900000000003</v>
      </c>
      <c r="BML4" s="29">
        <v>65.678299999999993</v>
      </c>
      <c r="BMM4" s="29">
        <v>65.714699999999993</v>
      </c>
      <c r="BMN4" s="29">
        <v>65.651700000000005</v>
      </c>
      <c r="BMO4" s="29">
        <v>66.062799999999996</v>
      </c>
      <c r="BMP4" s="29">
        <v>66.019900000000007</v>
      </c>
      <c r="BMQ4" s="29">
        <v>65.668599999999998</v>
      </c>
      <c r="BMR4" s="29">
        <v>65.569100000000006</v>
      </c>
      <c r="BMS4" s="29">
        <v>65.585899999999995</v>
      </c>
      <c r="BMT4" s="29">
        <v>65.6601</v>
      </c>
      <c r="BMU4" s="29">
        <v>65.357699999999994</v>
      </c>
      <c r="BMV4" s="29">
        <v>66.098699999999994</v>
      </c>
      <c r="BMW4" s="29">
        <v>66.341200000000001</v>
      </c>
      <c r="BMX4" s="29">
        <v>65.930000000000007</v>
      </c>
      <c r="BMY4" s="29">
        <v>65.917000000000002</v>
      </c>
      <c r="BMZ4" s="29">
        <v>66.001599999999996</v>
      </c>
      <c r="BNA4" s="29">
        <v>66.331800000000001</v>
      </c>
      <c r="BNB4" s="29">
        <v>66.549899999999994</v>
      </c>
      <c r="BNC4" s="29">
        <v>66.363399999999999</v>
      </c>
      <c r="BND4" s="29">
        <v>66.3309</v>
      </c>
      <c r="BNE4" s="29">
        <v>66.443799999999996</v>
      </c>
      <c r="BNF4" s="29">
        <v>66.761700000000005</v>
      </c>
      <c r="BNG4" s="29">
        <v>67.081999999999994</v>
      </c>
      <c r="BNH4" s="29">
        <v>67.191999999999993</v>
      </c>
      <c r="BNI4" s="29">
        <v>66.916700000000006</v>
      </c>
      <c r="BNJ4" s="29">
        <v>66.860500000000002</v>
      </c>
      <c r="BNK4" s="29">
        <v>67.079499999999996</v>
      </c>
      <c r="BNL4" s="29">
        <v>69.470600000000005</v>
      </c>
      <c r="BNM4" s="29">
        <v>69.521799999999999</v>
      </c>
      <c r="BNN4" s="29">
        <v>68.876199999999997</v>
      </c>
      <c r="BNO4" s="29">
        <v>68.886499999999998</v>
      </c>
      <c r="BNP4" s="29">
        <v>68.744799999999998</v>
      </c>
      <c r="BNQ4" s="29">
        <v>68.407300000000006</v>
      </c>
      <c r="BNR4" s="29">
        <v>68.008499999999998</v>
      </c>
      <c r="BNS4" s="29">
        <v>67.370999999999995</v>
      </c>
      <c r="BNT4" s="29">
        <v>67.112099999999998</v>
      </c>
      <c r="BNU4" s="29">
        <v>66.745400000000004</v>
      </c>
      <c r="BNV4" s="29">
        <v>66.620800000000003</v>
      </c>
      <c r="BNW4" s="29">
        <v>66.433700000000002</v>
      </c>
      <c r="BNX4" s="29">
        <v>66.254999999999995</v>
      </c>
      <c r="BNY4" s="29">
        <v>66.422499999999999</v>
      </c>
      <c r="BNZ4" s="29">
        <v>66.502200000000002</v>
      </c>
      <c r="BOA4" s="29">
        <v>66.241600000000005</v>
      </c>
      <c r="BOB4" s="29">
        <v>66.922700000000006</v>
      </c>
      <c r="BOC4" s="29">
        <v>66.737700000000004</v>
      </c>
      <c r="BOD4" s="29">
        <v>66.824200000000005</v>
      </c>
      <c r="BOE4" s="29">
        <v>66.446700000000007</v>
      </c>
      <c r="BOF4" s="29">
        <v>66.292100000000005</v>
      </c>
      <c r="BOG4" s="29">
        <v>66.533500000000004</v>
      </c>
      <c r="BOH4" s="29">
        <v>66.634200000000007</v>
      </c>
      <c r="BOI4" s="29">
        <v>66.943600000000004</v>
      </c>
      <c r="BOJ4" s="29">
        <v>66.78</v>
      </c>
      <c r="BOK4" s="29">
        <v>66.507199999999997</v>
      </c>
      <c r="BOL4" s="29">
        <v>65.666399999999996</v>
      </c>
      <c r="BOM4" s="29">
        <v>65.606700000000004</v>
      </c>
      <c r="BON4" s="29">
        <v>65.948499999999996</v>
      </c>
      <c r="BOO4" s="29">
        <v>65.587100000000007</v>
      </c>
      <c r="BOP4" s="29">
        <v>66.008099999999999</v>
      </c>
      <c r="BOQ4" s="29">
        <v>65.993099999999998</v>
      </c>
      <c r="BOR4" s="29">
        <v>66.615899999999996</v>
      </c>
      <c r="BOS4" s="29">
        <v>67.997500000000002</v>
      </c>
      <c r="BOT4" s="29">
        <v>67.681200000000004</v>
      </c>
      <c r="BOU4" s="29">
        <v>67.523799999999994</v>
      </c>
      <c r="BOV4" s="29">
        <v>66.849699999999999</v>
      </c>
      <c r="BOW4" s="29">
        <v>66.215500000000006</v>
      </c>
      <c r="BOX4" s="29">
        <v>66.091800000000006</v>
      </c>
      <c r="BOY4" s="29">
        <v>65.991200000000006</v>
      </c>
      <c r="BOZ4" s="29">
        <v>65.579899999999995</v>
      </c>
      <c r="BPA4" s="29">
        <v>65.651700000000005</v>
      </c>
      <c r="BPB4" s="29">
        <v>65.596199999999996</v>
      </c>
      <c r="BPC4" s="29">
        <v>65.774199999999993</v>
      </c>
      <c r="BPD4" s="29">
        <v>65.812899999999999</v>
      </c>
      <c r="BPE4" s="29">
        <v>65.634500000000003</v>
      </c>
      <c r="BPF4" s="29">
        <v>65.747600000000006</v>
      </c>
      <c r="BPG4" s="29">
        <v>65.629900000000006</v>
      </c>
      <c r="BPH4" s="29">
        <v>65.310100000000006</v>
      </c>
      <c r="BPI4" s="29">
        <v>65.3065</v>
      </c>
      <c r="BPJ4" s="29">
        <v>65.813999999999993</v>
      </c>
      <c r="BPK4" s="29">
        <v>65.723799999999997</v>
      </c>
      <c r="BPL4" s="29">
        <v>65.402600000000007</v>
      </c>
      <c r="BPM4" s="29">
        <v>65.530500000000004</v>
      </c>
      <c r="BPN4" s="29">
        <v>65.750799999999998</v>
      </c>
      <c r="BPO4" s="29">
        <v>65.975099999999998</v>
      </c>
      <c r="BPP4" s="29">
        <v>66.7727</v>
      </c>
      <c r="BPQ4" s="29">
        <v>66.183199999999999</v>
      </c>
      <c r="BPR4" s="29">
        <v>66.403199999999998</v>
      </c>
      <c r="BPS4" s="29">
        <v>66.968500000000006</v>
      </c>
      <c r="BPT4" s="29">
        <v>66.626999999999995</v>
      </c>
      <c r="BPU4" s="29">
        <v>66.211500000000001</v>
      </c>
      <c r="BPV4" s="29">
        <v>65.424400000000006</v>
      </c>
      <c r="BPW4" s="29">
        <v>65.222099999999998</v>
      </c>
      <c r="BPX4" s="29">
        <v>65.5745</v>
      </c>
      <c r="BPY4" s="29">
        <v>65.590599999999995</v>
      </c>
      <c r="BPZ4" s="29">
        <v>65.835499999999996</v>
      </c>
      <c r="BQA4" s="29">
        <v>65.758499999999998</v>
      </c>
      <c r="BQB4" s="29">
        <v>65.824399999999997</v>
      </c>
      <c r="BQC4" s="29">
        <v>66.159400000000005</v>
      </c>
      <c r="BQD4" s="29">
        <v>66.249700000000004</v>
      </c>
      <c r="BQE4" s="29">
        <v>66.472499999999997</v>
      </c>
      <c r="BQF4" s="29">
        <v>67.009799999999998</v>
      </c>
      <c r="BQG4" s="29">
        <v>67.751900000000006</v>
      </c>
      <c r="BQH4" s="29">
        <v>68.195800000000006</v>
      </c>
      <c r="BQI4" s="29">
        <v>68.282600000000002</v>
      </c>
      <c r="BQJ4" s="29">
        <v>68.637</v>
      </c>
      <c r="BQK4" s="29">
        <v>69.572800000000001</v>
      </c>
      <c r="BQL4" s="29">
        <v>69.974400000000003</v>
      </c>
      <c r="BQM4" s="29">
        <v>69.868499999999997</v>
      </c>
      <c r="BQN4" s="29">
        <v>69.028599999999997</v>
      </c>
      <c r="BQO4" s="29">
        <v>68.250500000000002</v>
      </c>
      <c r="BQP4" s="29">
        <v>68.462800000000001</v>
      </c>
      <c r="BQQ4" s="29">
        <v>68.273700000000005</v>
      </c>
      <c r="BQR4" s="29">
        <v>67.744299999999996</v>
      </c>
      <c r="BQS4" s="29">
        <v>68.044700000000006</v>
      </c>
      <c r="BQT4" s="29">
        <v>68.082099999999997</v>
      </c>
      <c r="BQU4" s="29">
        <v>68.145099999999999</v>
      </c>
      <c r="BQV4" s="29">
        <v>67.391099999999994</v>
      </c>
      <c r="BQW4" s="29">
        <v>67.396299999999997</v>
      </c>
      <c r="BQX4" s="29">
        <v>67.7911</v>
      </c>
      <c r="BQY4" s="29">
        <v>68.525899999999993</v>
      </c>
      <c r="BQZ4" s="29">
        <v>67.616299999999995</v>
      </c>
      <c r="BRA4" s="29">
        <v>67.178299999999993</v>
      </c>
      <c r="BRB4" s="29">
        <v>67.180700000000002</v>
      </c>
      <c r="BRC4" s="29">
        <v>66.875699999999995</v>
      </c>
      <c r="BRD4" s="29">
        <v>66.893199999999993</v>
      </c>
      <c r="BRE4" s="29">
        <v>66.377200000000002</v>
      </c>
      <c r="BRF4" s="29">
        <v>66.753500000000003</v>
      </c>
      <c r="BRG4" s="29">
        <v>68.223399999999998</v>
      </c>
      <c r="BRH4" s="29">
        <v>66.907499999999999</v>
      </c>
      <c r="BRI4" s="29">
        <v>66.285600000000002</v>
      </c>
      <c r="BRJ4" s="29">
        <v>63.594999999999999</v>
      </c>
      <c r="BRK4" s="29">
        <v>63.542499999999997</v>
      </c>
      <c r="BRL4" s="29">
        <v>63.497500000000002</v>
      </c>
      <c r="BRM4" s="29">
        <v>63.454900000000002</v>
      </c>
      <c r="BRN4" s="29">
        <v>63.135800000000003</v>
      </c>
      <c r="BRO4" s="29">
        <v>62.558999999999997</v>
      </c>
      <c r="BRP4" s="29">
        <v>62.349699999999999</v>
      </c>
      <c r="BRQ4" s="29">
        <v>62.780500000000004</v>
      </c>
      <c r="BRR4" s="29">
        <v>62.9726</v>
      </c>
      <c r="BRS4" s="29">
        <v>62.947099999999999</v>
      </c>
      <c r="BRT4" s="29">
        <v>63.083599999999997</v>
      </c>
      <c r="BRU4" s="29">
        <v>62.923499999999997</v>
      </c>
      <c r="BRV4" s="29">
        <v>63.195700000000002</v>
      </c>
      <c r="BRW4" s="29">
        <v>63.488799999999998</v>
      </c>
      <c r="BRX4" s="29">
        <v>63.2746</v>
      </c>
      <c r="BRY4" s="29">
        <v>62.900599999999997</v>
      </c>
      <c r="BRZ4" s="29">
        <v>62.435200000000002</v>
      </c>
      <c r="BSA4" s="29">
        <v>62.255600000000001</v>
      </c>
      <c r="BSB4" s="29">
        <v>62.293399999999998</v>
      </c>
      <c r="BSC4" s="29">
        <v>62.206200000000003</v>
      </c>
      <c r="BSD4" s="29">
        <v>62.097999999999999</v>
      </c>
      <c r="BSE4" s="29">
        <v>62.444200000000002</v>
      </c>
      <c r="BSF4" s="29">
        <v>62.833799999999997</v>
      </c>
      <c r="BSG4" s="29">
        <v>63.121600000000001</v>
      </c>
      <c r="BSH4" s="29">
        <v>63.260399999999997</v>
      </c>
      <c r="BSI4" s="29">
        <v>63.226700000000001</v>
      </c>
      <c r="BSJ4" s="29">
        <v>63.2194</v>
      </c>
      <c r="BSK4" s="29">
        <v>63.139400000000002</v>
      </c>
      <c r="BSL4" s="29">
        <v>62.756500000000003</v>
      </c>
      <c r="BSM4" s="29">
        <v>63.290999999999997</v>
      </c>
      <c r="BSN4" s="29">
        <v>63.135899999999999</v>
      </c>
      <c r="BSO4" s="29">
        <v>62.790799999999997</v>
      </c>
      <c r="BSP4" s="29">
        <v>62.9497</v>
      </c>
      <c r="BSQ4" s="29">
        <v>63.239600000000003</v>
      </c>
      <c r="BSR4" s="29">
        <v>63.787300000000002</v>
      </c>
      <c r="BSS4" s="29">
        <v>63.6175</v>
      </c>
      <c r="BST4" s="29">
        <v>64.068299999999994</v>
      </c>
      <c r="BSU4" s="29">
        <v>63.483800000000002</v>
      </c>
      <c r="BSV4" s="29">
        <v>62.685099999999998</v>
      </c>
      <c r="BSW4" s="29">
        <v>62.251100000000001</v>
      </c>
      <c r="BSX4" s="29">
        <v>63.116399999999999</v>
      </c>
      <c r="BSY4" s="29">
        <v>62.3431</v>
      </c>
      <c r="BSZ4" s="29">
        <v>62.667999999999999</v>
      </c>
      <c r="BTA4" s="29">
        <v>61.8125</v>
      </c>
      <c r="BTB4" s="29">
        <v>62.006399999999999</v>
      </c>
      <c r="BTC4" s="29">
        <v>61.982199999999999</v>
      </c>
      <c r="BTD4" s="29">
        <v>61.929000000000002</v>
      </c>
      <c r="BTE4" s="29">
        <v>62.205599999999997</v>
      </c>
      <c r="BTF4" s="29">
        <v>62.018799999999999</v>
      </c>
      <c r="BTG4" s="29">
        <v>62.593699999999998</v>
      </c>
      <c r="BTH4" s="29">
        <v>62.642000000000003</v>
      </c>
      <c r="BTI4" s="29">
        <v>62.271000000000001</v>
      </c>
      <c r="BTJ4" s="29">
        <v>61.665900000000001</v>
      </c>
      <c r="BTK4" s="29">
        <v>61.408999999999999</v>
      </c>
      <c r="BTL4" s="29">
        <v>61.594499999999996</v>
      </c>
      <c r="BTM4" s="29">
        <v>61.261000000000003</v>
      </c>
      <c r="BTN4" s="29">
        <v>62.532699999999998</v>
      </c>
      <c r="BTO4" s="29">
        <v>61.940800000000003</v>
      </c>
      <c r="BTP4" s="29">
        <v>61.8215</v>
      </c>
      <c r="BTQ4" s="29">
        <v>62.3033</v>
      </c>
      <c r="BTR4" s="29">
        <v>61.916400000000003</v>
      </c>
      <c r="BTS4" s="29">
        <v>61.7684</v>
      </c>
      <c r="BTT4" s="29">
        <v>61.735399999999998</v>
      </c>
      <c r="BTU4" s="29">
        <v>62.5229</v>
      </c>
      <c r="BTV4" s="29">
        <v>63.006599999999999</v>
      </c>
      <c r="BTW4" s="29">
        <v>62.714799999999997</v>
      </c>
      <c r="BTX4" s="29">
        <v>63.2012</v>
      </c>
      <c r="BTY4" s="29">
        <v>63.485999999999997</v>
      </c>
      <c r="BTZ4" s="29">
        <v>61.999699999999997</v>
      </c>
      <c r="BUA4" s="29">
        <v>62.725999999999999</v>
      </c>
      <c r="BUB4" s="29">
        <v>62.602699999999999</v>
      </c>
      <c r="BUC4" s="29">
        <v>61.749400000000001</v>
      </c>
      <c r="BUD4" s="29">
        <v>61.664400000000001</v>
      </c>
      <c r="BUE4" s="29">
        <v>61.765500000000003</v>
      </c>
      <c r="BUF4" s="29">
        <v>61.322200000000002</v>
      </c>
      <c r="BUG4" s="29">
        <v>60.8583</v>
      </c>
      <c r="BUH4" s="29">
        <v>61.553899999999999</v>
      </c>
      <c r="BUI4" s="29">
        <v>61.145400000000002</v>
      </c>
      <c r="BUJ4" s="29">
        <v>62.279400000000003</v>
      </c>
      <c r="BUK4" s="29">
        <v>61.431100000000001</v>
      </c>
      <c r="BUL4" s="29">
        <v>62.065899999999999</v>
      </c>
      <c r="BUM4" s="29">
        <v>64.062600000000003</v>
      </c>
      <c r="BUN4" s="29">
        <v>62.369900000000001</v>
      </c>
      <c r="BUO4" s="29">
        <v>58.571399999999997</v>
      </c>
      <c r="BUP4" s="29">
        <v>57.833199999999998</v>
      </c>
      <c r="BUQ4" s="29">
        <v>57.579599999999999</v>
      </c>
      <c r="BUR4" s="29">
        <v>57.764600000000002</v>
      </c>
      <c r="BUS4" s="29">
        <v>57.537500000000001</v>
      </c>
      <c r="BUT4" s="29">
        <v>57.284999999999997</v>
      </c>
      <c r="BUU4" s="29">
        <v>57.264899999999997</v>
      </c>
      <c r="BUV4" s="29">
        <v>57.762599999999999</v>
      </c>
      <c r="BUW4" s="29">
        <v>57.559800000000003</v>
      </c>
      <c r="BUX4" s="29">
        <v>57.174700000000001</v>
      </c>
      <c r="BUY4" s="29">
        <v>57.003900000000002</v>
      </c>
      <c r="BUZ4" s="29">
        <v>57.107199999999999</v>
      </c>
      <c r="BVA4" s="29">
        <v>56.839100000000002</v>
      </c>
      <c r="BVB4" s="29">
        <v>57.495399999999997</v>
      </c>
      <c r="BVC4" s="29">
        <v>57.703299999999999</v>
      </c>
      <c r="BVD4" s="29">
        <v>57.552100000000003</v>
      </c>
      <c r="BVE4" s="29">
        <v>57.494199999999999</v>
      </c>
      <c r="BVF4" s="29">
        <v>57.018799999999999</v>
      </c>
      <c r="BVG4" s="29">
        <v>56.937199999999997</v>
      </c>
      <c r="BVH4" s="29">
        <v>56.935899999999997</v>
      </c>
      <c r="BVI4" s="29">
        <v>56.612200000000001</v>
      </c>
      <c r="BVJ4" s="29">
        <v>56.801099999999998</v>
      </c>
      <c r="BVK4" s="29">
        <v>56.504100000000001</v>
      </c>
      <c r="BVL4" s="29">
        <v>57.1</v>
      </c>
      <c r="BVM4" s="29">
        <v>56.6616</v>
      </c>
      <c r="BVN4" s="29">
        <v>56.433399999999999</v>
      </c>
      <c r="BVO4" s="29">
        <v>56.374200000000002</v>
      </c>
      <c r="BVP4" s="29">
        <v>55.671700000000001</v>
      </c>
      <c r="BVQ4" s="29">
        <v>55.9208</v>
      </c>
      <c r="BVR4" s="29">
        <v>56.760800000000003</v>
      </c>
      <c r="BVS4" s="29">
        <v>56.653700000000001</v>
      </c>
      <c r="BVT4" s="29">
        <v>56.520099999999999</v>
      </c>
      <c r="BVU4" s="29">
        <v>56.343800000000002</v>
      </c>
      <c r="BVV4" s="29">
        <v>56.355400000000003</v>
      </c>
      <c r="BVW4" s="29">
        <v>56.591799999999999</v>
      </c>
      <c r="BVX4" s="29">
        <v>57.5899</v>
      </c>
      <c r="BVY4" s="29">
        <v>57.770099999999999</v>
      </c>
      <c r="BVZ4" s="29">
        <v>58.017099999999999</v>
      </c>
      <c r="BWA4" s="29">
        <v>58.171799999999998</v>
      </c>
      <c r="BWB4" s="29">
        <v>57.6736</v>
      </c>
      <c r="BWC4" s="29">
        <v>56.953299999999999</v>
      </c>
      <c r="BWD4" s="29">
        <v>57.2196</v>
      </c>
      <c r="BWE4" s="29">
        <v>56.627800000000001</v>
      </c>
      <c r="BWF4" s="29">
        <v>56.040799999999997</v>
      </c>
      <c r="BWG4" s="29">
        <v>56.261299999999999</v>
      </c>
      <c r="BWH4" s="29">
        <v>56.183999999999997</v>
      </c>
      <c r="BWI4" s="29">
        <v>56.291400000000003</v>
      </c>
      <c r="BWJ4" s="29">
        <v>56.290799999999997</v>
      </c>
      <c r="BWK4" s="29">
        <v>55.828800000000001</v>
      </c>
      <c r="BWL4" s="29">
        <v>55.928800000000003</v>
      </c>
      <c r="BWM4" s="29">
        <v>56.388800000000003</v>
      </c>
      <c r="BWN4" s="29">
        <v>56.411499999999997</v>
      </c>
      <c r="BWO4" s="29">
        <v>56.626100000000001</v>
      </c>
      <c r="BWP4" s="29">
        <v>56.589199999999998</v>
      </c>
      <c r="BWQ4" s="29">
        <v>56.759700000000002</v>
      </c>
      <c r="BWR4" s="29">
        <v>56.592500000000001</v>
      </c>
      <c r="BWS4" s="29">
        <v>56.387799999999999</v>
      </c>
      <c r="BWT4" s="29">
        <v>56.356900000000003</v>
      </c>
      <c r="BWU4" s="29">
        <v>56.601900000000001</v>
      </c>
      <c r="BWV4" s="29">
        <v>56.995699999999999</v>
      </c>
      <c r="BWW4" s="29">
        <v>56.873399999999997</v>
      </c>
      <c r="BWX4" s="29">
        <v>57.046300000000002</v>
      </c>
      <c r="BWY4" s="29">
        <v>57.600200000000001</v>
      </c>
      <c r="BWZ4" s="29">
        <v>57.629100000000001</v>
      </c>
      <c r="BXA4" s="29">
        <v>57.4544</v>
      </c>
      <c r="BXB4" s="29">
        <v>57.734299999999998</v>
      </c>
      <c r="BXC4" s="29">
        <v>58.198900000000002</v>
      </c>
      <c r="BXD4" s="29">
        <v>58.315199999999997</v>
      </c>
      <c r="BXE4" s="29">
        <v>58.559600000000003</v>
      </c>
      <c r="BXF4" s="29">
        <v>58.716999999999999</v>
      </c>
      <c r="BXG4" s="29">
        <v>58.611699999999999</v>
      </c>
      <c r="BXH4" s="29">
        <v>58.694000000000003</v>
      </c>
      <c r="BXI4" s="29">
        <v>58.898699999999998</v>
      </c>
      <c r="BXJ4" s="29">
        <v>58.708199999999998</v>
      </c>
      <c r="BXK4" s="29">
        <v>59.144599999999997</v>
      </c>
      <c r="BXL4" s="29">
        <v>58.837000000000003</v>
      </c>
      <c r="BXM4" s="29">
        <v>59.2348</v>
      </c>
      <c r="BXN4" s="29">
        <v>59.281100000000002</v>
      </c>
      <c r="BXO4" s="29">
        <v>59.294800000000002</v>
      </c>
      <c r="BXP4" s="29">
        <v>58.928100000000001</v>
      </c>
      <c r="BXQ4" s="29">
        <v>58.692399999999999</v>
      </c>
      <c r="BXR4" s="29">
        <v>58.991100000000003</v>
      </c>
      <c r="BXS4" s="29">
        <v>58.5182</v>
      </c>
      <c r="BXT4" s="29">
        <v>58.581400000000002</v>
      </c>
      <c r="BXU4" s="29">
        <v>58.331099999999999</v>
      </c>
      <c r="BXV4" s="29">
        <v>58.412500000000001</v>
      </c>
      <c r="BXW4" s="29">
        <v>58.277299999999997</v>
      </c>
      <c r="BXX4" s="29">
        <v>58.531799999999997</v>
      </c>
      <c r="BXY4" s="29">
        <v>58.462200000000003</v>
      </c>
      <c r="BXZ4" s="29">
        <v>59.006100000000004</v>
      </c>
      <c r="BYA4" s="29">
        <v>59.4604</v>
      </c>
      <c r="BYB4" s="29">
        <v>59.2746</v>
      </c>
      <c r="BYC4" s="29">
        <v>59.6325</v>
      </c>
      <c r="BYD4" s="29">
        <v>59.989800000000002</v>
      </c>
      <c r="BYE4" s="29">
        <v>60.249000000000002</v>
      </c>
      <c r="BYF4" s="29">
        <v>59.620699999999999</v>
      </c>
      <c r="BYG4" s="29">
        <v>59.182299999999998</v>
      </c>
      <c r="BYH4" s="29">
        <v>59.280799999999999</v>
      </c>
      <c r="BYI4" s="29">
        <v>59.252699999999997</v>
      </c>
      <c r="BYJ4" s="29">
        <v>59.247999999999998</v>
      </c>
      <c r="BYK4" s="29">
        <v>58.4557</v>
      </c>
      <c r="BYL4" s="29">
        <v>58.429600000000001</v>
      </c>
      <c r="BYM4" s="29">
        <v>58.0869</v>
      </c>
      <c r="BYN4" s="29">
        <v>58.155700000000003</v>
      </c>
      <c r="BYO4" s="29">
        <v>58.117899999999999</v>
      </c>
      <c r="BYP4" s="29">
        <v>57.871600000000001</v>
      </c>
      <c r="BYQ4" s="29">
        <v>58.083300000000001</v>
      </c>
      <c r="BYR4" s="29">
        <v>57.764299999999999</v>
      </c>
      <c r="BYS4" s="29">
        <v>57.613999999999997</v>
      </c>
      <c r="BYT4" s="29">
        <v>57.5852</v>
      </c>
      <c r="BYU4" s="29">
        <v>57.470599999999997</v>
      </c>
      <c r="BYV4" s="29">
        <v>57.511800000000001</v>
      </c>
      <c r="BYW4" s="29">
        <v>57.570599999999999</v>
      </c>
      <c r="BYX4" s="29">
        <v>57.272100000000002</v>
      </c>
      <c r="BYY4" s="29">
        <v>57.339199999999998</v>
      </c>
      <c r="BYZ4" s="29">
        <v>57.086100000000002</v>
      </c>
      <c r="BZA4" s="29">
        <v>57.619599999999998</v>
      </c>
      <c r="BZB4" s="29">
        <v>57.686900000000001</v>
      </c>
      <c r="BZC4" s="29">
        <v>57.920999999999999</v>
      </c>
      <c r="BZD4" s="29">
        <v>58.071300000000001</v>
      </c>
      <c r="BZE4" s="29">
        <v>58.315100000000001</v>
      </c>
      <c r="BZF4" s="29">
        <v>57.761200000000002</v>
      </c>
      <c r="BZG4" s="29">
        <v>57.581099999999999</v>
      </c>
      <c r="BZH4" s="29">
        <v>57.783200000000001</v>
      </c>
      <c r="BZI4" s="29">
        <v>57.9375</v>
      </c>
      <c r="BZJ4" s="29">
        <v>57.813400000000001</v>
      </c>
      <c r="BZK4" s="29">
        <v>58.0169</v>
      </c>
      <c r="BZL4" s="29">
        <v>58.4255</v>
      </c>
      <c r="BZM4" s="29">
        <v>58.010199999999998</v>
      </c>
      <c r="BZN4" s="29">
        <v>57.518599999999999</v>
      </c>
      <c r="BZO4" s="29">
        <v>57.566000000000003</v>
      </c>
      <c r="BZP4" s="29">
        <v>57.652700000000003</v>
      </c>
      <c r="BZQ4" s="29">
        <v>58.224200000000003</v>
      </c>
      <c r="BZR4" s="29">
        <v>58.128999999999998</v>
      </c>
      <c r="BZS4" s="29">
        <v>58.099299999999999</v>
      </c>
      <c r="BZT4" s="29">
        <v>57.624200000000002</v>
      </c>
      <c r="BZU4" s="29">
        <v>57.5336</v>
      </c>
      <c r="BZV4" s="29">
        <v>57.770600000000002</v>
      </c>
      <c r="BZW4" s="29">
        <v>57.667900000000003</v>
      </c>
      <c r="BZX4" s="29">
        <v>57.265599999999999</v>
      </c>
      <c r="BZY4" s="29">
        <v>57.169400000000003</v>
      </c>
      <c r="BZZ4" s="29">
        <v>56.996600000000001</v>
      </c>
      <c r="CAA4" s="29">
        <v>57.141100000000002</v>
      </c>
      <c r="CAB4" s="29">
        <v>57.338700000000003</v>
      </c>
      <c r="CAC4" s="29">
        <v>57.850299999999997</v>
      </c>
      <c r="CAD4" s="29">
        <v>57.781700000000001</v>
      </c>
      <c r="CAE4" s="29">
        <v>58.055700000000002</v>
      </c>
      <c r="CAF4" s="29">
        <v>58.545400000000001</v>
      </c>
      <c r="CAG4" s="29">
        <v>58.730600000000003</v>
      </c>
      <c r="CAH4" s="29">
        <v>58.531999999999996</v>
      </c>
      <c r="CAI4" s="29">
        <v>58.546900000000001</v>
      </c>
      <c r="CAJ4" s="29">
        <v>59.147599999999997</v>
      </c>
      <c r="CAK4" s="29">
        <v>59.139699999999998</v>
      </c>
      <c r="CAL4" s="29">
        <v>59.1312</v>
      </c>
      <c r="CAM4" s="29">
        <v>59.0396</v>
      </c>
      <c r="CAN4" s="29">
        <v>59.140900000000002</v>
      </c>
      <c r="CAO4" s="29">
        <v>59.361199999999997</v>
      </c>
      <c r="CAP4" s="29">
        <v>59.249000000000002</v>
      </c>
      <c r="CAQ4" s="29">
        <v>59.652099999999997</v>
      </c>
      <c r="CAR4" s="29">
        <v>59.926600000000001</v>
      </c>
      <c r="CAS4" s="29">
        <v>59.798999999999999</v>
      </c>
      <c r="CAT4" s="29">
        <v>60.1873</v>
      </c>
      <c r="CAU4" s="29">
        <v>59.9298</v>
      </c>
      <c r="CAV4" s="29">
        <v>59.961100000000002</v>
      </c>
      <c r="CAW4" s="29">
        <v>59.988599999999998</v>
      </c>
      <c r="CAX4" s="29">
        <v>60.060499999999998</v>
      </c>
      <c r="CAY4" s="29">
        <v>60.328099999999999</v>
      </c>
      <c r="CAZ4" s="29">
        <v>60.750300000000003</v>
      </c>
      <c r="CBA4" s="29">
        <v>60.581899999999997</v>
      </c>
      <c r="CBB4" s="29">
        <v>59.845399999999998</v>
      </c>
      <c r="CBC4" s="29">
        <v>60.063299999999998</v>
      </c>
      <c r="CBD4" s="29">
        <v>59.543599999999998</v>
      </c>
      <c r="CBE4" s="29">
        <v>59.410200000000003</v>
      </c>
      <c r="CBF4" s="29">
        <v>59.910200000000003</v>
      </c>
      <c r="CBG4" s="29">
        <v>59.8185</v>
      </c>
      <c r="CBH4" s="29">
        <v>59.657200000000003</v>
      </c>
      <c r="CBI4" s="29">
        <v>58.932499999999997</v>
      </c>
      <c r="CBJ4" s="29">
        <v>59.082299999999996</v>
      </c>
      <c r="CBK4" s="29">
        <v>59.241799999999998</v>
      </c>
      <c r="CBL4" s="29">
        <v>59.3705</v>
      </c>
      <c r="CBM4" s="29">
        <v>59.0657</v>
      </c>
      <c r="CBN4" s="29">
        <v>59.880600000000001</v>
      </c>
      <c r="CBO4" s="29">
        <v>60.183599999999998</v>
      </c>
      <c r="CBP4" s="29">
        <v>60.622700000000002</v>
      </c>
      <c r="CBQ4" s="29">
        <v>60.739699999999999</v>
      </c>
      <c r="CBR4" s="29">
        <v>60.301400000000001</v>
      </c>
      <c r="CBS4" s="29">
        <v>60.379199999999997</v>
      </c>
      <c r="CBT4" s="29">
        <v>60.242600000000003</v>
      </c>
      <c r="CBU4" s="29">
        <v>59.578699999999998</v>
      </c>
      <c r="CBV4" s="29">
        <v>59.229500000000002</v>
      </c>
      <c r="CBW4" s="29">
        <v>58.969499999999996</v>
      </c>
      <c r="CBX4" s="29">
        <v>59.386200000000002</v>
      </c>
      <c r="CBY4" s="29">
        <v>59.085500000000003</v>
      </c>
      <c r="CBZ4" s="29">
        <v>59.541499999999999</v>
      </c>
      <c r="CCA4" s="29">
        <v>58.884300000000003</v>
      </c>
      <c r="CCB4" s="29">
        <v>59.001399999999997</v>
      </c>
      <c r="CCC4" s="29">
        <v>59.656399999999998</v>
      </c>
      <c r="CCD4" s="29">
        <v>60.148200000000003</v>
      </c>
      <c r="CCE4" s="29">
        <v>60</v>
      </c>
      <c r="CCF4" s="29">
        <v>58.578600000000002</v>
      </c>
      <c r="CCG4" s="29">
        <v>57.958500000000001</v>
      </c>
      <c r="CCH4" s="29">
        <v>57.7408</v>
      </c>
      <c r="CCI4" s="29">
        <v>57.4437</v>
      </c>
      <c r="CCJ4" s="29">
        <v>57.030299999999997</v>
      </c>
      <c r="CCK4" s="29">
        <v>56.909599999999998</v>
      </c>
      <c r="CCL4" s="29">
        <v>57.002000000000002</v>
      </c>
      <c r="CCM4" s="29">
        <v>56.985700000000001</v>
      </c>
      <c r="CCN4" s="29">
        <v>56.587800000000001</v>
      </c>
      <c r="CCO4" s="29">
        <v>56.674700000000001</v>
      </c>
      <c r="CCP4" s="29">
        <v>56.615200000000002</v>
      </c>
      <c r="CCQ4" s="29">
        <v>56.687600000000003</v>
      </c>
      <c r="CCR4" s="29">
        <v>56.537300000000002</v>
      </c>
      <c r="CCS4" s="29">
        <v>56.687600000000003</v>
      </c>
      <c r="CCT4" s="29">
        <v>56.516800000000003</v>
      </c>
      <c r="CCU4" s="29">
        <v>56.710599999999999</v>
      </c>
      <c r="CCV4" s="29">
        <v>56.756</v>
      </c>
      <c r="CCW4" s="29">
        <v>56.070099999999996</v>
      </c>
      <c r="CCX4" s="29">
        <v>56.274299999999997</v>
      </c>
      <c r="CCY4" s="29">
        <v>56.555199999999999</v>
      </c>
      <c r="CCZ4" s="29">
        <v>56.498800000000003</v>
      </c>
      <c r="CDA4" s="29">
        <v>57.160200000000003</v>
      </c>
      <c r="CDB4" s="29">
        <v>57.468299999999999</v>
      </c>
      <c r="CDC4" s="29">
        <v>56.738300000000002</v>
      </c>
      <c r="CDD4" s="29">
        <v>56.260300000000001</v>
      </c>
      <c r="CDE4" s="29">
        <v>56.525799999999997</v>
      </c>
      <c r="CDF4" s="29">
        <v>57.164000000000001</v>
      </c>
      <c r="CDG4" s="29">
        <v>57.116100000000003</v>
      </c>
      <c r="CDH4" s="29">
        <v>58.0824</v>
      </c>
      <c r="CDI4" s="29">
        <v>58.538200000000003</v>
      </c>
      <c r="CDJ4" s="29">
        <v>57.571399999999997</v>
      </c>
      <c r="CDK4" s="29">
        <v>57.092700000000001</v>
      </c>
      <c r="CDL4" s="29">
        <v>56.951799999999999</v>
      </c>
      <c r="CDM4" s="29">
        <v>56.983800000000002</v>
      </c>
      <c r="CDN4" s="29">
        <v>56.970700000000001</v>
      </c>
      <c r="CDO4" s="29">
        <v>56.313099999999999</v>
      </c>
      <c r="CDP4" s="29">
        <v>55.845300000000002</v>
      </c>
      <c r="CDQ4" s="29">
        <v>56.0794</v>
      </c>
      <c r="CDR4" s="29">
        <v>56.230699999999999</v>
      </c>
      <c r="CDS4" s="29">
        <v>56.416499999999999</v>
      </c>
      <c r="CDT4" s="29">
        <v>56.1753</v>
      </c>
      <c r="CDU4" s="29">
        <v>55.979300000000002</v>
      </c>
      <c r="CDV4" s="29">
        <v>56.250500000000002</v>
      </c>
      <c r="CDW4" s="29">
        <v>56.294499999999999</v>
      </c>
      <c r="CDX4" s="29">
        <v>56.601900000000001</v>
      </c>
      <c r="CDY4" s="29">
        <v>56.755600000000001</v>
      </c>
      <c r="CDZ4" s="29">
        <v>56.955199999999998</v>
      </c>
      <c r="CEA4" s="29">
        <v>57.389600000000002</v>
      </c>
      <c r="CEB4" s="29">
        <v>56.920099999999998</v>
      </c>
      <c r="CEC4" s="29">
        <v>56.436900000000001</v>
      </c>
      <c r="CED4" s="29">
        <v>55.893999999999998</v>
      </c>
      <c r="CEE4" s="29">
        <v>56.555300000000003</v>
      </c>
      <c r="CEF4" s="29">
        <v>56.139600000000002</v>
      </c>
      <c r="CEG4" s="29">
        <v>55.960599999999999</v>
      </c>
      <c r="CEH4" s="29">
        <v>56.377899999999997</v>
      </c>
      <c r="CEI4" s="29">
        <v>57.024099999999997</v>
      </c>
      <c r="CEJ4" s="29">
        <v>56.936399999999999</v>
      </c>
      <c r="CEK4" s="29">
        <v>57.023299999999999</v>
      </c>
      <c r="CEL4" s="29">
        <v>57.424700000000001</v>
      </c>
      <c r="CEM4" s="29">
        <v>57.522799999999997</v>
      </c>
      <c r="CEN4" s="29">
        <v>57.636000000000003</v>
      </c>
      <c r="CEO4" s="29">
        <v>57.232300000000002</v>
      </c>
      <c r="CEP4" s="29">
        <v>57.284700000000001</v>
      </c>
      <c r="CEQ4" s="29">
        <v>57.934399999999997</v>
      </c>
      <c r="CER4" s="29">
        <v>58.243699999999997</v>
      </c>
      <c r="CES4" s="29">
        <v>59.1128</v>
      </c>
      <c r="CET4" s="29">
        <v>58.954000000000001</v>
      </c>
      <c r="CEU4" s="29">
        <v>59.1327</v>
      </c>
      <c r="CEV4" s="29">
        <v>59.217399999999998</v>
      </c>
      <c r="CEW4" s="29">
        <v>58.831800000000001</v>
      </c>
      <c r="CEX4" s="29">
        <v>58.262999999999998</v>
      </c>
      <c r="CEY4" s="29">
        <v>58.337000000000003</v>
      </c>
      <c r="CEZ4" s="29">
        <v>58.9099</v>
      </c>
      <c r="CFA4" s="29">
        <v>58.406700000000001</v>
      </c>
      <c r="CFB4" s="29">
        <v>58.377600000000001</v>
      </c>
      <c r="CFC4" s="29">
        <v>57.962699999999998</v>
      </c>
      <c r="CFD4" s="29">
        <v>57.937100000000001</v>
      </c>
      <c r="CFE4" s="29">
        <v>57.476199999999999</v>
      </c>
      <c r="CFF4" s="29">
        <v>57.859000000000002</v>
      </c>
      <c r="CFG4" s="29">
        <v>58.096699999999998</v>
      </c>
      <c r="CFH4" s="29">
        <v>57.6342</v>
      </c>
      <c r="CFI4" s="29">
        <v>57.150700000000001</v>
      </c>
      <c r="CFJ4" s="29">
        <v>56.771900000000002</v>
      </c>
      <c r="CFK4" s="29">
        <v>57.738799999999998</v>
      </c>
      <c r="CFL4" s="29">
        <v>58.061900000000001</v>
      </c>
      <c r="CFM4" s="29">
        <v>58.845700000000001</v>
      </c>
      <c r="CFN4" s="29">
        <v>59.023499999999999</v>
      </c>
      <c r="CFO4" s="29">
        <v>59.512900000000002</v>
      </c>
      <c r="CFP4" s="29">
        <v>59.193300000000001</v>
      </c>
      <c r="CFQ4" s="29">
        <v>58.7121</v>
      </c>
      <c r="CFR4" s="29">
        <v>59.313699999999997</v>
      </c>
      <c r="CFS4" s="29">
        <v>59.985799999999998</v>
      </c>
      <c r="CFT4" s="29">
        <v>60.309899999999999</v>
      </c>
      <c r="CFU4" s="29">
        <v>60.085099999999997</v>
      </c>
      <c r="CFV4" s="29">
        <v>60.161799999999999</v>
      </c>
      <c r="CFW4" s="29">
        <v>60.319600000000001</v>
      </c>
      <c r="CFX4" s="29">
        <v>59.635599999999997</v>
      </c>
      <c r="CFY4" s="29">
        <v>59.148899999999998</v>
      </c>
      <c r="CFZ4" s="29">
        <v>59.216799999999999</v>
      </c>
      <c r="CGA4" s="29">
        <v>59.503399999999999</v>
      </c>
      <c r="CGB4" s="29">
        <v>59.669699999999999</v>
      </c>
      <c r="CGC4" s="29">
        <v>59.3521</v>
      </c>
      <c r="CGD4" s="29">
        <v>59.183</v>
      </c>
      <c r="CGE4" s="29">
        <v>59.401499999999999</v>
      </c>
      <c r="CGF4" s="29">
        <v>59.606699999999996</v>
      </c>
      <c r="CGG4" s="29">
        <v>59.37</v>
      </c>
      <c r="CGH4" s="29">
        <v>59.497799999999998</v>
      </c>
      <c r="CGI4" s="29">
        <v>60.1614</v>
      </c>
      <c r="CGJ4" s="29">
        <v>59.953299999999999</v>
      </c>
      <c r="CGK4" s="29">
        <v>59.896099999999997</v>
      </c>
      <c r="CGL4" s="29">
        <v>60.6569</v>
      </c>
      <c r="CGM4" s="29">
        <v>60.273000000000003</v>
      </c>
      <c r="CGN4" s="29">
        <v>60.666899999999998</v>
      </c>
      <c r="CGO4" s="29">
        <v>60.858699999999999</v>
      </c>
      <c r="CGP4" s="29">
        <v>60.9084</v>
      </c>
      <c r="CGQ4" s="29">
        <v>60.852800000000002</v>
      </c>
      <c r="CGR4" s="29">
        <v>60.864100000000001</v>
      </c>
      <c r="CGS4" s="29">
        <v>61.109200000000001</v>
      </c>
      <c r="CGT4" s="29">
        <v>61.796700000000001</v>
      </c>
      <c r="CGU4" s="29">
        <v>61.793100000000003</v>
      </c>
      <c r="CGV4" s="29">
        <v>61.7515</v>
      </c>
      <c r="CGW4" s="29">
        <v>61.636800000000001</v>
      </c>
      <c r="CGX4" s="29">
        <v>60.807899999999997</v>
      </c>
      <c r="CGY4" s="29">
        <v>61.069000000000003</v>
      </c>
      <c r="CGZ4" s="29">
        <v>61.580399999999997</v>
      </c>
      <c r="CHA4" s="29">
        <v>63.302799999999998</v>
      </c>
      <c r="CHB4" s="29">
        <v>63.390099999999997</v>
      </c>
      <c r="CHC4" s="29">
        <v>63.9114</v>
      </c>
      <c r="CHD4" s="29">
        <v>63.874099999999999</v>
      </c>
      <c r="CHE4" s="29">
        <v>63.924199999999999</v>
      </c>
      <c r="CHF4" s="29">
        <v>64.152799999999999</v>
      </c>
      <c r="CHG4" s="29">
        <v>63.680700000000002</v>
      </c>
      <c r="CHH4" s="29">
        <v>65.238200000000006</v>
      </c>
      <c r="CHI4" s="29">
        <v>64.944900000000004</v>
      </c>
      <c r="CHJ4" s="29">
        <v>64.915300000000002</v>
      </c>
      <c r="CHK4" s="29">
        <v>64.617400000000004</v>
      </c>
      <c r="CHL4" s="29">
        <v>64.627899999999997</v>
      </c>
      <c r="CHM4" s="29">
        <v>64.008700000000005</v>
      </c>
      <c r="CHN4" s="29">
        <v>63.6282</v>
      </c>
      <c r="CHO4" s="29">
        <v>64.358000000000004</v>
      </c>
      <c r="CHP4" s="29">
        <v>65.1023</v>
      </c>
      <c r="CHQ4" s="29">
        <v>64.915400000000005</v>
      </c>
      <c r="CHR4" s="29">
        <v>64.546300000000002</v>
      </c>
      <c r="CHS4" s="29">
        <v>65.5548</v>
      </c>
      <c r="CHT4" s="29">
        <v>65.859099999999998</v>
      </c>
      <c r="CHU4" s="29">
        <v>65.216700000000003</v>
      </c>
      <c r="CHV4" s="29">
        <v>63.4161</v>
      </c>
      <c r="CHW4" s="29">
        <v>63.892800000000001</v>
      </c>
      <c r="CHX4" s="29">
        <v>63.736400000000003</v>
      </c>
      <c r="CHY4" s="29">
        <v>63.907400000000003</v>
      </c>
      <c r="CHZ4" s="29">
        <v>63.504300000000001</v>
      </c>
      <c r="CIA4" s="29">
        <v>63.416600000000003</v>
      </c>
      <c r="CIB4" s="29">
        <v>63.202500000000001</v>
      </c>
      <c r="CIC4" s="29">
        <v>63.217399999999998</v>
      </c>
      <c r="CID4" s="29">
        <v>62.903700000000001</v>
      </c>
      <c r="CIE4" s="29">
        <v>63.039900000000003</v>
      </c>
      <c r="CIF4" s="29">
        <v>62.259700000000002</v>
      </c>
      <c r="CIG4" s="29">
        <v>62.048000000000002</v>
      </c>
      <c r="CIH4" s="29">
        <v>62.234900000000003</v>
      </c>
      <c r="CII4" s="29">
        <v>62.4499</v>
      </c>
      <c r="CIJ4" s="29">
        <v>62.419400000000003</v>
      </c>
      <c r="CIK4" s="29">
        <v>62.584099999999999</v>
      </c>
      <c r="CIL4" s="29">
        <v>62.89</v>
      </c>
      <c r="CIM4" s="29">
        <v>63.151000000000003</v>
      </c>
      <c r="CIN4" s="29">
        <v>62.993400000000001</v>
      </c>
      <c r="CIO4" s="29">
        <v>63.346499999999999</v>
      </c>
      <c r="CIP4" s="29">
        <v>62.589199999999998</v>
      </c>
      <c r="CIQ4" s="29">
        <v>62.194600000000001</v>
      </c>
      <c r="CIR4" s="29">
        <v>62.388399999999997</v>
      </c>
      <c r="CIS4" s="29">
        <v>62.303100000000001</v>
      </c>
      <c r="CIT4" s="29">
        <v>62.39</v>
      </c>
      <c r="CIU4" s="29">
        <v>62.458300000000001</v>
      </c>
      <c r="CIV4" s="29">
        <v>62.432299999999998</v>
      </c>
      <c r="CIW4" s="29">
        <v>62.547699999999999</v>
      </c>
      <c r="CIX4" s="29">
        <v>63.396000000000001</v>
      </c>
      <c r="CIY4" s="29">
        <v>63.158099999999997</v>
      </c>
      <c r="CIZ4" s="29">
        <v>63.950899999999997</v>
      </c>
      <c r="CJA4" s="29">
        <v>63.692100000000003</v>
      </c>
      <c r="CJB4" s="29">
        <v>64.150599999999997</v>
      </c>
      <c r="CJC4" s="29">
        <v>63.864199999999997</v>
      </c>
      <c r="CJD4" s="29">
        <v>63.794199999999996</v>
      </c>
      <c r="CJE4" s="29">
        <v>64.442400000000006</v>
      </c>
      <c r="CJF4" s="29">
        <v>64.751300000000001</v>
      </c>
      <c r="CJG4" s="29">
        <v>64.917299999999997</v>
      </c>
      <c r="CJH4" s="29">
        <v>64.994</v>
      </c>
      <c r="CJI4" s="29">
        <v>65.216999999999999</v>
      </c>
      <c r="CJJ4" s="29">
        <v>64.973699999999994</v>
      </c>
      <c r="CJK4" s="29">
        <v>64.810199999999995</v>
      </c>
      <c r="CJL4" s="29">
        <v>65.053899999999999</v>
      </c>
      <c r="CJM4" s="29">
        <v>64.161699999999996</v>
      </c>
      <c r="CJN4" s="29">
        <v>63.972999999999999</v>
      </c>
      <c r="CJO4" s="29">
        <v>64.380399999999995</v>
      </c>
      <c r="CJP4" s="29">
        <v>64.830600000000004</v>
      </c>
      <c r="CJQ4" s="29">
        <v>64.764399999999995</v>
      </c>
      <c r="CJR4" s="29">
        <v>65.868399999999994</v>
      </c>
      <c r="CJS4" s="29">
        <v>65.256600000000006</v>
      </c>
      <c r="CJT4" s="29">
        <v>65.253500000000003</v>
      </c>
      <c r="CJU4" s="29">
        <v>64.907200000000003</v>
      </c>
      <c r="CJV4" s="29">
        <v>65.081000000000003</v>
      </c>
      <c r="CJW4" s="29">
        <v>64.738</v>
      </c>
      <c r="CJX4" s="29">
        <v>64.945899999999995</v>
      </c>
      <c r="CJY4" s="29">
        <v>64.813999999999993</v>
      </c>
      <c r="CJZ4" s="29">
        <v>64.7684</v>
      </c>
      <c r="CKA4" s="29">
        <v>64.207800000000006</v>
      </c>
      <c r="CKB4" s="29">
        <v>63.939100000000003</v>
      </c>
      <c r="CKC4" s="29">
        <v>63.548699999999997</v>
      </c>
      <c r="CKD4" s="29">
        <v>63.994300000000003</v>
      </c>
      <c r="CKE4" s="29">
        <v>63.9514</v>
      </c>
      <c r="CKF4" s="29">
        <v>64.207599999999999</v>
      </c>
      <c r="CKG4" s="29">
        <v>64.336399999999998</v>
      </c>
      <c r="CKH4" s="29">
        <v>64.949700000000007</v>
      </c>
      <c r="CKI4" s="29">
        <v>64.813699999999997</v>
      </c>
      <c r="CKJ4" s="29">
        <v>64.784800000000004</v>
      </c>
      <c r="CKK4" s="29">
        <v>65.079899999999995</v>
      </c>
      <c r="CKL4" s="29">
        <v>65.562700000000007</v>
      </c>
      <c r="CKM4" s="29">
        <v>66.394099999999995</v>
      </c>
      <c r="CKN4" s="29">
        <v>66.742000000000004</v>
      </c>
      <c r="CKO4" s="29">
        <v>66.881600000000006</v>
      </c>
      <c r="CKP4" s="29">
        <v>65.955299999999994</v>
      </c>
      <c r="CKQ4" s="29">
        <v>67.051199999999994</v>
      </c>
      <c r="CKR4" s="29">
        <v>66.112499999999997</v>
      </c>
      <c r="CKS4" s="29">
        <v>65.946700000000007</v>
      </c>
      <c r="CKT4" s="29">
        <v>65.740799999999993</v>
      </c>
      <c r="CKU4" s="29">
        <v>64.918400000000005</v>
      </c>
      <c r="CKV4" s="29">
        <v>64.626999999999995</v>
      </c>
      <c r="CKW4" s="29">
        <v>63.737299999999998</v>
      </c>
      <c r="CKX4" s="29">
        <v>63.418300000000002</v>
      </c>
      <c r="CKY4" s="29">
        <v>62.989100000000001</v>
      </c>
      <c r="CKZ4" s="29">
        <v>63.115400000000001</v>
      </c>
      <c r="CLA4" s="29">
        <v>63.169699999999999</v>
      </c>
      <c r="CLB4" s="29">
        <v>63.577300000000001</v>
      </c>
      <c r="CLC4" s="29">
        <v>63.853099999999998</v>
      </c>
      <c r="CLD4" s="29">
        <v>63.902900000000002</v>
      </c>
      <c r="CLE4" s="29">
        <v>64.202399999999997</v>
      </c>
      <c r="CLF4" s="29">
        <v>64.248800000000003</v>
      </c>
      <c r="CLG4" s="29">
        <v>64.05</v>
      </c>
      <c r="CLH4" s="29">
        <v>64.630399999999995</v>
      </c>
      <c r="CLI4" s="29">
        <v>64.267600000000002</v>
      </c>
      <c r="CLJ4" s="29">
        <v>63.684399999999997</v>
      </c>
      <c r="CLK4" s="29">
        <v>64.016499999999994</v>
      </c>
      <c r="CLL4" s="29">
        <v>64.1755</v>
      </c>
      <c r="CLM4" s="29">
        <v>64.257499999999993</v>
      </c>
      <c r="CLN4" s="29">
        <v>64.8095</v>
      </c>
      <c r="CLO4" s="29">
        <v>65.058800000000005</v>
      </c>
      <c r="CLP4" s="29">
        <v>65.528700000000001</v>
      </c>
      <c r="CLQ4" s="29">
        <v>64.321200000000005</v>
      </c>
      <c r="CLR4" s="29">
        <v>63.716200000000001</v>
      </c>
      <c r="CLS4" s="29">
        <v>64.174300000000002</v>
      </c>
      <c r="CLT4" s="29">
        <v>64.150899999999993</v>
      </c>
      <c r="CLU4" s="29">
        <v>65.439800000000005</v>
      </c>
      <c r="CLV4" s="29">
        <v>65.861800000000002</v>
      </c>
      <c r="CLW4" s="29">
        <v>65.915599999999998</v>
      </c>
      <c r="CLX4" s="29">
        <v>66.030600000000007</v>
      </c>
      <c r="CLY4" s="29">
        <v>64.707700000000003</v>
      </c>
      <c r="CLZ4" s="29">
        <v>63.740200000000002</v>
      </c>
      <c r="CMA4" s="29">
        <v>64.679699999999997</v>
      </c>
      <c r="CMB4" s="29">
        <v>65.2089</v>
      </c>
      <c r="CMC4" s="29">
        <v>65.789400000000001</v>
      </c>
      <c r="CMD4" s="29">
        <v>66.852900000000005</v>
      </c>
      <c r="CME4" s="29">
        <v>66.749099999999999</v>
      </c>
      <c r="CMF4" s="29">
        <v>66.615600000000001</v>
      </c>
      <c r="CMG4" s="29">
        <v>65.996200000000002</v>
      </c>
      <c r="CMH4" s="29">
        <v>66.082499999999996</v>
      </c>
      <c r="CMI4" s="29">
        <v>66.041300000000007</v>
      </c>
      <c r="CMJ4" s="29">
        <v>65.206199999999995</v>
      </c>
      <c r="CMK4" s="29">
        <v>65.894900000000007</v>
      </c>
      <c r="CML4" s="29">
        <v>67.049300000000002</v>
      </c>
      <c r="CMM4" s="29">
        <v>67.047499999999999</v>
      </c>
      <c r="CMN4" s="29">
        <v>66.377499999999998</v>
      </c>
      <c r="CMO4" s="29">
        <v>66.210999999999999</v>
      </c>
      <c r="CMP4" s="29">
        <v>65.064099999999996</v>
      </c>
      <c r="CMQ4" s="29">
        <v>64.513800000000003</v>
      </c>
      <c r="CMR4" s="29">
        <v>64.889499999999998</v>
      </c>
      <c r="CMS4" s="29">
        <v>64.930599999999998</v>
      </c>
      <c r="CMT4" s="29">
        <v>64.960700000000003</v>
      </c>
      <c r="CMU4" s="29">
        <v>66.242800000000003</v>
      </c>
      <c r="CMV4" s="29">
        <v>66.327699999999993</v>
      </c>
      <c r="CMW4" s="29">
        <v>66.192800000000005</v>
      </c>
      <c r="CMX4" s="29">
        <v>65.891800000000003</v>
      </c>
      <c r="CMY4" s="29">
        <v>66.171800000000005</v>
      </c>
      <c r="CMZ4" s="29">
        <v>64.333399999999997</v>
      </c>
      <c r="CNA4" s="29">
        <v>65.113299999999995</v>
      </c>
      <c r="CNB4" s="29">
        <v>65.161799999999999</v>
      </c>
      <c r="CNC4" s="29">
        <v>66.4559</v>
      </c>
      <c r="CND4" s="29">
        <v>66.629499999999993</v>
      </c>
      <c r="CNE4" s="29">
        <v>66.219800000000006</v>
      </c>
      <c r="CNF4" s="29">
        <v>65.025400000000005</v>
      </c>
      <c r="CNG4" s="29">
        <v>66.0364</v>
      </c>
      <c r="CNH4" s="29">
        <v>65.647400000000005</v>
      </c>
      <c r="CNI4" s="29">
        <v>68.272400000000005</v>
      </c>
      <c r="CNJ4" s="29">
        <v>66.045199999999994</v>
      </c>
      <c r="CNK4" s="29">
        <v>66.495400000000004</v>
      </c>
      <c r="CNL4" s="29">
        <v>65.766199999999998</v>
      </c>
      <c r="CNM4" s="29">
        <v>66.345600000000005</v>
      </c>
      <c r="CNN4" s="29">
        <v>67.125</v>
      </c>
      <c r="CNO4" s="29">
        <v>67.466200000000001</v>
      </c>
      <c r="CNP4" s="29">
        <v>67.796000000000006</v>
      </c>
      <c r="CNQ4" s="29">
        <v>68.521500000000003</v>
      </c>
      <c r="CNR4" s="29">
        <v>68.890100000000004</v>
      </c>
      <c r="CNS4" s="29">
        <v>68.675299999999993</v>
      </c>
      <c r="CNT4" s="29">
        <v>67.141000000000005</v>
      </c>
      <c r="CNU4" s="29">
        <v>67.855199999999996</v>
      </c>
      <c r="CNV4" s="29">
        <v>67.607600000000005</v>
      </c>
      <c r="CNW4" s="29">
        <v>68.754900000000006</v>
      </c>
      <c r="CNX4" s="29">
        <v>67.780699999999996</v>
      </c>
      <c r="CNY4" s="29">
        <v>68.434600000000003</v>
      </c>
      <c r="CNZ4" s="29">
        <v>68.9328</v>
      </c>
      <c r="COA4" s="29">
        <v>67.640900000000002</v>
      </c>
      <c r="COB4" s="29">
        <v>67.776399999999995</v>
      </c>
      <c r="COC4" s="29">
        <v>68.808599999999998</v>
      </c>
      <c r="COD4" s="29">
        <v>68.402600000000007</v>
      </c>
      <c r="COE4" s="29">
        <v>68.559799999999996</v>
      </c>
      <c r="COF4" s="29">
        <v>71.025599999999997</v>
      </c>
      <c r="COG4" s="29">
        <v>70.540800000000004</v>
      </c>
      <c r="COH4" s="29">
        <v>70.154200000000003</v>
      </c>
      <c r="COI4" s="29">
        <v>70.306700000000006</v>
      </c>
      <c r="COJ4" s="29">
        <v>71.092799999999997</v>
      </c>
      <c r="COK4" s="29">
        <v>72.377499999999998</v>
      </c>
      <c r="COL4" s="29">
        <v>73.185400000000001</v>
      </c>
      <c r="COM4" s="29">
        <v>73.824200000000005</v>
      </c>
      <c r="CON4" s="29">
        <v>73.625600000000006</v>
      </c>
      <c r="COO4" s="29">
        <v>74.053600000000003</v>
      </c>
      <c r="COP4" s="29">
        <v>75.8994</v>
      </c>
      <c r="COQ4" s="29">
        <v>75.090299999999999</v>
      </c>
      <c r="COR4" s="29">
        <v>76.392899999999997</v>
      </c>
      <c r="COS4" s="29">
        <v>76.392799999999994</v>
      </c>
      <c r="COT4" s="29">
        <v>77.132599999999996</v>
      </c>
      <c r="COU4" s="29">
        <v>76.365700000000004</v>
      </c>
      <c r="COV4" s="29">
        <v>75.457499999999996</v>
      </c>
      <c r="COW4" s="29">
        <v>77.850300000000004</v>
      </c>
      <c r="COX4" s="29">
        <v>76.245000000000005</v>
      </c>
      <c r="COY4" s="29">
        <v>77.779200000000003</v>
      </c>
      <c r="COZ4" s="29">
        <v>79.495099999999994</v>
      </c>
      <c r="CPA4" s="29">
        <v>79.114400000000003</v>
      </c>
      <c r="CPB4" s="29">
        <v>79.068899999999999</v>
      </c>
      <c r="CPC4" s="29">
        <v>78.680499999999995</v>
      </c>
      <c r="CPD4" s="29">
        <v>76.861400000000003</v>
      </c>
      <c r="CPE4" s="29">
        <v>77.340900000000005</v>
      </c>
      <c r="CPF4" s="29">
        <v>76.460899999999995</v>
      </c>
      <c r="CPG4" s="29">
        <v>79.259299999999996</v>
      </c>
      <c r="CPH4" s="29">
        <v>77.927300000000002</v>
      </c>
      <c r="CPI4" s="29">
        <v>76.326400000000007</v>
      </c>
      <c r="CPJ4" s="29">
        <v>75.172300000000007</v>
      </c>
      <c r="CPK4" s="29">
        <v>77.367400000000004</v>
      </c>
      <c r="CPL4" s="29">
        <v>78.996899999999997</v>
      </c>
      <c r="CPM4" s="29">
        <v>81.839399999999998</v>
      </c>
      <c r="CPN4" s="29">
        <v>77.796499999999995</v>
      </c>
      <c r="CPO4" s="29">
        <v>80.571399999999997</v>
      </c>
      <c r="CPP4" s="29">
        <v>83.591300000000004</v>
      </c>
      <c r="CPQ4" s="29">
        <v>79.461399999999998</v>
      </c>
      <c r="CPR4" s="29">
        <v>78.486199999999997</v>
      </c>
      <c r="CPS4" s="29">
        <v>78.6678</v>
      </c>
      <c r="CPT4" s="29">
        <v>76.564999999999998</v>
      </c>
      <c r="CPU4" s="29">
        <v>76.522999999999996</v>
      </c>
      <c r="CPV4" s="29">
        <v>76.427499999999995</v>
      </c>
      <c r="CPW4" s="29">
        <v>76.604100000000003</v>
      </c>
      <c r="CPX4" s="29">
        <v>75.950699999999998</v>
      </c>
      <c r="CPY4" s="29">
        <v>72.929900000000004</v>
      </c>
      <c r="CPZ4" s="29">
        <v>72.8827</v>
      </c>
      <c r="CQA4" s="29">
        <v>72.506600000000006</v>
      </c>
      <c r="CQB4" s="29">
        <v>70.786500000000004</v>
      </c>
      <c r="CQC4" s="29">
        <v>70.269000000000005</v>
      </c>
      <c r="CQD4" s="29">
        <v>69.516499999999994</v>
      </c>
      <c r="CQE4" s="29">
        <v>70.933300000000003</v>
      </c>
      <c r="CQF4" s="29">
        <v>71.121099999999998</v>
      </c>
      <c r="CQG4" s="29">
        <v>71.255300000000005</v>
      </c>
      <c r="CQH4" s="29">
        <v>71.3215</v>
      </c>
      <c r="CQI4" s="29">
        <v>70.580600000000004</v>
      </c>
      <c r="CQJ4" s="29">
        <v>70.401200000000003</v>
      </c>
      <c r="CQK4" s="29">
        <v>70.829499999999996</v>
      </c>
      <c r="CQL4" s="29">
        <v>70.224400000000003</v>
      </c>
      <c r="CQM4" s="29">
        <v>69.1755</v>
      </c>
      <c r="CQN4" s="29">
        <v>69.215100000000007</v>
      </c>
      <c r="CQO4" s="29">
        <v>69.2</v>
      </c>
      <c r="CQP4" s="29">
        <v>69.302599999999998</v>
      </c>
      <c r="CQQ4" s="29">
        <v>68.515600000000006</v>
      </c>
      <c r="CQR4" s="29">
        <v>67.669799999999995</v>
      </c>
      <c r="CQS4" s="29">
        <v>67.769099999999995</v>
      </c>
      <c r="CQT4" s="29">
        <v>66.740200000000002</v>
      </c>
      <c r="CQU4" s="29">
        <v>66.258399999999995</v>
      </c>
      <c r="CQV4" s="29">
        <v>66.736999999999995</v>
      </c>
      <c r="CQW4" s="29">
        <v>66.2393</v>
      </c>
      <c r="CQX4" s="29">
        <v>65.683599999999998</v>
      </c>
      <c r="CQY4" s="29">
        <v>65.478899999999996</v>
      </c>
      <c r="CQZ4" s="29">
        <v>65.620999999999995</v>
      </c>
      <c r="CRA4" s="29">
        <v>65.597300000000004</v>
      </c>
      <c r="CRB4" s="29">
        <v>64.8673</v>
      </c>
      <c r="CRC4" s="29">
        <v>64.912000000000006</v>
      </c>
      <c r="CRD4" s="29">
        <v>64.778499999999994</v>
      </c>
      <c r="CRE4" s="29">
        <v>65.479900000000001</v>
      </c>
      <c r="CRF4" s="29">
        <v>66.460700000000003</v>
      </c>
      <c r="CRG4" s="29">
        <v>66.634299999999996</v>
      </c>
      <c r="CRH4" s="29">
        <v>65.454099999999997</v>
      </c>
      <c r="CRI4" s="29">
        <v>64.569299999999998</v>
      </c>
      <c r="CRJ4" s="29">
        <v>64.390799999999999</v>
      </c>
      <c r="CRK4" s="29">
        <v>64.660600000000002</v>
      </c>
      <c r="CRL4" s="29">
        <v>63.683199999999999</v>
      </c>
      <c r="CRM4" s="29">
        <v>63.399099999999997</v>
      </c>
      <c r="CRN4" s="29">
        <v>63.852499999999999</v>
      </c>
      <c r="CRO4" s="29">
        <v>63.799300000000002</v>
      </c>
      <c r="CRP4" s="29">
        <v>64.374200000000002</v>
      </c>
      <c r="CRQ4" s="29">
        <v>64.168599999999998</v>
      </c>
      <c r="CRR4" s="29">
        <v>65.315899999999999</v>
      </c>
      <c r="CRS4" s="29">
        <v>63.500399999999999</v>
      </c>
      <c r="CRT4" s="29">
        <v>62.503799999999998</v>
      </c>
      <c r="CRU4" s="29">
        <v>61.928600000000003</v>
      </c>
      <c r="CRV4" s="29">
        <v>62.788800000000002</v>
      </c>
      <c r="CRW4" s="29">
        <v>62.630899999999997</v>
      </c>
      <c r="CRX4" s="29">
        <v>62.161999999999999</v>
      </c>
      <c r="CRY4" s="29">
        <v>61.441899999999997</v>
      </c>
      <c r="CRZ4" s="29">
        <v>61.358699999999999</v>
      </c>
      <c r="CSA4" s="29">
        <v>62.243299999999998</v>
      </c>
      <c r="CSB4" s="29">
        <v>63.1248</v>
      </c>
      <c r="CSC4" s="29">
        <v>62.223700000000001</v>
      </c>
      <c r="CSD4" s="29">
        <v>61.153500000000001</v>
      </c>
      <c r="CSE4" s="29">
        <v>61.296700000000001</v>
      </c>
      <c r="CSF4" s="29">
        <v>62.294199999999996</v>
      </c>
      <c r="CSG4" s="29">
        <v>62.706099999999999</v>
      </c>
      <c r="CSH4" s="29">
        <v>65.096199999999996</v>
      </c>
      <c r="CSI4" s="29">
        <v>65.624799999999993</v>
      </c>
      <c r="CSJ4" s="29">
        <v>65.941400000000002</v>
      </c>
      <c r="CSK4" s="29">
        <v>65.033600000000007</v>
      </c>
      <c r="CSL4" s="29">
        <v>65.736400000000003</v>
      </c>
      <c r="CSM4" s="29">
        <v>66.236699999999999</v>
      </c>
      <c r="CSN4" s="29">
        <v>65.546999999999997</v>
      </c>
      <c r="CSO4" s="29">
        <v>65.672700000000006</v>
      </c>
      <c r="CSP4" s="29">
        <v>66.515100000000004</v>
      </c>
      <c r="CSQ4" s="29">
        <v>66.040999999999997</v>
      </c>
      <c r="CSR4" s="29">
        <v>66.174700000000001</v>
      </c>
      <c r="CSS4" s="29">
        <v>66.145499999999998</v>
      </c>
      <c r="CST4" s="29">
        <v>65.644499999999994</v>
      </c>
      <c r="CSU4" s="29">
        <v>65.362300000000005</v>
      </c>
      <c r="CSV4" s="29">
        <v>65.927300000000002</v>
      </c>
      <c r="CSW4" s="29">
        <v>67.157399999999996</v>
      </c>
      <c r="CSX4" s="29">
        <v>67.957099999999997</v>
      </c>
      <c r="CSY4" s="29">
        <v>68.009299999999996</v>
      </c>
      <c r="CSZ4" s="29">
        <v>68.496099999999998</v>
      </c>
      <c r="CTA4" s="29">
        <v>67.621899999999997</v>
      </c>
      <c r="CTB4" s="29">
        <v>68.793199999999999</v>
      </c>
      <c r="CTC4" s="29">
        <v>68.486400000000003</v>
      </c>
      <c r="CTD4" s="29">
        <v>67.685000000000002</v>
      </c>
      <c r="CTE4" s="29">
        <v>67.010199999999998</v>
      </c>
      <c r="CTF4" s="29">
        <v>66.675600000000003</v>
      </c>
      <c r="CTG4" s="29">
        <v>65.349500000000006</v>
      </c>
      <c r="CTH4" s="29">
        <v>66.715199999999996</v>
      </c>
      <c r="CTI4" s="29">
        <v>66.477900000000005</v>
      </c>
      <c r="CTJ4" s="29">
        <v>67.447299999999998</v>
      </c>
      <c r="CTK4" s="29">
        <v>69.3142</v>
      </c>
      <c r="CTL4" s="29">
        <v>69.946100000000001</v>
      </c>
      <c r="CTM4" s="29">
        <v>70.746499999999997</v>
      </c>
      <c r="CTN4" s="29">
        <v>68.121600000000001</v>
      </c>
      <c r="CTO4" s="29">
        <v>66.960800000000006</v>
      </c>
      <c r="CTP4" s="29">
        <v>65.722200000000001</v>
      </c>
      <c r="CTQ4" s="29">
        <v>65.828900000000004</v>
      </c>
      <c r="CTR4" s="29">
        <v>65.503399999999999</v>
      </c>
      <c r="CTS4" s="29">
        <v>64.936300000000003</v>
      </c>
      <c r="CTT4" s="29">
        <v>63.998800000000003</v>
      </c>
      <c r="CTU4" s="29">
        <v>65.016900000000007</v>
      </c>
      <c r="CTV4" s="29">
        <v>63.209800000000001</v>
      </c>
      <c r="CTW4" s="29">
        <v>64.497699999999995</v>
      </c>
      <c r="CTX4" s="29">
        <v>63.8399</v>
      </c>
      <c r="CTY4" s="29">
        <v>63.864400000000003</v>
      </c>
      <c r="CTZ4" s="29">
        <v>62.718400000000003</v>
      </c>
      <c r="CUA4" s="29">
        <v>62.918199999999999</v>
      </c>
      <c r="CUB4" s="29">
        <v>62.467700000000001</v>
      </c>
      <c r="CUC4" s="29">
        <v>60.345799999999997</v>
      </c>
      <c r="CUD4" s="29">
        <v>58.990600000000001</v>
      </c>
      <c r="CUE4" s="29">
        <v>59.766500000000001</v>
      </c>
      <c r="CUF4" s="29">
        <v>60.223100000000002</v>
      </c>
      <c r="CUG4" s="29">
        <v>58.781599999999997</v>
      </c>
      <c r="CUH4" s="29">
        <v>58.037399999999998</v>
      </c>
      <c r="CUI4" s="29">
        <v>57.357799999999997</v>
      </c>
      <c r="CUJ4" s="29">
        <v>57.023200000000003</v>
      </c>
      <c r="CUK4" s="29">
        <v>57.002499999999998</v>
      </c>
      <c r="CUL4" s="29">
        <v>56.833599999999997</v>
      </c>
      <c r="CUM4" s="29">
        <v>56.842300000000002</v>
      </c>
      <c r="CUN4" s="29">
        <v>56.950400000000002</v>
      </c>
      <c r="CUO4" s="29">
        <v>56.664200000000001</v>
      </c>
      <c r="CUP4" s="29">
        <v>56.977400000000003</v>
      </c>
      <c r="CUQ4" s="29">
        <v>56.607900000000001</v>
      </c>
      <c r="CUR4" s="29">
        <v>56.668500000000002</v>
      </c>
      <c r="CUS4" s="29">
        <v>56.9803</v>
      </c>
      <c r="CUT4" s="29">
        <v>57.217399999999998</v>
      </c>
      <c r="CUU4" s="29">
        <v>57.219200000000001</v>
      </c>
      <c r="CUV4" s="29">
        <v>56.411200000000001</v>
      </c>
      <c r="CUW4" s="29">
        <v>55.604900000000001</v>
      </c>
      <c r="CUX4" s="29">
        <v>55.655500000000004</v>
      </c>
      <c r="CUY4" s="29">
        <v>55.4756</v>
      </c>
      <c r="CUZ4" s="29">
        <v>55.841299999999997</v>
      </c>
      <c r="CVA4" s="29">
        <v>55.524000000000001</v>
      </c>
      <c r="CVB4" s="29">
        <v>54.812600000000003</v>
      </c>
      <c r="CVC4" s="29">
        <v>54.602600000000002</v>
      </c>
      <c r="CVD4" s="29">
        <v>54.074599999999997</v>
      </c>
      <c r="CVE4" s="29">
        <v>54.208100000000002</v>
      </c>
      <c r="CVF4" s="29">
        <v>53.556899999999999</v>
      </c>
      <c r="CVG4" s="29">
        <v>53.800600000000003</v>
      </c>
      <c r="CVH4" s="29">
        <v>53.330100000000002</v>
      </c>
      <c r="CVI4" s="29">
        <v>53.899900000000002</v>
      </c>
      <c r="CVJ4" s="29">
        <v>54.040900000000001</v>
      </c>
      <c r="CVK4" s="29">
        <v>55.267899999999997</v>
      </c>
      <c r="CVL4" s="29">
        <v>54.528500000000001</v>
      </c>
      <c r="CVM4" s="29">
        <v>54.821899999999999</v>
      </c>
      <c r="CVN4" s="29">
        <v>55.91</v>
      </c>
      <c r="CVO4" s="29">
        <v>56.043500000000002</v>
      </c>
      <c r="CVP4" s="29">
        <v>56.246299999999998</v>
      </c>
      <c r="CVQ4" s="29">
        <v>54.9908</v>
      </c>
      <c r="CVR4" s="29">
        <v>53.058999999999997</v>
      </c>
      <c r="CVS4" s="29">
        <v>53.441299999999998</v>
      </c>
      <c r="CVT4" s="29">
        <v>52.821300000000001</v>
      </c>
      <c r="CVU4" s="29">
        <v>52.971600000000002</v>
      </c>
      <c r="CVV4" s="29">
        <v>52.290700000000001</v>
      </c>
      <c r="CVW4" s="29">
        <v>51.017800000000001</v>
      </c>
      <c r="CVX4" s="29">
        <v>50.322299999999998</v>
      </c>
      <c r="CVY4" s="29">
        <v>49.8613</v>
      </c>
      <c r="CVZ4" s="29">
        <v>49.790100000000002</v>
      </c>
      <c r="CWA4" s="29">
        <v>49.920400000000001</v>
      </c>
      <c r="CWB4" s="29">
        <v>49.791899999999998</v>
      </c>
      <c r="CWC4" s="29">
        <v>49.177700000000002</v>
      </c>
      <c r="CWD4" s="29">
        <v>49.217500000000001</v>
      </c>
      <c r="CWE4" s="29">
        <v>50.011499999999998</v>
      </c>
      <c r="CWF4" s="29">
        <v>50.077399999999997</v>
      </c>
      <c r="CWG4" s="29">
        <v>49.5366</v>
      </c>
      <c r="CWH4" s="29">
        <v>50.914000000000001</v>
      </c>
      <c r="CWI4" s="29">
        <v>50.751100000000001</v>
      </c>
      <c r="CWJ4" s="29">
        <v>50.361499999999999</v>
      </c>
      <c r="CWK4" s="29">
        <v>49.9816</v>
      </c>
      <c r="CWL4" s="29">
        <v>51.757399999999997</v>
      </c>
      <c r="CWM4" s="29">
        <v>51.138800000000003</v>
      </c>
      <c r="CWN4" s="29">
        <v>51.7029</v>
      </c>
      <c r="CWO4" s="29">
        <v>52.304099999999998</v>
      </c>
      <c r="CWP4" s="29">
        <v>51.469000000000001</v>
      </c>
      <c r="CWQ4" s="29">
        <v>50.247300000000003</v>
      </c>
      <c r="CWR4" s="29">
        <v>51.601100000000002</v>
      </c>
      <c r="CWS4" s="29">
        <v>53.655500000000004</v>
      </c>
      <c r="CWT4" s="29">
        <v>53.972799999999999</v>
      </c>
      <c r="CWU4" s="29">
        <v>51.520699999999998</v>
      </c>
      <c r="CWV4" s="29">
        <v>50.529499999999999</v>
      </c>
      <c r="CWW4" s="29">
        <v>49.674900000000001</v>
      </c>
      <c r="CWX4" s="29">
        <v>50.503300000000003</v>
      </c>
      <c r="CWY4" s="29">
        <v>51.974899999999998</v>
      </c>
      <c r="CWZ4" s="29">
        <v>52.421999999999997</v>
      </c>
      <c r="CXA4" s="29">
        <v>51.067799999999998</v>
      </c>
      <c r="CXB4" s="29">
        <v>52.542400000000001</v>
      </c>
      <c r="CXC4" s="29">
        <v>54.027000000000001</v>
      </c>
      <c r="CXD4" s="29">
        <v>55.332799999999999</v>
      </c>
      <c r="CXE4" s="29">
        <v>56.516100000000002</v>
      </c>
      <c r="CXF4" s="29">
        <v>56.753399999999999</v>
      </c>
      <c r="CXG4" s="29">
        <v>56.990200000000002</v>
      </c>
      <c r="CXH4" s="29">
        <v>58.3536</v>
      </c>
      <c r="CXI4" s="29">
        <v>57.65</v>
      </c>
      <c r="CXJ4" s="29">
        <v>58.464300000000001</v>
      </c>
      <c r="CXK4" s="29">
        <v>57.727899999999998</v>
      </c>
      <c r="CXL4" s="29">
        <v>56.427100000000003</v>
      </c>
      <c r="CXM4" s="29">
        <v>57.387900000000002</v>
      </c>
      <c r="CXN4" s="29">
        <v>58.771000000000001</v>
      </c>
      <c r="CXO4" s="29">
        <v>59.4452</v>
      </c>
      <c r="CXP4" s="29">
        <v>60.034100000000002</v>
      </c>
      <c r="CXQ4" s="29">
        <v>59.830800000000004</v>
      </c>
      <c r="CXR4" s="29">
        <v>61.348300000000002</v>
      </c>
      <c r="CXS4" s="29">
        <v>61.750999999999998</v>
      </c>
      <c r="CXT4" s="29">
        <v>62.149700000000003</v>
      </c>
      <c r="CXU4" s="29">
        <v>61.316699999999997</v>
      </c>
      <c r="CXV4" s="29">
        <v>60.959499999999998</v>
      </c>
      <c r="CXW4" s="29">
        <v>62.679699999999997</v>
      </c>
      <c r="CXX4" s="29">
        <v>60.664900000000003</v>
      </c>
      <c r="CXY4" s="29">
        <v>59.9938</v>
      </c>
      <c r="CXZ4" s="29">
        <v>61.845700000000001</v>
      </c>
      <c r="CYA4" s="29">
        <v>61.874499999999998</v>
      </c>
      <c r="CYB4" s="29">
        <v>62.364899999999999</v>
      </c>
      <c r="CYC4" s="29">
        <v>62.224800000000002</v>
      </c>
      <c r="CYD4" s="29">
        <v>61.271799999999999</v>
      </c>
      <c r="CYE4" s="29">
        <v>60.710900000000002</v>
      </c>
      <c r="CYF4" s="29">
        <v>62.590600000000002</v>
      </c>
      <c r="CYG4" s="29">
        <v>63.508299999999998</v>
      </c>
      <c r="CYH4" s="29">
        <v>61.723500000000001</v>
      </c>
      <c r="CYI4" s="29">
        <v>62.130699999999997</v>
      </c>
      <c r="CYJ4" s="29">
        <v>62.400100000000002</v>
      </c>
      <c r="CYK4" s="29">
        <v>62.835299999999997</v>
      </c>
      <c r="CYL4" s="29">
        <v>62.663200000000003</v>
      </c>
      <c r="CYM4" s="29">
        <v>65.086200000000005</v>
      </c>
      <c r="CYN4" s="29">
        <v>66.099400000000003</v>
      </c>
      <c r="CYO4" s="29">
        <v>66.058499999999995</v>
      </c>
      <c r="CYP4" s="29">
        <v>65.446899999999999</v>
      </c>
      <c r="CYQ4" s="29">
        <v>65.781700000000001</v>
      </c>
      <c r="CYR4" s="29">
        <v>66.043199999999999</v>
      </c>
      <c r="CYS4" s="29">
        <v>68.6113</v>
      </c>
      <c r="CYT4" s="29">
        <v>65.447000000000003</v>
      </c>
      <c r="CYU4" s="29">
        <v>67.7727</v>
      </c>
      <c r="CYV4" s="29">
        <v>69.664000000000001</v>
      </c>
      <c r="CYW4" s="29">
        <v>68.929100000000005</v>
      </c>
      <c r="CYX4" s="29">
        <v>68.7303</v>
      </c>
      <c r="CYY4" s="29">
        <v>67.150599999999997</v>
      </c>
      <c r="CYZ4" s="29">
        <v>67.815299999999993</v>
      </c>
      <c r="CZA4" s="29">
        <v>65.593699999999998</v>
      </c>
      <c r="CZB4" s="29">
        <v>63.393000000000001</v>
      </c>
      <c r="CZC4" s="29">
        <v>65.400000000000006</v>
      </c>
      <c r="CZD4" s="29">
        <v>65.555800000000005</v>
      </c>
      <c r="CZE4" s="29">
        <v>64.986199999999997</v>
      </c>
      <c r="CZF4" s="29">
        <v>64.973200000000006</v>
      </c>
      <c r="CZG4" s="29">
        <v>65.1738</v>
      </c>
      <c r="CZH4" s="29">
        <v>64.833699999999993</v>
      </c>
      <c r="CZI4" s="29">
        <v>66.098299999999995</v>
      </c>
      <c r="CZJ4" s="29">
        <v>64.842500000000001</v>
      </c>
      <c r="CZK4" s="29">
        <v>62.7363</v>
      </c>
      <c r="CZL4" s="29">
        <v>56.2376</v>
      </c>
    </row>
    <row r="5" spans="1:2716">
      <c r="A5" t="s">
        <v>118</v>
      </c>
      <c r="B5" t="s">
        <v>119</v>
      </c>
      <c r="C5" t="s">
        <v>119</v>
      </c>
      <c r="D5" t="s">
        <v>119</v>
      </c>
      <c r="E5" t="s">
        <v>119</v>
      </c>
      <c r="F5" t="s">
        <v>119</v>
      </c>
      <c r="G5" t="s">
        <v>119</v>
      </c>
      <c r="H5" t="s">
        <v>119</v>
      </c>
      <c r="I5" t="s">
        <v>119</v>
      </c>
      <c r="J5" t="s">
        <v>119</v>
      </c>
      <c r="K5" t="s">
        <v>119</v>
      </c>
      <c r="L5" t="s">
        <v>119</v>
      </c>
      <c r="M5" t="s">
        <v>119</v>
      </c>
      <c r="N5" t="s">
        <v>119</v>
      </c>
      <c r="O5" t="s">
        <v>119</v>
      </c>
      <c r="P5" t="s">
        <v>119</v>
      </c>
      <c r="Q5" t="s">
        <v>119</v>
      </c>
      <c r="R5" t="s">
        <v>119</v>
      </c>
      <c r="S5" t="s">
        <v>119</v>
      </c>
      <c r="T5" t="s">
        <v>119</v>
      </c>
      <c r="U5" t="s">
        <v>119</v>
      </c>
      <c r="V5" t="s">
        <v>119</v>
      </c>
      <c r="W5" t="s">
        <v>119</v>
      </c>
      <c r="X5" t="s">
        <v>119</v>
      </c>
      <c r="Y5" t="s">
        <v>119</v>
      </c>
      <c r="Z5" t="s">
        <v>119</v>
      </c>
      <c r="AA5" t="s">
        <v>119</v>
      </c>
      <c r="AB5" t="s">
        <v>119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119</v>
      </c>
      <c r="BD5" t="s">
        <v>119</v>
      </c>
      <c r="BE5" t="s">
        <v>119</v>
      </c>
      <c r="BF5" t="s">
        <v>119</v>
      </c>
      <c r="BG5" t="s">
        <v>119</v>
      </c>
      <c r="BH5" t="s">
        <v>119</v>
      </c>
      <c r="BI5" t="s">
        <v>119</v>
      </c>
      <c r="BJ5" t="s">
        <v>119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119</v>
      </c>
      <c r="CL5" t="s">
        <v>119</v>
      </c>
      <c r="CM5" t="s">
        <v>119</v>
      </c>
      <c r="CN5" t="s">
        <v>119</v>
      </c>
      <c r="CO5" t="s">
        <v>119</v>
      </c>
      <c r="CP5" t="s">
        <v>119</v>
      </c>
      <c r="CQ5" t="s">
        <v>119</v>
      </c>
      <c r="CR5" t="s">
        <v>119</v>
      </c>
      <c r="CS5" t="s">
        <v>119</v>
      </c>
      <c r="CT5" t="s">
        <v>119</v>
      </c>
      <c r="CU5" t="s">
        <v>119</v>
      </c>
      <c r="CV5" t="s">
        <v>119</v>
      </c>
      <c r="CW5" t="s">
        <v>119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  <c r="DC5" t="s">
        <v>119</v>
      </c>
      <c r="DD5" t="s">
        <v>119</v>
      </c>
      <c r="DE5" t="s">
        <v>119</v>
      </c>
      <c r="DF5" t="s">
        <v>119</v>
      </c>
      <c r="DG5" t="s">
        <v>119</v>
      </c>
      <c r="DH5" t="s">
        <v>119</v>
      </c>
      <c r="DI5" t="s">
        <v>119</v>
      </c>
      <c r="DJ5" t="s">
        <v>119</v>
      </c>
      <c r="DK5" t="s">
        <v>119</v>
      </c>
      <c r="DL5" t="s">
        <v>119</v>
      </c>
      <c r="DM5" t="s">
        <v>119</v>
      </c>
      <c r="DN5" t="s">
        <v>119</v>
      </c>
      <c r="DO5" t="s">
        <v>119</v>
      </c>
      <c r="DP5" t="s">
        <v>119</v>
      </c>
      <c r="DQ5" t="s">
        <v>119</v>
      </c>
      <c r="DR5" t="s">
        <v>119</v>
      </c>
      <c r="DS5" t="s">
        <v>119</v>
      </c>
      <c r="DT5" t="s">
        <v>119</v>
      </c>
      <c r="DU5" t="s">
        <v>119</v>
      </c>
      <c r="DV5" t="s">
        <v>119</v>
      </c>
      <c r="DW5" t="s">
        <v>119</v>
      </c>
      <c r="DX5" t="s">
        <v>119</v>
      </c>
      <c r="DY5" t="s">
        <v>119</v>
      </c>
      <c r="DZ5" t="s">
        <v>119</v>
      </c>
      <c r="EA5" t="s">
        <v>119</v>
      </c>
      <c r="EB5" t="s">
        <v>119</v>
      </c>
      <c r="EC5" t="s">
        <v>119</v>
      </c>
      <c r="ED5" t="s">
        <v>119</v>
      </c>
      <c r="EE5" t="s">
        <v>119</v>
      </c>
      <c r="EF5" t="s">
        <v>119</v>
      </c>
      <c r="EG5" t="s">
        <v>119</v>
      </c>
      <c r="EH5" t="s">
        <v>119</v>
      </c>
      <c r="EI5" t="s">
        <v>119</v>
      </c>
      <c r="EJ5" t="s">
        <v>119</v>
      </c>
      <c r="EK5" t="s">
        <v>119</v>
      </c>
      <c r="EL5" t="s">
        <v>119</v>
      </c>
      <c r="EM5" t="s">
        <v>119</v>
      </c>
      <c r="EN5" t="s">
        <v>119</v>
      </c>
      <c r="EO5" t="s">
        <v>119</v>
      </c>
      <c r="EP5" t="s">
        <v>119</v>
      </c>
      <c r="EQ5" t="s">
        <v>119</v>
      </c>
      <c r="ER5" t="s">
        <v>119</v>
      </c>
      <c r="ES5" t="s">
        <v>119</v>
      </c>
      <c r="ET5" t="s">
        <v>119</v>
      </c>
      <c r="EU5" t="s">
        <v>119</v>
      </c>
      <c r="EV5" t="s">
        <v>119</v>
      </c>
      <c r="EW5" t="s">
        <v>119</v>
      </c>
      <c r="EX5" t="s">
        <v>119</v>
      </c>
      <c r="EY5" t="s">
        <v>119</v>
      </c>
      <c r="EZ5" t="s">
        <v>119</v>
      </c>
      <c r="FA5" t="s">
        <v>119</v>
      </c>
      <c r="FB5" t="s">
        <v>119</v>
      </c>
      <c r="FC5" t="s">
        <v>119</v>
      </c>
      <c r="FD5" t="s">
        <v>119</v>
      </c>
      <c r="FE5" t="s">
        <v>119</v>
      </c>
      <c r="FF5" t="s">
        <v>119</v>
      </c>
      <c r="FG5" t="s">
        <v>119</v>
      </c>
      <c r="FH5" t="s">
        <v>119</v>
      </c>
      <c r="FI5" t="s">
        <v>119</v>
      </c>
      <c r="FJ5" t="s">
        <v>119</v>
      </c>
      <c r="FK5" t="s">
        <v>119</v>
      </c>
      <c r="FL5" t="s">
        <v>119</v>
      </c>
      <c r="FM5" t="s">
        <v>119</v>
      </c>
      <c r="FN5" t="s">
        <v>119</v>
      </c>
      <c r="FO5" t="s">
        <v>119</v>
      </c>
      <c r="FP5" t="s">
        <v>119</v>
      </c>
      <c r="FQ5" t="s">
        <v>119</v>
      </c>
      <c r="FR5" t="s">
        <v>119</v>
      </c>
      <c r="FS5" t="s">
        <v>119</v>
      </c>
      <c r="FT5" t="s">
        <v>119</v>
      </c>
      <c r="FU5" t="s">
        <v>119</v>
      </c>
      <c r="FV5" t="s">
        <v>119</v>
      </c>
      <c r="FW5" t="s">
        <v>119</v>
      </c>
      <c r="FX5" t="s">
        <v>119</v>
      </c>
      <c r="FY5" t="s">
        <v>119</v>
      </c>
      <c r="FZ5" t="s">
        <v>119</v>
      </c>
      <c r="GA5" t="s">
        <v>119</v>
      </c>
      <c r="GB5" t="s">
        <v>119</v>
      </c>
      <c r="GC5" t="s">
        <v>119</v>
      </c>
      <c r="GD5" t="s">
        <v>119</v>
      </c>
      <c r="GE5" t="s">
        <v>119</v>
      </c>
      <c r="GF5" t="s">
        <v>119</v>
      </c>
      <c r="GG5" t="s">
        <v>119</v>
      </c>
      <c r="GH5" t="s">
        <v>119</v>
      </c>
      <c r="GI5" t="s">
        <v>119</v>
      </c>
      <c r="GJ5" t="s">
        <v>119</v>
      </c>
      <c r="GK5" t="s">
        <v>119</v>
      </c>
      <c r="GL5" t="s">
        <v>119</v>
      </c>
      <c r="GM5" t="s">
        <v>119</v>
      </c>
      <c r="GN5" t="s">
        <v>119</v>
      </c>
      <c r="GO5" t="s">
        <v>119</v>
      </c>
      <c r="GP5" t="s">
        <v>119</v>
      </c>
      <c r="GQ5" t="s">
        <v>119</v>
      </c>
      <c r="GR5" t="s">
        <v>119</v>
      </c>
      <c r="GS5" t="s">
        <v>119</v>
      </c>
      <c r="GT5" t="s">
        <v>119</v>
      </c>
      <c r="GU5" t="s">
        <v>119</v>
      </c>
      <c r="GV5" t="s">
        <v>119</v>
      </c>
      <c r="GW5" t="s">
        <v>119</v>
      </c>
      <c r="GX5" t="s">
        <v>119</v>
      </c>
      <c r="GY5" t="s">
        <v>119</v>
      </c>
      <c r="GZ5" t="s">
        <v>119</v>
      </c>
      <c r="HA5" t="s">
        <v>119</v>
      </c>
      <c r="HB5" t="s">
        <v>119</v>
      </c>
      <c r="HC5" t="s">
        <v>119</v>
      </c>
      <c r="HD5" t="s">
        <v>119</v>
      </c>
      <c r="HE5" t="s">
        <v>119</v>
      </c>
      <c r="HF5" t="s">
        <v>119</v>
      </c>
      <c r="HG5" t="s">
        <v>119</v>
      </c>
      <c r="HH5" t="s">
        <v>119</v>
      </c>
      <c r="HI5" t="s">
        <v>119</v>
      </c>
      <c r="HJ5" t="s">
        <v>119</v>
      </c>
      <c r="HK5" t="s">
        <v>119</v>
      </c>
      <c r="HL5" t="s">
        <v>119</v>
      </c>
      <c r="HM5" t="s">
        <v>119</v>
      </c>
      <c r="HN5" t="s">
        <v>119</v>
      </c>
      <c r="HO5" t="s">
        <v>119</v>
      </c>
      <c r="HP5" t="s">
        <v>119</v>
      </c>
      <c r="HQ5" t="s">
        <v>119</v>
      </c>
      <c r="HR5" t="s">
        <v>119</v>
      </c>
      <c r="HS5" t="s">
        <v>119</v>
      </c>
      <c r="HT5" t="s">
        <v>119</v>
      </c>
      <c r="HU5" t="s">
        <v>119</v>
      </c>
      <c r="HV5" t="s">
        <v>119</v>
      </c>
      <c r="HW5" t="s">
        <v>119</v>
      </c>
      <c r="HX5" t="s">
        <v>119</v>
      </c>
      <c r="HY5" t="s">
        <v>119</v>
      </c>
      <c r="HZ5" t="s">
        <v>119</v>
      </c>
      <c r="IA5" t="s">
        <v>119</v>
      </c>
      <c r="IB5" t="s">
        <v>119</v>
      </c>
      <c r="IC5" t="s">
        <v>119</v>
      </c>
      <c r="ID5" t="s">
        <v>119</v>
      </c>
      <c r="IE5" t="s">
        <v>119</v>
      </c>
      <c r="IF5" t="s">
        <v>119</v>
      </c>
      <c r="IG5" t="s">
        <v>119</v>
      </c>
      <c r="IH5" t="s">
        <v>119</v>
      </c>
      <c r="II5" t="s">
        <v>119</v>
      </c>
      <c r="IJ5" t="s">
        <v>119</v>
      </c>
      <c r="IK5" t="s">
        <v>119</v>
      </c>
      <c r="IL5" t="s">
        <v>119</v>
      </c>
      <c r="IM5" t="s">
        <v>119</v>
      </c>
      <c r="IN5" t="s">
        <v>119</v>
      </c>
      <c r="IO5" t="s">
        <v>119</v>
      </c>
      <c r="IP5" t="s">
        <v>119</v>
      </c>
      <c r="IQ5" t="s">
        <v>119</v>
      </c>
      <c r="IR5" t="s">
        <v>119</v>
      </c>
      <c r="IS5" t="s">
        <v>119</v>
      </c>
      <c r="IT5" t="s">
        <v>119</v>
      </c>
      <c r="IU5" t="s">
        <v>119</v>
      </c>
      <c r="IV5" t="s">
        <v>119</v>
      </c>
      <c r="IW5" t="s">
        <v>119</v>
      </c>
      <c r="IX5" t="s">
        <v>119</v>
      </c>
      <c r="IY5" t="s">
        <v>119</v>
      </c>
      <c r="IZ5" t="s">
        <v>119</v>
      </c>
      <c r="JA5" t="s">
        <v>119</v>
      </c>
      <c r="JB5" t="s">
        <v>119</v>
      </c>
      <c r="JC5" t="s">
        <v>119</v>
      </c>
      <c r="JD5" t="s">
        <v>119</v>
      </c>
      <c r="JE5" t="s">
        <v>119</v>
      </c>
      <c r="JF5" t="s">
        <v>119</v>
      </c>
      <c r="JG5" t="s">
        <v>119</v>
      </c>
      <c r="JH5" t="s">
        <v>119</v>
      </c>
      <c r="JI5" t="s">
        <v>119</v>
      </c>
      <c r="JJ5" t="s">
        <v>119</v>
      </c>
      <c r="JK5" t="s">
        <v>119</v>
      </c>
      <c r="JL5" t="s">
        <v>119</v>
      </c>
      <c r="JM5" t="s">
        <v>119</v>
      </c>
      <c r="JN5" t="s">
        <v>119</v>
      </c>
      <c r="JO5" t="s">
        <v>119</v>
      </c>
      <c r="JP5" t="s">
        <v>119</v>
      </c>
      <c r="JQ5" t="s">
        <v>119</v>
      </c>
      <c r="JR5" t="s">
        <v>119</v>
      </c>
      <c r="JS5" t="s">
        <v>119</v>
      </c>
      <c r="JT5" t="s">
        <v>119</v>
      </c>
      <c r="JU5" t="s">
        <v>119</v>
      </c>
      <c r="JV5" t="s">
        <v>119</v>
      </c>
      <c r="JW5" t="s">
        <v>119</v>
      </c>
      <c r="JX5" t="s">
        <v>119</v>
      </c>
      <c r="JY5" t="s">
        <v>119</v>
      </c>
      <c r="JZ5" t="s">
        <v>119</v>
      </c>
      <c r="KA5" t="s">
        <v>119</v>
      </c>
      <c r="KB5" t="s">
        <v>119</v>
      </c>
      <c r="KC5" t="s">
        <v>119</v>
      </c>
      <c r="KD5" t="s">
        <v>119</v>
      </c>
      <c r="KE5" t="s">
        <v>119</v>
      </c>
      <c r="KF5" t="s">
        <v>119</v>
      </c>
      <c r="KG5" t="s">
        <v>119</v>
      </c>
      <c r="KH5" t="s">
        <v>119</v>
      </c>
      <c r="KI5" t="s">
        <v>119</v>
      </c>
      <c r="KJ5" t="s">
        <v>119</v>
      </c>
      <c r="KK5" t="s">
        <v>119</v>
      </c>
      <c r="KL5" t="s">
        <v>119</v>
      </c>
      <c r="KM5" t="s">
        <v>119</v>
      </c>
      <c r="KN5" t="s">
        <v>119</v>
      </c>
      <c r="KO5" t="s">
        <v>119</v>
      </c>
      <c r="KP5" t="s">
        <v>119</v>
      </c>
      <c r="KQ5" t="s">
        <v>119</v>
      </c>
      <c r="KR5" t="s">
        <v>119</v>
      </c>
      <c r="KS5" t="s">
        <v>119</v>
      </c>
      <c r="KT5" t="s">
        <v>119</v>
      </c>
      <c r="KU5" t="s">
        <v>119</v>
      </c>
      <c r="KV5" t="s">
        <v>119</v>
      </c>
      <c r="KW5" t="s">
        <v>119</v>
      </c>
      <c r="KX5" t="s">
        <v>119</v>
      </c>
      <c r="KY5" t="s">
        <v>119</v>
      </c>
      <c r="KZ5" t="s">
        <v>119</v>
      </c>
      <c r="LA5" t="s">
        <v>119</v>
      </c>
      <c r="LB5" t="s">
        <v>119</v>
      </c>
      <c r="LC5" t="s">
        <v>119</v>
      </c>
      <c r="LD5" t="s">
        <v>119</v>
      </c>
      <c r="LE5" t="s">
        <v>119</v>
      </c>
      <c r="LF5" t="s">
        <v>119</v>
      </c>
      <c r="LG5" t="s">
        <v>119</v>
      </c>
      <c r="LH5" t="s">
        <v>119</v>
      </c>
      <c r="LI5" t="s">
        <v>119</v>
      </c>
      <c r="LJ5" t="s">
        <v>119</v>
      </c>
      <c r="LK5" t="s">
        <v>119</v>
      </c>
      <c r="LL5" t="s">
        <v>119</v>
      </c>
      <c r="LM5" t="s">
        <v>119</v>
      </c>
      <c r="LN5" t="s">
        <v>119</v>
      </c>
      <c r="LO5" t="s">
        <v>119</v>
      </c>
      <c r="LP5" t="s">
        <v>119</v>
      </c>
      <c r="LQ5" t="s">
        <v>119</v>
      </c>
      <c r="LR5" t="s">
        <v>119</v>
      </c>
      <c r="LS5" t="s">
        <v>119</v>
      </c>
      <c r="LT5" t="s">
        <v>119</v>
      </c>
      <c r="LU5" t="s">
        <v>119</v>
      </c>
      <c r="LV5" t="s">
        <v>119</v>
      </c>
      <c r="LW5" t="s">
        <v>119</v>
      </c>
      <c r="LX5" t="s">
        <v>119</v>
      </c>
      <c r="LY5" t="s">
        <v>119</v>
      </c>
      <c r="LZ5" t="s">
        <v>119</v>
      </c>
      <c r="MA5" t="s">
        <v>119</v>
      </c>
      <c r="MB5" t="s">
        <v>119</v>
      </c>
      <c r="MC5" t="s">
        <v>119</v>
      </c>
      <c r="MD5" t="s">
        <v>119</v>
      </c>
      <c r="ME5" t="s">
        <v>119</v>
      </c>
      <c r="MF5" t="s">
        <v>119</v>
      </c>
      <c r="MG5" t="s">
        <v>119</v>
      </c>
      <c r="MH5" t="s">
        <v>119</v>
      </c>
      <c r="MI5" t="s">
        <v>119</v>
      </c>
      <c r="MJ5" t="s">
        <v>119</v>
      </c>
      <c r="MK5" t="s">
        <v>119</v>
      </c>
      <c r="ML5" t="s">
        <v>119</v>
      </c>
      <c r="MM5" t="s">
        <v>119</v>
      </c>
      <c r="MN5" t="s">
        <v>119</v>
      </c>
      <c r="MO5" t="s">
        <v>119</v>
      </c>
      <c r="MP5" t="s">
        <v>119</v>
      </c>
      <c r="MQ5" t="s">
        <v>119</v>
      </c>
      <c r="MR5" t="s">
        <v>119</v>
      </c>
      <c r="MS5" t="s">
        <v>119</v>
      </c>
      <c r="MT5" t="s">
        <v>119</v>
      </c>
      <c r="MU5" t="s">
        <v>119</v>
      </c>
      <c r="MV5" t="s">
        <v>119</v>
      </c>
      <c r="MW5" t="s">
        <v>119</v>
      </c>
      <c r="MX5" t="s">
        <v>119</v>
      </c>
      <c r="MY5" t="s">
        <v>119</v>
      </c>
      <c r="MZ5" t="s">
        <v>119</v>
      </c>
      <c r="NA5" t="s">
        <v>119</v>
      </c>
      <c r="NB5" t="s">
        <v>119</v>
      </c>
      <c r="NC5" t="s">
        <v>119</v>
      </c>
      <c r="ND5" t="s">
        <v>119</v>
      </c>
      <c r="NE5" t="s">
        <v>119</v>
      </c>
      <c r="NF5" t="s">
        <v>119</v>
      </c>
      <c r="NG5" t="s">
        <v>119</v>
      </c>
      <c r="NH5" t="s">
        <v>119</v>
      </c>
      <c r="NI5" t="s">
        <v>119</v>
      </c>
      <c r="NJ5" t="s">
        <v>119</v>
      </c>
      <c r="NK5" t="s">
        <v>119</v>
      </c>
      <c r="NL5" t="s">
        <v>119</v>
      </c>
      <c r="NM5" t="s">
        <v>119</v>
      </c>
      <c r="NN5" t="s">
        <v>119</v>
      </c>
      <c r="NO5" t="s">
        <v>119</v>
      </c>
      <c r="NP5" t="s">
        <v>119</v>
      </c>
      <c r="NQ5" t="s">
        <v>119</v>
      </c>
      <c r="NR5" t="s">
        <v>119</v>
      </c>
      <c r="NS5" t="s">
        <v>119</v>
      </c>
      <c r="NT5" t="s">
        <v>119</v>
      </c>
      <c r="NU5" t="s">
        <v>119</v>
      </c>
      <c r="NV5" t="s">
        <v>119</v>
      </c>
      <c r="NW5" t="s">
        <v>119</v>
      </c>
      <c r="NX5" t="s">
        <v>119</v>
      </c>
      <c r="NY5" t="s">
        <v>119</v>
      </c>
      <c r="NZ5" t="s">
        <v>119</v>
      </c>
      <c r="OA5" t="s">
        <v>119</v>
      </c>
      <c r="OB5" t="s">
        <v>119</v>
      </c>
      <c r="OC5" t="s">
        <v>119</v>
      </c>
      <c r="OD5" t="s">
        <v>119</v>
      </c>
      <c r="OE5" t="s">
        <v>119</v>
      </c>
      <c r="OF5" t="s">
        <v>119</v>
      </c>
      <c r="OG5" t="s">
        <v>119</v>
      </c>
      <c r="OH5" t="s">
        <v>119</v>
      </c>
      <c r="OI5" t="s">
        <v>119</v>
      </c>
      <c r="OJ5" t="s">
        <v>119</v>
      </c>
      <c r="OK5" t="s">
        <v>119</v>
      </c>
      <c r="OL5" t="s">
        <v>119</v>
      </c>
      <c r="OM5" t="s">
        <v>119</v>
      </c>
      <c r="ON5" t="s">
        <v>119</v>
      </c>
      <c r="OO5" t="s">
        <v>119</v>
      </c>
      <c r="OP5" t="s">
        <v>119</v>
      </c>
      <c r="OQ5" t="s">
        <v>119</v>
      </c>
      <c r="OR5" t="s">
        <v>119</v>
      </c>
      <c r="OS5" t="s">
        <v>119</v>
      </c>
      <c r="OT5" t="s">
        <v>119</v>
      </c>
      <c r="OU5" t="s">
        <v>119</v>
      </c>
      <c r="OV5" t="s">
        <v>119</v>
      </c>
      <c r="OW5" t="s">
        <v>119</v>
      </c>
      <c r="OX5" t="s">
        <v>119</v>
      </c>
      <c r="OY5" t="s">
        <v>119</v>
      </c>
      <c r="OZ5" t="s">
        <v>119</v>
      </c>
      <c r="PA5" t="s">
        <v>119</v>
      </c>
      <c r="PB5" t="s">
        <v>119</v>
      </c>
      <c r="PC5" t="s">
        <v>119</v>
      </c>
      <c r="PD5" t="s">
        <v>119</v>
      </c>
      <c r="PE5" t="s">
        <v>119</v>
      </c>
      <c r="PF5" t="s">
        <v>119</v>
      </c>
      <c r="PG5" t="s">
        <v>119</v>
      </c>
      <c r="PH5" t="s">
        <v>119</v>
      </c>
      <c r="PI5" t="s">
        <v>119</v>
      </c>
      <c r="PJ5" t="s">
        <v>119</v>
      </c>
      <c r="PK5" t="s">
        <v>119</v>
      </c>
      <c r="PL5" t="s">
        <v>119</v>
      </c>
      <c r="PM5" t="s">
        <v>119</v>
      </c>
      <c r="PN5" t="s">
        <v>119</v>
      </c>
      <c r="PO5" t="s">
        <v>119</v>
      </c>
      <c r="PP5" t="s">
        <v>119</v>
      </c>
      <c r="PQ5" t="s">
        <v>119</v>
      </c>
      <c r="PR5" t="s">
        <v>119</v>
      </c>
      <c r="PS5" t="s">
        <v>119</v>
      </c>
      <c r="PT5" t="s">
        <v>119</v>
      </c>
      <c r="PU5" t="s">
        <v>119</v>
      </c>
      <c r="PV5" t="s">
        <v>119</v>
      </c>
      <c r="PW5" t="s">
        <v>119</v>
      </c>
      <c r="PX5" t="s">
        <v>119</v>
      </c>
      <c r="PY5" t="s">
        <v>119</v>
      </c>
      <c r="PZ5" t="s">
        <v>119</v>
      </c>
      <c r="QA5" t="s">
        <v>119</v>
      </c>
      <c r="QB5" t="s">
        <v>119</v>
      </c>
      <c r="QC5" t="s">
        <v>119</v>
      </c>
      <c r="QD5" t="s">
        <v>119</v>
      </c>
      <c r="QE5" t="s">
        <v>119</v>
      </c>
      <c r="QF5" t="s">
        <v>119</v>
      </c>
      <c r="QG5" t="s">
        <v>119</v>
      </c>
      <c r="QH5" t="s">
        <v>119</v>
      </c>
      <c r="QI5" t="s">
        <v>119</v>
      </c>
      <c r="QJ5" t="s">
        <v>119</v>
      </c>
      <c r="QK5" t="s">
        <v>119</v>
      </c>
      <c r="QL5" t="s">
        <v>119</v>
      </c>
      <c r="QM5" t="s">
        <v>119</v>
      </c>
      <c r="QN5" t="s">
        <v>119</v>
      </c>
      <c r="QO5" t="s">
        <v>119</v>
      </c>
      <c r="QP5" t="s">
        <v>119</v>
      </c>
      <c r="QQ5" t="s">
        <v>119</v>
      </c>
      <c r="QR5" t="s">
        <v>119</v>
      </c>
      <c r="QS5" t="s">
        <v>119</v>
      </c>
      <c r="QT5" t="s">
        <v>119</v>
      </c>
      <c r="QU5" t="s">
        <v>119</v>
      </c>
      <c r="QV5" t="s">
        <v>119</v>
      </c>
      <c r="QW5" t="s">
        <v>119</v>
      </c>
      <c r="QX5" t="s">
        <v>119</v>
      </c>
      <c r="QY5" t="s">
        <v>119</v>
      </c>
      <c r="QZ5" t="s">
        <v>119</v>
      </c>
      <c r="RA5" t="s">
        <v>119</v>
      </c>
      <c r="RB5" t="s">
        <v>119</v>
      </c>
      <c r="RC5" t="s">
        <v>119</v>
      </c>
      <c r="RD5" t="s">
        <v>119</v>
      </c>
      <c r="RE5" t="s">
        <v>119</v>
      </c>
      <c r="RF5" t="s">
        <v>119</v>
      </c>
      <c r="RG5" t="s">
        <v>119</v>
      </c>
      <c r="RH5" t="s">
        <v>119</v>
      </c>
      <c r="RI5" t="s">
        <v>119</v>
      </c>
      <c r="RJ5" t="s">
        <v>119</v>
      </c>
      <c r="RK5" t="s">
        <v>119</v>
      </c>
      <c r="RL5" t="s">
        <v>119</v>
      </c>
      <c r="RM5" t="s">
        <v>119</v>
      </c>
      <c r="RN5" t="s">
        <v>119</v>
      </c>
      <c r="RO5" t="s">
        <v>119</v>
      </c>
      <c r="RP5" t="s">
        <v>119</v>
      </c>
      <c r="RQ5" t="s">
        <v>119</v>
      </c>
      <c r="RR5" t="s">
        <v>119</v>
      </c>
      <c r="RS5" t="s">
        <v>119</v>
      </c>
      <c r="RT5" t="s">
        <v>119</v>
      </c>
      <c r="RU5" t="s">
        <v>119</v>
      </c>
      <c r="RV5" t="s">
        <v>119</v>
      </c>
      <c r="RW5" t="s">
        <v>119</v>
      </c>
      <c r="RX5" t="s">
        <v>119</v>
      </c>
      <c r="RY5" t="s">
        <v>119</v>
      </c>
      <c r="RZ5" t="s">
        <v>119</v>
      </c>
      <c r="SA5" t="s">
        <v>119</v>
      </c>
      <c r="SB5" t="s">
        <v>119</v>
      </c>
      <c r="SC5" t="s">
        <v>119</v>
      </c>
      <c r="SD5" t="s">
        <v>119</v>
      </c>
      <c r="SE5" t="s">
        <v>119</v>
      </c>
      <c r="SF5" t="s">
        <v>119</v>
      </c>
      <c r="SG5" t="s">
        <v>119</v>
      </c>
      <c r="SH5" t="s">
        <v>119</v>
      </c>
      <c r="SI5" t="s">
        <v>119</v>
      </c>
      <c r="SJ5" t="s">
        <v>119</v>
      </c>
      <c r="SK5" t="s">
        <v>119</v>
      </c>
      <c r="SL5" t="s">
        <v>119</v>
      </c>
      <c r="SM5" t="s">
        <v>119</v>
      </c>
      <c r="SN5" t="s">
        <v>119</v>
      </c>
      <c r="SO5" t="s">
        <v>119</v>
      </c>
      <c r="SP5" t="s">
        <v>119</v>
      </c>
      <c r="SQ5" t="s">
        <v>119</v>
      </c>
      <c r="SR5" t="s">
        <v>119</v>
      </c>
      <c r="SS5" t="s">
        <v>119</v>
      </c>
      <c r="ST5" t="s">
        <v>119</v>
      </c>
      <c r="SU5" t="s">
        <v>119</v>
      </c>
      <c r="SV5" t="s">
        <v>119</v>
      </c>
      <c r="SW5" t="s">
        <v>119</v>
      </c>
      <c r="SX5" t="s">
        <v>119</v>
      </c>
      <c r="SY5" t="s">
        <v>119</v>
      </c>
      <c r="SZ5" t="s">
        <v>119</v>
      </c>
      <c r="TA5" t="s">
        <v>119</v>
      </c>
      <c r="TB5" t="s">
        <v>119</v>
      </c>
      <c r="TC5" t="s">
        <v>119</v>
      </c>
      <c r="TD5" t="s">
        <v>119</v>
      </c>
      <c r="TE5" t="s">
        <v>119</v>
      </c>
      <c r="TF5" t="s">
        <v>119</v>
      </c>
      <c r="TG5" t="s">
        <v>119</v>
      </c>
      <c r="TH5" t="s">
        <v>119</v>
      </c>
      <c r="TI5" t="s">
        <v>119</v>
      </c>
      <c r="TJ5" t="s">
        <v>119</v>
      </c>
      <c r="TK5" t="s">
        <v>119</v>
      </c>
      <c r="TL5" t="s">
        <v>119</v>
      </c>
      <c r="TM5" t="s">
        <v>119</v>
      </c>
      <c r="TN5" t="s">
        <v>119</v>
      </c>
      <c r="TO5" t="s">
        <v>119</v>
      </c>
      <c r="TP5" t="s">
        <v>119</v>
      </c>
      <c r="TQ5" t="s">
        <v>119</v>
      </c>
      <c r="TR5" t="s">
        <v>119</v>
      </c>
      <c r="TS5" t="s">
        <v>119</v>
      </c>
      <c r="TT5" t="s">
        <v>119</v>
      </c>
      <c r="TU5" t="s">
        <v>119</v>
      </c>
      <c r="TV5" t="s">
        <v>119</v>
      </c>
      <c r="TW5" t="s">
        <v>119</v>
      </c>
      <c r="TX5" t="s">
        <v>119</v>
      </c>
      <c r="TY5" t="s">
        <v>119</v>
      </c>
      <c r="TZ5" t="s">
        <v>119</v>
      </c>
      <c r="UA5" t="s">
        <v>119</v>
      </c>
      <c r="UB5" t="s">
        <v>119</v>
      </c>
      <c r="UC5" t="s">
        <v>119</v>
      </c>
      <c r="UD5" t="s">
        <v>119</v>
      </c>
      <c r="UE5" t="s">
        <v>119</v>
      </c>
      <c r="UF5" t="s">
        <v>119</v>
      </c>
      <c r="UG5" t="s">
        <v>119</v>
      </c>
      <c r="UH5" t="s">
        <v>119</v>
      </c>
      <c r="UI5" t="s">
        <v>119</v>
      </c>
      <c r="UJ5" t="s">
        <v>119</v>
      </c>
      <c r="UK5" t="s">
        <v>119</v>
      </c>
      <c r="UL5" t="s">
        <v>119</v>
      </c>
      <c r="UM5" t="s">
        <v>119</v>
      </c>
      <c r="UN5" t="s">
        <v>119</v>
      </c>
      <c r="UO5" t="s">
        <v>119</v>
      </c>
      <c r="UP5" t="s">
        <v>119</v>
      </c>
      <c r="UQ5" t="s">
        <v>119</v>
      </c>
      <c r="UR5" t="s">
        <v>119</v>
      </c>
      <c r="US5" t="s">
        <v>119</v>
      </c>
      <c r="UT5" t="s">
        <v>119</v>
      </c>
      <c r="UU5" t="s">
        <v>119</v>
      </c>
      <c r="UV5" t="s">
        <v>119</v>
      </c>
      <c r="UW5" t="s">
        <v>119</v>
      </c>
      <c r="UX5" t="s">
        <v>119</v>
      </c>
      <c r="UY5" t="s">
        <v>119</v>
      </c>
      <c r="UZ5" t="s">
        <v>119</v>
      </c>
      <c r="VA5" t="s">
        <v>119</v>
      </c>
      <c r="VB5" t="s">
        <v>119</v>
      </c>
      <c r="VC5" t="s">
        <v>119</v>
      </c>
      <c r="VD5" t="s">
        <v>119</v>
      </c>
      <c r="VE5" t="s">
        <v>119</v>
      </c>
      <c r="VF5" t="s">
        <v>119</v>
      </c>
      <c r="VG5" t="s">
        <v>119</v>
      </c>
      <c r="VH5" t="s">
        <v>119</v>
      </c>
      <c r="VI5" t="s">
        <v>119</v>
      </c>
      <c r="VJ5" t="s">
        <v>119</v>
      </c>
      <c r="VK5" t="s">
        <v>119</v>
      </c>
      <c r="VL5" t="s">
        <v>119</v>
      </c>
      <c r="VM5" t="s">
        <v>119</v>
      </c>
      <c r="VN5" t="s">
        <v>119</v>
      </c>
      <c r="VO5" t="s">
        <v>119</v>
      </c>
      <c r="VP5" t="s">
        <v>119</v>
      </c>
      <c r="VQ5" t="s">
        <v>119</v>
      </c>
      <c r="VR5" t="s">
        <v>119</v>
      </c>
      <c r="VS5" t="s">
        <v>119</v>
      </c>
      <c r="VT5" t="s">
        <v>119</v>
      </c>
      <c r="VU5" t="s">
        <v>119</v>
      </c>
      <c r="VV5" t="s">
        <v>119</v>
      </c>
      <c r="VW5" t="s">
        <v>119</v>
      </c>
      <c r="VX5" t="s">
        <v>119</v>
      </c>
      <c r="VY5" t="s">
        <v>119</v>
      </c>
      <c r="VZ5" t="s">
        <v>119</v>
      </c>
      <c r="WA5" t="s">
        <v>119</v>
      </c>
      <c r="WB5" t="s">
        <v>119</v>
      </c>
      <c r="WC5" t="s">
        <v>119</v>
      </c>
      <c r="WD5" t="s">
        <v>119</v>
      </c>
      <c r="WE5" t="s">
        <v>119</v>
      </c>
      <c r="WF5" t="s">
        <v>119</v>
      </c>
      <c r="WG5" t="s">
        <v>119</v>
      </c>
      <c r="WH5" t="s">
        <v>119</v>
      </c>
      <c r="WI5" t="s">
        <v>119</v>
      </c>
      <c r="WJ5" t="s">
        <v>119</v>
      </c>
      <c r="WK5" t="s">
        <v>119</v>
      </c>
      <c r="WL5" t="s">
        <v>119</v>
      </c>
      <c r="WM5" t="s">
        <v>119</v>
      </c>
      <c r="WN5" t="s">
        <v>119</v>
      </c>
      <c r="WO5" t="s">
        <v>119</v>
      </c>
      <c r="WP5" t="s">
        <v>119</v>
      </c>
      <c r="WQ5" t="s">
        <v>119</v>
      </c>
      <c r="WR5" t="s">
        <v>119</v>
      </c>
      <c r="WS5" t="s">
        <v>119</v>
      </c>
      <c r="WT5" t="s">
        <v>119</v>
      </c>
      <c r="WU5" t="s">
        <v>119</v>
      </c>
      <c r="WV5" t="s">
        <v>119</v>
      </c>
      <c r="WW5" t="s">
        <v>119</v>
      </c>
      <c r="WX5" t="s">
        <v>119</v>
      </c>
      <c r="WY5" t="s">
        <v>119</v>
      </c>
      <c r="WZ5" t="s">
        <v>119</v>
      </c>
      <c r="XA5" t="s">
        <v>119</v>
      </c>
      <c r="XB5" t="s">
        <v>119</v>
      </c>
      <c r="XC5" t="s">
        <v>119</v>
      </c>
      <c r="XD5" t="s">
        <v>119</v>
      </c>
      <c r="XE5" t="s">
        <v>119</v>
      </c>
      <c r="XF5" t="s">
        <v>119</v>
      </c>
      <c r="XG5" t="s">
        <v>119</v>
      </c>
      <c r="XH5" t="s">
        <v>119</v>
      </c>
      <c r="XI5" t="s">
        <v>119</v>
      </c>
      <c r="XJ5" t="s">
        <v>119</v>
      </c>
      <c r="XK5" t="s">
        <v>119</v>
      </c>
      <c r="XL5" t="s">
        <v>119</v>
      </c>
      <c r="XM5" t="s">
        <v>119</v>
      </c>
      <c r="XN5" t="s">
        <v>119</v>
      </c>
      <c r="XO5" t="s">
        <v>119</v>
      </c>
      <c r="XP5" t="s">
        <v>119</v>
      </c>
      <c r="XQ5" t="s">
        <v>119</v>
      </c>
      <c r="XR5" t="s">
        <v>119</v>
      </c>
      <c r="XS5" t="s">
        <v>119</v>
      </c>
      <c r="XT5" t="s">
        <v>119</v>
      </c>
      <c r="XU5" t="s">
        <v>119</v>
      </c>
      <c r="XV5" t="s">
        <v>119</v>
      </c>
      <c r="XW5" t="s">
        <v>119</v>
      </c>
      <c r="XX5" t="s">
        <v>119</v>
      </c>
      <c r="XY5" t="s">
        <v>119</v>
      </c>
      <c r="XZ5" t="s">
        <v>119</v>
      </c>
      <c r="YA5" t="s">
        <v>119</v>
      </c>
      <c r="YB5" t="s">
        <v>119</v>
      </c>
      <c r="YC5" t="s">
        <v>119</v>
      </c>
      <c r="YD5" t="s">
        <v>119</v>
      </c>
      <c r="YE5" t="s">
        <v>119</v>
      </c>
      <c r="YF5" t="s">
        <v>119</v>
      </c>
      <c r="YG5" t="s">
        <v>119</v>
      </c>
      <c r="YH5" t="s">
        <v>119</v>
      </c>
      <c r="YI5" t="s">
        <v>119</v>
      </c>
      <c r="YJ5" t="s">
        <v>119</v>
      </c>
      <c r="YK5" t="s">
        <v>119</v>
      </c>
      <c r="YL5" t="s">
        <v>119</v>
      </c>
      <c r="YM5" t="s">
        <v>119</v>
      </c>
      <c r="YN5" t="s">
        <v>119</v>
      </c>
      <c r="YO5" t="s">
        <v>119</v>
      </c>
      <c r="YP5" t="s">
        <v>119</v>
      </c>
      <c r="YQ5" t="s">
        <v>119</v>
      </c>
      <c r="YR5" t="s">
        <v>119</v>
      </c>
      <c r="YS5" t="s">
        <v>119</v>
      </c>
      <c r="YT5" t="s">
        <v>119</v>
      </c>
      <c r="YU5" t="s">
        <v>119</v>
      </c>
      <c r="YV5" t="s">
        <v>119</v>
      </c>
      <c r="YW5" t="s">
        <v>119</v>
      </c>
      <c r="YX5" t="s">
        <v>119</v>
      </c>
      <c r="YY5" t="s">
        <v>119</v>
      </c>
      <c r="YZ5" t="s">
        <v>119</v>
      </c>
      <c r="ZA5" t="s">
        <v>119</v>
      </c>
      <c r="ZB5" t="s">
        <v>119</v>
      </c>
      <c r="ZC5" t="s">
        <v>119</v>
      </c>
      <c r="ZD5" t="s">
        <v>119</v>
      </c>
      <c r="ZE5" t="s">
        <v>119</v>
      </c>
      <c r="ZF5" t="s">
        <v>119</v>
      </c>
      <c r="ZG5" t="s">
        <v>119</v>
      </c>
      <c r="ZH5" t="s">
        <v>119</v>
      </c>
      <c r="ZI5" t="s">
        <v>119</v>
      </c>
      <c r="ZJ5" t="s">
        <v>119</v>
      </c>
      <c r="ZK5" t="s">
        <v>119</v>
      </c>
      <c r="ZL5" t="s">
        <v>119</v>
      </c>
      <c r="ZM5" t="s">
        <v>119</v>
      </c>
      <c r="ZN5" t="s">
        <v>119</v>
      </c>
      <c r="ZO5" t="s">
        <v>119</v>
      </c>
      <c r="ZP5" t="s">
        <v>119</v>
      </c>
      <c r="ZQ5" t="s">
        <v>119</v>
      </c>
      <c r="ZR5" t="s">
        <v>119</v>
      </c>
      <c r="ZS5" t="s">
        <v>119</v>
      </c>
      <c r="ZT5" t="s">
        <v>119</v>
      </c>
      <c r="ZU5" t="s">
        <v>119</v>
      </c>
      <c r="ZV5" t="s">
        <v>119</v>
      </c>
      <c r="ZW5" t="s">
        <v>119</v>
      </c>
      <c r="ZX5" t="s">
        <v>119</v>
      </c>
      <c r="ZY5" t="s">
        <v>119</v>
      </c>
      <c r="ZZ5" t="s">
        <v>119</v>
      </c>
      <c r="AAA5" t="s">
        <v>119</v>
      </c>
      <c r="AAB5" t="s">
        <v>119</v>
      </c>
      <c r="AAC5" t="s">
        <v>119</v>
      </c>
      <c r="AAD5" t="s">
        <v>119</v>
      </c>
      <c r="AAE5" t="s">
        <v>119</v>
      </c>
      <c r="AAF5" t="s">
        <v>119</v>
      </c>
      <c r="AAG5" t="s">
        <v>119</v>
      </c>
      <c r="AAH5" t="s">
        <v>119</v>
      </c>
      <c r="AAI5" t="s">
        <v>119</v>
      </c>
      <c r="AAJ5" t="s">
        <v>119</v>
      </c>
      <c r="AAK5" t="s">
        <v>119</v>
      </c>
      <c r="AAL5" t="s">
        <v>119</v>
      </c>
      <c r="AAM5" t="s">
        <v>119</v>
      </c>
      <c r="AAN5" t="s">
        <v>119</v>
      </c>
      <c r="AAO5" t="s">
        <v>119</v>
      </c>
      <c r="AAP5" t="s">
        <v>119</v>
      </c>
      <c r="AAQ5" t="s">
        <v>119</v>
      </c>
      <c r="AAR5" t="s">
        <v>119</v>
      </c>
      <c r="AAS5" t="s">
        <v>119</v>
      </c>
      <c r="AAT5" t="s">
        <v>119</v>
      </c>
      <c r="AAU5" t="s">
        <v>119</v>
      </c>
      <c r="AAV5" t="s">
        <v>119</v>
      </c>
      <c r="AAW5" t="s">
        <v>119</v>
      </c>
      <c r="AAX5" t="s">
        <v>119</v>
      </c>
      <c r="AAY5" t="s">
        <v>119</v>
      </c>
      <c r="AAZ5" t="s">
        <v>119</v>
      </c>
      <c r="ABA5" t="s">
        <v>119</v>
      </c>
      <c r="ABB5" t="s">
        <v>119</v>
      </c>
      <c r="ABC5" t="s">
        <v>119</v>
      </c>
      <c r="ABD5" t="s">
        <v>119</v>
      </c>
      <c r="ABE5" t="s">
        <v>119</v>
      </c>
      <c r="ABF5" t="s">
        <v>119</v>
      </c>
      <c r="ABG5" t="s">
        <v>119</v>
      </c>
      <c r="ABH5" t="s">
        <v>119</v>
      </c>
      <c r="ABI5" t="s">
        <v>119</v>
      </c>
      <c r="ABJ5" t="s">
        <v>119</v>
      </c>
      <c r="ABK5" t="s">
        <v>119</v>
      </c>
      <c r="ABL5" t="s">
        <v>119</v>
      </c>
      <c r="ABM5" t="s">
        <v>119</v>
      </c>
      <c r="ABN5" t="s">
        <v>119</v>
      </c>
      <c r="ABO5" t="s">
        <v>119</v>
      </c>
      <c r="ABP5" t="s">
        <v>119</v>
      </c>
      <c r="ABQ5" t="s">
        <v>119</v>
      </c>
      <c r="ABR5" t="s">
        <v>119</v>
      </c>
      <c r="ABS5" t="s">
        <v>119</v>
      </c>
      <c r="ABT5" t="s">
        <v>119</v>
      </c>
      <c r="ABU5" t="s">
        <v>119</v>
      </c>
      <c r="ABV5" t="s">
        <v>119</v>
      </c>
      <c r="ABW5" t="s">
        <v>119</v>
      </c>
      <c r="ABX5" t="s">
        <v>119</v>
      </c>
      <c r="ABY5" t="s">
        <v>119</v>
      </c>
      <c r="ABZ5" t="s">
        <v>119</v>
      </c>
      <c r="ACA5" t="s">
        <v>119</v>
      </c>
      <c r="ACB5" t="s">
        <v>119</v>
      </c>
      <c r="ACC5" t="s">
        <v>119</v>
      </c>
      <c r="ACD5" t="s">
        <v>119</v>
      </c>
      <c r="ACE5" t="s">
        <v>119</v>
      </c>
      <c r="ACF5" t="s">
        <v>119</v>
      </c>
      <c r="ACG5" t="s">
        <v>119</v>
      </c>
      <c r="ACH5" t="s">
        <v>119</v>
      </c>
      <c r="ACI5" t="s">
        <v>119</v>
      </c>
      <c r="ACJ5" t="s">
        <v>119</v>
      </c>
      <c r="ACK5" t="s">
        <v>119</v>
      </c>
      <c r="ACL5" t="s">
        <v>119</v>
      </c>
      <c r="ACM5" t="s">
        <v>119</v>
      </c>
      <c r="ACN5" t="s">
        <v>119</v>
      </c>
      <c r="ACO5" t="s">
        <v>119</v>
      </c>
      <c r="ACP5" t="s">
        <v>119</v>
      </c>
      <c r="ACQ5" t="s">
        <v>119</v>
      </c>
      <c r="ACR5" t="s">
        <v>119</v>
      </c>
      <c r="ACS5" t="s">
        <v>119</v>
      </c>
      <c r="ACT5" t="s">
        <v>119</v>
      </c>
      <c r="ACU5" t="s">
        <v>119</v>
      </c>
      <c r="ACV5" t="s">
        <v>119</v>
      </c>
      <c r="ACW5" t="s">
        <v>119</v>
      </c>
      <c r="ACX5" t="s">
        <v>119</v>
      </c>
      <c r="ACY5" t="s">
        <v>119</v>
      </c>
      <c r="ACZ5" t="s">
        <v>119</v>
      </c>
      <c r="ADA5" t="s">
        <v>119</v>
      </c>
      <c r="ADB5" t="s">
        <v>119</v>
      </c>
      <c r="ADC5" t="s">
        <v>119</v>
      </c>
      <c r="ADD5" t="s">
        <v>119</v>
      </c>
      <c r="ADE5" t="s">
        <v>119</v>
      </c>
      <c r="ADF5" t="s">
        <v>119</v>
      </c>
      <c r="ADG5" t="s">
        <v>119</v>
      </c>
      <c r="ADH5" t="s">
        <v>119</v>
      </c>
      <c r="ADI5" t="s">
        <v>119</v>
      </c>
      <c r="ADJ5" t="s">
        <v>119</v>
      </c>
      <c r="ADK5" t="s">
        <v>119</v>
      </c>
      <c r="ADL5" t="s">
        <v>119</v>
      </c>
      <c r="ADM5" t="s">
        <v>119</v>
      </c>
      <c r="ADN5" t="s">
        <v>119</v>
      </c>
      <c r="ADO5" t="s">
        <v>119</v>
      </c>
      <c r="ADP5" t="s">
        <v>119</v>
      </c>
      <c r="ADQ5" t="s">
        <v>119</v>
      </c>
      <c r="ADR5" t="s">
        <v>119</v>
      </c>
      <c r="ADS5" t="s">
        <v>119</v>
      </c>
      <c r="ADT5" t="s">
        <v>119</v>
      </c>
      <c r="ADU5" t="s">
        <v>119</v>
      </c>
      <c r="ADV5" t="s">
        <v>119</v>
      </c>
      <c r="ADW5" t="s">
        <v>119</v>
      </c>
      <c r="ADX5" t="s">
        <v>119</v>
      </c>
      <c r="ADY5" t="s">
        <v>119</v>
      </c>
      <c r="ADZ5" t="s">
        <v>119</v>
      </c>
      <c r="AEA5" t="s">
        <v>119</v>
      </c>
      <c r="AEB5" t="s">
        <v>119</v>
      </c>
      <c r="AEC5" t="s">
        <v>119</v>
      </c>
      <c r="AED5" t="s">
        <v>119</v>
      </c>
      <c r="AEE5" t="s">
        <v>119</v>
      </c>
      <c r="AEF5" t="s">
        <v>119</v>
      </c>
      <c r="AEG5" t="s">
        <v>119</v>
      </c>
      <c r="AEH5" t="s">
        <v>119</v>
      </c>
      <c r="AEI5" t="s">
        <v>119</v>
      </c>
      <c r="AEJ5" t="s">
        <v>119</v>
      </c>
      <c r="AEK5" t="s">
        <v>119</v>
      </c>
      <c r="AEL5" t="s">
        <v>119</v>
      </c>
      <c r="AEM5" t="s">
        <v>119</v>
      </c>
      <c r="AEN5" t="s">
        <v>119</v>
      </c>
      <c r="AEO5" t="s">
        <v>119</v>
      </c>
      <c r="AEP5" t="s">
        <v>119</v>
      </c>
      <c r="AEQ5" t="s">
        <v>119</v>
      </c>
      <c r="AER5" t="s">
        <v>119</v>
      </c>
      <c r="AES5" t="s">
        <v>119</v>
      </c>
      <c r="AET5" t="s">
        <v>119</v>
      </c>
      <c r="AEU5" t="s">
        <v>119</v>
      </c>
      <c r="AEV5" t="s">
        <v>119</v>
      </c>
      <c r="AEW5" t="s">
        <v>119</v>
      </c>
      <c r="AEX5" t="s">
        <v>119</v>
      </c>
      <c r="AEY5" t="s">
        <v>119</v>
      </c>
      <c r="AEZ5" t="s">
        <v>119</v>
      </c>
      <c r="AFA5" t="s">
        <v>119</v>
      </c>
      <c r="AFB5" t="s">
        <v>119</v>
      </c>
      <c r="AFC5" t="s">
        <v>119</v>
      </c>
      <c r="AFD5" t="s">
        <v>119</v>
      </c>
      <c r="AFE5" t="s">
        <v>119</v>
      </c>
      <c r="AFF5" t="s">
        <v>119</v>
      </c>
      <c r="AFG5" t="s">
        <v>119</v>
      </c>
      <c r="AFH5" t="s">
        <v>119</v>
      </c>
      <c r="AFI5" t="s">
        <v>119</v>
      </c>
      <c r="AFJ5" t="s">
        <v>119</v>
      </c>
      <c r="AFK5" t="s">
        <v>119</v>
      </c>
      <c r="AFL5" t="s">
        <v>119</v>
      </c>
      <c r="AFM5" t="s">
        <v>119</v>
      </c>
      <c r="AFN5" t="s">
        <v>119</v>
      </c>
      <c r="AFO5" t="s">
        <v>119</v>
      </c>
      <c r="AFP5" t="s">
        <v>119</v>
      </c>
      <c r="AFQ5" t="s">
        <v>119</v>
      </c>
      <c r="AFR5" t="s">
        <v>119</v>
      </c>
      <c r="AFS5" t="s">
        <v>119</v>
      </c>
      <c r="AFT5" t="s">
        <v>119</v>
      </c>
      <c r="AFU5" t="s">
        <v>119</v>
      </c>
      <c r="AFV5" t="s">
        <v>119</v>
      </c>
      <c r="AFW5" t="s">
        <v>119</v>
      </c>
      <c r="AFX5" t="s">
        <v>119</v>
      </c>
      <c r="AFY5" t="s">
        <v>119</v>
      </c>
      <c r="AFZ5" t="s">
        <v>119</v>
      </c>
      <c r="AGA5" t="s">
        <v>119</v>
      </c>
      <c r="AGB5" t="s">
        <v>119</v>
      </c>
      <c r="AGC5" t="s">
        <v>119</v>
      </c>
      <c r="AGD5" t="s">
        <v>119</v>
      </c>
      <c r="AGE5" t="s">
        <v>119</v>
      </c>
      <c r="AGF5" t="s">
        <v>119</v>
      </c>
      <c r="AGG5" t="s">
        <v>119</v>
      </c>
      <c r="AGH5" t="s">
        <v>119</v>
      </c>
      <c r="AGI5" t="s">
        <v>119</v>
      </c>
      <c r="AGJ5" t="s">
        <v>119</v>
      </c>
      <c r="AGK5" t="s">
        <v>119</v>
      </c>
      <c r="AGL5" t="s">
        <v>119</v>
      </c>
      <c r="AGM5" t="s">
        <v>119</v>
      </c>
      <c r="AGN5" t="s">
        <v>119</v>
      </c>
      <c r="AGO5" t="s">
        <v>119</v>
      </c>
      <c r="AGP5" t="s">
        <v>119</v>
      </c>
      <c r="AGQ5" t="s">
        <v>119</v>
      </c>
      <c r="AGR5" t="s">
        <v>119</v>
      </c>
      <c r="AGS5" t="s">
        <v>119</v>
      </c>
      <c r="AGT5" t="s">
        <v>119</v>
      </c>
      <c r="AGU5" t="s">
        <v>119</v>
      </c>
      <c r="AGV5" t="s">
        <v>119</v>
      </c>
      <c r="AGW5" t="s">
        <v>119</v>
      </c>
      <c r="AGX5" t="s">
        <v>119</v>
      </c>
      <c r="AGY5" t="s">
        <v>119</v>
      </c>
      <c r="AGZ5" t="s">
        <v>119</v>
      </c>
      <c r="AHA5" t="s">
        <v>119</v>
      </c>
      <c r="AHB5" t="s">
        <v>119</v>
      </c>
      <c r="AHC5" t="s">
        <v>119</v>
      </c>
      <c r="AHD5" t="s">
        <v>119</v>
      </c>
      <c r="AHE5" t="s">
        <v>119</v>
      </c>
      <c r="AHF5" t="s">
        <v>119</v>
      </c>
      <c r="AHG5" t="s">
        <v>119</v>
      </c>
      <c r="AHH5" t="s">
        <v>119</v>
      </c>
      <c r="AHI5" t="s">
        <v>119</v>
      </c>
      <c r="AHJ5" t="s">
        <v>119</v>
      </c>
      <c r="AHK5" t="s">
        <v>119</v>
      </c>
      <c r="AHL5" t="s">
        <v>119</v>
      </c>
      <c r="AHM5" t="s">
        <v>119</v>
      </c>
      <c r="AHN5" t="s">
        <v>119</v>
      </c>
      <c r="AHO5" t="s">
        <v>119</v>
      </c>
      <c r="AHP5" t="s">
        <v>119</v>
      </c>
      <c r="AHQ5" t="s">
        <v>119</v>
      </c>
      <c r="AHR5" t="s">
        <v>119</v>
      </c>
      <c r="AHS5" t="s">
        <v>119</v>
      </c>
      <c r="AHT5" t="s">
        <v>119</v>
      </c>
      <c r="AHU5" t="s">
        <v>119</v>
      </c>
      <c r="AHV5" t="s">
        <v>119</v>
      </c>
      <c r="AHW5" t="s">
        <v>119</v>
      </c>
      <c r="AHX5" t="s">
        <v>119</v>
      </c>
      <c r="AHY5" t="s">
        <v>119</v>
      </c>
      <c r="AHZ5" t="s">
        <v>119</v>
      </c>
      <c r="AIA5" t="s">
        <v>119</v>
      </c>
      <c r="AIB5" t="s">
        <v>119</v>
      </c>
      <c r="AIC5" t="s">
        <v>119</v>
      </c>
      <c r="AID5" t="s">
        <v>119</v>
      </c>
      <c r="AIE5" t="s">
        <v>119</v>
      </c>
      <c r="AIF5" t="s">
        <v>119</v>
      </c>
      <c r="AIG5" t="s">
        <v>119</v>
      </c>
      <c r="AIH5" t="s">
        <v>119</v>
      </c>
      <c r="AII5" t="s">
        <v>119</v>
      </c>
      <c r="AIJ5" t="s">
        <v>119</v>
      </c>
      <c r="AIK5" t="s">
        <v>119</v>
      </c>
      <c r="AIL5" t="s">
        <v>119</v>
      </c>
      <c r="AIM5" t="s">
        <v>119</v>
      </c>
      <c r="AIN5" t="s">
        <v>119</v>
      </c>
      <c r="AIO5" t="s">
        <v>119</v>
      </c>
      <c r="AIP5" t="s">
        <v>119</v>
      </c>
      <c r="AIQ5" t="s">
        <v>119</v>
      </c>
      <c r="AIR5" t="s">
        <v>119</v>
      </c>
      <c r="AIS5" t="s">
        <v>119</v>
      </c>
      <c r="AIT5" t="s">
        <v>119</v>
      </c>
      <c r="AIU5" t="s">
        <v>119</v>
      </c>
      <c r="AIV5" t="s">
        <v>119</v>
      </c>
      <c r="AIW5" t="s">
        <v>119</v>
      </c>
      <c r="AIX5" t="s">
        <v>119</v>
      </c>
      <c r="AIY5" t="s">
        <v>119</v>
      </c>
      <c r="AIZ5" t="s">
        <v>119</v>
      </c>
      <c r="AJA5" t="s">
        <v>119</v>
      </c>
      <c r="AJB5" t="s">
        <v>119</v>
      </c>
      <c r="AJC5" t="s">
        <v>119</v>
      </c>
      <c r="AJD5" t="s">
        <v>119</v>
      </c>
      <c r="AJE5" t="s">
        <v>119</v>
      </c>
      <c r="AJF5" t="s">
        <v>119</v>
      </c>
      <c r="AJG5" t="s">
        <v>119</v>
      </c>
      <c r="AJH5" t="s">
        <v>119</v>
      </c>
      <c r="AJI5" t="s">
        <v>119</v>
      </c>
      <c r="AJJ5" t="s">
        <v>119</v>
      </c>
      <c r="AJK5" t="s">
        <v>119</v>
      </c>
      <c r="AJL5" t="s">
        <v>119</v>
      </c>
      <c r="AJM5" t="s">
        <v>119</v>
      </c>
      <c r="AJN5" t="s">
        <v>119</v>
      </c>
      <c r="AJO5" t="s">
        <v>119</v>
      </c>
      <c r="AJP5" t="s">
        <v>119</v>
      </c>
      <c r="AJQ5" t="s">
        <v>119</v>
      </c>
      <c r="AJR5" t="s">
        <v>119</v>
      </c>
      <c r="AJS5" t="s">
        <v>119</v>
      </c>
      <c r="AJT5" t="s">
        <v>119</v>
      </c>
      <c r="AJU5" t="s">
        <v>119</v>
      </c>
      <c r="AJV5" t="s">
        <v>119</v>
      </c>
      <c r="AJW5" t="s">
        <v>119</v>
      </c>
      <c r="AJX5" t="s">
        <v>119</v>
      </c>
      <c r="AJY5" t="s">
        <v>119</v>
      </c>
      <c r="AJZ5" t="s">
        <v>119</v>
      </c>
      <c r="AKA5" t="s">
        <v>119</v>
      </c>
      <c r="AKB5" t="s">
        <v>119</v>
      </c>
      <c r="AKC5" t="s">
        <v>119</v>
      </c>
      <c r="AKD5" t="s">
        <v>119</v>
      </c>
      <c r="AKE5" t="s">
        <v>119</v>
      </c>
      <c r="AKF5" t="s">
        <v>119</v>
      </c>
      <c r="AKG5" t="s">
        <v>119</v>
      </c>
      <c r="AKH5" t="s">
        <v>119</v>
      </c>
      <c r="AKI5" t="s">
        <v>119</v>
      </c>
      <c r="AKJ5" t="s">
        <v>119</v>
      </c>
      <c r="AKK5" t="s">
        <v>119</v>
      </c>
      <c r="AKL5" t="s">
        <v>119</v>
      </c>
      <c r="AKM5" t="s">
        <v>119</v>
      </c>
      <c r="AKN5" t="s">
        <v>119</v>
      </c>
      <c r="AKO5" t="s">
        <v>119</v>
      </c>
      <c r="AKP5" t="s">
        <v>119</v>
      </c>
      <c r="AKQ5" t="s">
        <v>119</v>
      </c>
      <c r="AKR5" t="s">
        <v>119</v>
      </c>
      <c r="AKS5" t="s">
        <v>119</v>
      </c>
      <c r="AKT5" t="s">
        <v>119</v>
      </c>
      <c r="AKU5" t="s">
        <v>119</v>
      </c>
      <c r="AKV5" t="s">
        <v>119</v>
      </c>
      <c r="AKW5" t="s">
        <v>119</v>
      </c>
      <c r="AKX5" t="s">
        <v>119</v>
      </c>
      <c r="AKY5" t="s">
        <v>119</v>
      </c>
      <c r="AKZ5" t="s">
        <v>119</v>
      </c>
      <c r="ALA5" t="s">
        <v>119</v>
      </c>
      <c r="ALB5" t="s">
        <v>119</v>
      </c>
      <c r="ALC5" t="s">
        <v>119</v>
      </c>
      <c r="ALD5" t="s">
        <v>119</v>
      </c>
      <c r="ALE5" t="s">
        <v>119</v>
      </c>
      <c r="ALF5" t="s">
        <v>119</v>
      </c>
      <c r="ALG5" t="s">
        <v>119</v>
      </c>
      <c r="ALH5" t="s">
        <v>119</v>
      </c>
      <c r="ALI5" t="s">
        <v>119</v>
      </c>
      <c r="ALJ5" t="s">
        <v>119</v>
      </c>
      <c r="ALK5" t="s">
        <v>119</v>
      </c>
      <c r="ALL5" t="s">
        <v>119</v>
      </c>
      <c r="ALM5" t="s">
        <v>119</v>
      </c>
      <c r="ALN5" t="s">
        <v>119</v>
      </c>
      <c r="ALO5" t="s">
        <v>119</v>
      </c>
      <c r="ALP5" t="s">
        <v>119</v>
      </c>
      <c r="ALQ5" t="s">
        <v>119</v>
      </c>
      <c r="ALR5" t="s">
        <v>119</v>
      </c>
      <c r="ALS5" t="s">
        <v>119</v>
      </c>
      <c r="ALT5" t="s">
        <v>119</v>
      </c>
      <c r="ALU5" t="s">
        <v>119</v>
      </c>
      <c r="ALV5" t="s">
        <v>119</v>
      </c>
      <c r="ALW5" t="s">
        <v>119</v>
      </c>
      <c r="ALX5" t="s">
        <v>119</v>
      </c>
      <c r="ALY5" t="s">
        <v>119</v>
      </c>
      <c r="ALZ5" t="s">
        <v>119</v>
      </c>
      <c r="AMA5" t="s">
        <v>119</v>
      </c>
      <c r="AMB5" t="s">
        <v>119</v>
      </c>
      <c r="AMC5" t="s">
        <v>119</v>
      </c>
      <c r="AMD5" t="s">
        <v>119</v>
      </c>
      <c r="AME5" t="s">
        <v>119</v>
      </c>
      <c r="AMF5" t="s">
        <v>119</v>
      </c>
      <c r="AMG5" t="s">
        <v>119</v>
      </c>
      <c r="AMH5" t="s">
        <v>119</v>
      </c>
      <c r="AMI5" t="s">
        <v>119</v>
      </c>
      <c r="AMJ5" t="s">
        <v>119</v>
      </c>
      <c r="AMK5" t="s">
        <v>119</v>
      </c>
      <c r="AML5" t="s">
        <v>119</v>
      </c>
      <c r="AMM5" t="s">
        <v>119</v>
      </c>
      <c r="AMN5" t="s">
        <v>119</v>
      </c>
      <c r="AMO5" t="s">
        <v>119</v>
      </c>
      <c r="AMP5" t="s">
        <v>119</v>
      </c>
      <c r="AMQ5" t="s">
        <v>119</v>
      </c>
      <c r="AMR5" t="s">
        <v>119</v>
      </c>
      <c r="AMS5" t="s">
        <v>119</v>
      </c>
      <c r="AMT5" t="s">
        <v>119</v>
      </c>
      <c r="AMU5" t="s">
        <v>119</v>
      </c>
      <c r="AMV5" t="s">
        <v>119</v>
      </c>
      <c r="AMW5" t="s">
        <v>119</v>
      </c>
      <c r="AMX5" t="s">
        <v>119</v>
      </c>
      <c r="AMY5" t="s">
        <v>119</v>
      </c>
      <c r="AMZ5" t="s">
        <v>119</v>
      </c>
      <c r="ANA5" t="s">
        <v>119</v>
      </c>
      <c r="ANB5" t="s">
        <v>119</v>
      </c>
      <c r="ANC5" t="s">
        <v>119</v>
      </c>
      <c r="AND5" t="s">
        <v>119</v>
      </c>
      <c r="ANE5" t="s">
        <v>119</v>
      </c>
      <c r="ANF5" t="s">
        <v>119</v>
      </c>
      <c r="ANG5" t="s">
        <v>119</v>
      </c>
      <c r="ANH5" t="s">
        <v>119</v>
      </c>
      <c r="ANI5" t="s">
        <v>119</v>
      </c>
      <c r="ANJ5" t="s">
        <v>119</v>
      </c>
      <c r="ANK5" t="s">
        <v>119</v>
      </c>
      <c r="ANL5" t="s">
        <v>119</v>
      </c>
      <c r="ANM5" t="s">
        <v>119</v>
      </c>
      <c r="ANN5" t="s">
        <v>119</v>
      </c>
      <c r="ANO5" t="s">
        <v>119</v>
      </c>
      <c r="ANP5" t="s">
        <v>119</v>
      </c>
      <c r="ANQ5" t="s">
        <v>119</v>
      </c>
      <c r="ANR5" t="s">
        <v>119</v>
      </c>
      <c r="ANS5" t="s">
        <v>119</v>
      </c>
      <c r="ANT5" t="s">
        <v>119</v>
      </c>
      <c r="ANU5" t="s">
        <v>119</v>
      </c>
      <c r="ANV5" t="s">
        <v>119</v>
      </c>
      <c r="ANW5" t="s">
        <v>119</v>
      </c>
      <c r="ANX5" t="s">
        <v>119</v>
      </c>
      <c r="ANY5" t="s">
        <v>119</v>
      </c>
      <c r="ANZ5" t="s">
        <v>119</v>
      </c>
      <c r="AOA5" t="s">
        <v>119</v>
      </c>
      <c r="AOB5" t="s">
        <v>119</v>
      </c>
      <c r="AOC5" t="s">
        <v>119</v>
      </c>
      <c r="AOD5" t="s">
        <v>119</v>
      </c>
      <c r="AOE5" t="s">
        <v>119</v>
      </c>
      <c r="AOF5" t="s">
        <v>119</v>
      </c>
      <c r="AOG5" t="s">
        <v>119</v>
      </c>
      <c r="AOH5" t="s">
        <v>119</v>
      </c>
      <c r="AOI5" t="s">
        <v>119</v>
      </c>
      <c r="AOJ5" t="s">
        <v>119</v>
      </c>
      <c r="AOK5" t="s">
        <v>119</v>
      </c>
      <c r="AOL5" t="s">
        <v>119</v>
      </c>
      <c r="AOM5" t="s">
        <v>119</v>
      </c>
      <c r="AON5" t="s">
        <v>119</v>
      </c>
      <c r="AOO5" t="s">
        <v>119</v>
      </c>
      <c r="AOP5" t="s">
        <v>119</v>
      </c>
      <c r="AOQ5" t="s">
        <v>119</v>
      </c>
      <c r="AOR5" t="s">
        <v>119</v>
      </c>
      <c r="AOS5" t="s">
        <v>119</v>
      </c>
      <c r="AOT5" t="s">
        <v>119</v>
      </c>
      <c r="AOU5" t="s">
        <v>119</v>
      </c>
      <c r="AOV5" t="s">
        <v>119</v>
      </c>
      <c r="AOW5" t="s">
        <v>119</v>
      </c>
      <c r="AOX5" t="s">
        <v>119</v>
      </c>
      <c r="AOY5" t="s">
        <v>119</v>
      </c>
      <c r="AOZ5" t="s">
        <v>119</v>
      </c>
      <c r="APA5" t="s">
        <v>119</v>
      </c>
      <c r="APB5" t="s">
        <v>119</v>
      </c>
      <c r="APC5" t="s">
        <v>119</v>
      </c>
      <c r="APD5" t="s">
        <v>119</v>
      </c>
      <c r="APE5" t="s">
        <v>119</v>
      </c>
      <c r="APF5" t="s">
        <v>119</v>
      </c>
      <c r="APG5" t="s">
        <v>119</v>
      </c>
      <c r="APH5" t="s">
        <v>119</v>
      </c>
      <c r="API5" t="s">
        <v>119</v>
      </c>
      <c r="APJ5" t="s">
        <v>119</v>
      </c>
      <c r="APK5" t="s">
        <v>119</v>
      </c>
      <c r="APL5" t="s">
        <v>119</v>
      </c>
      <c r="APM5" t="s">
        <v>119</v>
      </c>
      <c r="APN5" t="s">
        <v>119</v>
      </c>
      <c r="APO5" t="s">
        <v>119</v>
      </c>
      <c r="APP5" t="s">
        <v>119</v>
      </c>
      <c r="APQ5" t="s">
        <v>119</v>
      </c>
      <c r="APR5" t="s">
        <v>119</v>
      </c>
      <c r="APS5" t="s">
        <v>119</v>
      </c>
      <c r="APT5" t="s">
        <v>119</v>
      </c>
      <c r="APU5" t="s">
        <v>119</v>
      </c>
      <c r="APV5" t="s">
        <v>119</v>
      </c>
      <c r="APW5" t="s">
        <v>119</v>
      </c>
      <c r="APX5" t="s">
        <v>119</v>
      </c>
      <c r="APY5" t="s">
        <v>119</v>
      </c>
      <c r="APZ5" t="s">
        <v>119</v>
      </c>
      <c r="AQA5" t="s">
        <v>119</v>
      </c>
      <c r="AQB5" t="s">
        <v>119</v>
      </c>
      <c r="AQC5" t="s">
        <v>119</v>
      </c>
      <c r="AQD5" t="s">
        <v>119</v>
      </c>
      <c r="AQE5" t="s">
        <v>119</v>
      </c>
      <c r="AQF5" t="s">
        <v>119</v>
      </c>
      <c r="AQG5" t="s">
        <v>119</v>
      </c>
      <c r="AQH5" t="s">
        <v>119</v>
      </c>
      <c r="AQI5" t="s">
        <v>119</v>
      </c>
      <c r="AQJ5" t="s">
        <v>119</v>
      </c>
      <c r="AQK5" t="s">
        <v>119</v>
      </c>
      <c r="AQL5" t="s">
        <v>119</v>
      </c>
      <c r="AQM5" t="s">
        <v>119</v>
      </c>
      <c r="AQN5" t="s">
        <v>119</v>
      </c>
      <c r="AQO5" t="s">
        <v>119</v>
      </c>
      <c r="AQP5" t="s">
        <v>119</v>
      </c>
      <c r="AQQ5" t="s">
        <v>119</v>
      </c>
      <c r="AQR5" t="s">
        <v>119</v>
      </c>
      <c r="AQS5" t="s">
        <v>119</v>
      </c>
      <c r="AQT5" t="s">
        <v>119</v>
      </c>
      <c r="AQU5" t="s">
        <v>119</v>
      </c>
      <c r="AQV5" t="s">
        <v>119</v>
      </c>
      <c r="AQW5" t="s">
        <v>119</v>
      </c>
      <c r="AQX5" t="s">
        <v>119</v>
      </c>
      <c r="AQY5" t="s">
        <v>119</v>
      </c>
      <c r="AQZ5" t="s">
        <v>119</v>
      </c>
      <c r="ARA5" t="s">
        <v>119</v>
      </c>
      <c r="ARB5" t="s">
        <v>119</v>
      </c>
      <c r="ARC5" t="s">
        <v>119</v>
      </c>
      <c r="ARD5" t="s">
        <v>119</v>
      </c>
      <c r="ARE5" t="s">
        <v>119</v>
      </c>
      <c r="ARF5" t="s">
        <v>119</v>
      </c>
      <c r="ARG5" t="s">
        <v>119</v>
      </c>
      <c r="ARH5" t="s">
        <v>119</v>
      </c>
      <c r="ARI5" t="s">
        <v>119</v>
      </c>
      <c r="ARJ5" t="s">
        <v>119</v>
      </c>
      <c r="ARK5" t="s">
        <v>119</v>
      </c>
      <c r="ARL5" t="s">
        <v>119</v>
      </c>
      <c r="ARM5" t="s">
        <v>119</v>
      </c>
      <c r="ARN5" t="s">
        <v>119</v>
      </c>
      <c r="ARO5" t="s">
        <v>119</v>
      </c>
      <c r="ARP5" t="s">
        <v>119</v>
      </c>
      <c r="ARQ5" t="s">
        <v>119</v>
      </c>
      <c r="ARR5" t="s">
        <v>119</v>
      </c>
      <c r="ARS5" t="s">
        <v>119</v>
      </c>
      <c r="ART5" t="s">
        <v>119</v>
      </c>
      <c r="ARU5" t="s">
        <v>119</v>
      </c>
      <c r="ARV5" t="s">
        <v>119</v>
      </c>
      <c r="ARW5" t="s">
        <v>119</v>
      </c>
      <c r="ARX5" t="s">
        <v>119</v>
      </c>
      <c r="ARY5" t="s">
        <v>119</v>
      </c>
      <c r="ARZ5" t="s">
        <v>119</v>
      </c>
      <c r="ASA5" t="s">
        <v>119</v>
      </c>
      <c r="ASB5" t="s">
        <v>119</v>
      </c>
      <c r="ASC5" t="s">
        <v>119</v>
      </c>
      <c r="ASD5" t="s">
        <v>119</v>
      </c>
      <c r="ASE5" t="s">
        <v>119</v>
      </c>
      <c r="ASF5" t="s">
        <v>119</v>
      </c>
      <c r="ASG5" t="s">
        <v>119</v>
      </c>
      <c r="ASH5" t="s">
        <v>119</v>
      </c>
      <c r="ASI5" t="s">
        <v>119</v>
      </c>
      <c r="ASJ5" t="s">
        <v>119</v>
      </c>
      <c r="ASK5" t="s">
        <v>119</v>
      </c>
      <c r="ASL5" t="s">
        <v>119</v>
      </c>
      <c r="ASM5" t="s">
        <v>119</v>
      </c>
      <c r="ASN5" t="s">
        <v>119</v>
      </c>
      <c r="ASO5" t="s">
        <v>119</v>
      </c>
      <c r="ASP5" t="s">
        <v>119</v>
      </c>
      <c r="ASQ5" t="s">
        <v>119</v>
      </c>
      <c r="ASR5" t="s">
        <v>119</v>
      </c>
      <c r="ASS5" t="s">
        <v>119</v>
      </c>
      <c r="AST5" t="s">
        <v>119</v>
      </c>
      <c r="ASU5" t="s">
        <v>119</v>
      </c>
      <c r="ASV5" t="s">
        <v>119</v>
      </c>
      <c r="ASW5" t="s">
        <v>119</v>
      </c>
      <c r="ASX5" t="s">
        <v>119</v>
      </c>
      <c r="ASY5" t="s">
        <v>119</v>
      </c>
      <c r="ASZ5" t="s">
        <v>119</v>
      </c>
      <c r="ATA5" t="s">
        <v>119</v>
      </c>
      <c r="ATB5" t="s">
        <v>119</v>
      </c>
      <c r="ATC5" t="s">
        <v>119</v>
      </c>
      <c r="ATD5" t="s">
        <v>119</v>
      </c>
      <c r="ATE5" t="s">
        <v>119</v>
      </c>
      <c r="ATF5" t="s">
        <v>119</v>
      </c>
      <c r="ATG5" t="s">
        <v>119</v>
      </c>
      <c r="ATH5" t="s">
        <v>119</v>
      </c>
      <c r="ATI5" t="s">
        <v>119</v>
      </c>
      <c r="ATJ5" t="s">
        <v>119</v>
      </c>
      <c r="ATK5" t="s">
        <v>119</v>
      </c>
      <c r="ATL5" t="s">
        <v>119</v>
      </c>
      <c r="ATM5" t="s">
        <v>119</v>
      </c>
      <c r="ATN5" t="s">
        <v>119</v>
      </c>
      <c r="ATO5" t="s">
        <v>119</v>
      </c>
      <c r="ATP5" t="s">
        <v>119</v>
      </c>
      <c r="ATQ5" t="s">
        <v>119</v>
      </c>
      <c r="ATR5" t="s">
        <v>119</v>
      </c>
      <c r="ATS5" t="s">
        <v>119</v>
      </c>
      <c r="ATT5" t="s">
        <v>119</v>
      </c>
      <c r="ATU5" t="s">
        <v>119</v>
      </c>
      <c r="ATV5" t="s">
        <v>119</v>
      </c>
      <c r="ATW5" t="s">
        <v>119</v>
      </c>
      <c r="ATX5" t="s">
        <v>119</v>
      </c>
      <c r="ATY5" t="s">
        <v>119</v>
      </c>
      <c r="ATZ5" t="s">
        <v>119</v>
      </c>
      <c r="AUA5" t="s">
        <v>119</v>
      </c>
      <c r="AUB5" t="s">
        <v>119</v>
      </c>
      <c r="AUC5" t="s">
        <v>119</v>
      </c>
      <c r="AUD5" t="s">
        <v>119</v>
      </c>
      <c r="AUE5" t="s">
        <v>119</v>
      </c>
      <c r="AUF5" t="s">
        <v>119</v>
      </c>
      <c r="AUG5" t="s">
        <v>119</v>
      </c>
      <c r="AUH5" t="s">
        <v>119</v>
      </c>
      <c r="AUI5" t="s">
        <v>119</v>
      </c>
      <c r="AUJ5" t="s">
        <v>119</v>
      </c>
      <c r="AUK5" t="s">
        <v>119</v>
      </c>
      <c r="AUL5" t="s">
        <v>119</v>
      </c>
      <c r="AUM5" t="s">
        <v>119</v>
      </c>
      <c r="AUN5" t="s">
        <v>119</v>
      </c>
      <c r="AUO5" t="s">
        <v>119</v>
      </c>
      <c r="AUP5" t="s">
        <v>119</v>
      </c>
      <c r="AUQ5" t="s">
        <v>119</v>
      </c>
      <c r="AUR5" t="s">
        <v>119</v>
      </c>
      <c r="AUS5" t="s">
        <v>119</v>
      </c>
      <c r="AUT5" t="s">
        <v>119</v>
      </c>
      <c r="AUU5" t="s">
        <v>119</v>
      </c>
      <c r="AUV5" t="s">
        <v>119</v>
      </c>
      <c r="AUW5" t="s">
        <v>119</v>
      </c>
      <c r="AUX5" t="s">
        <v>119</v>
      </c>
      <c r="AUY5" t="s">
        <v>119</v>
      </c>
      <c r="AUZ5" t="s">
        <v>119</v>
      </c>
      <c r="AVA5" t="s">
        <v>119</v>
      </c>
      <c r="AVB5" t="s">
        <v>119</v>
      </c>
      <c r="AVC5" t="s">
        <v>119</v>
      </c>
      <c r="AVD5" t="s">
        <v>119</v>
      </c>
      <c r="AVE5" t="s">
        <v>119</v>
      </c>
      <c r="AVF5" t="s">
        <v>119</v>
      </c>
      <c r="AVG5" t="s">
        <v>119</v>
      </c>
      <c r="AVH5" t="s">
        <v>119</v>
      </c>
      <c r="AVI5" t="s">
        <v>119</v>
      </c>
      <c r="AVJ5" t="s">
        <v>119</v>
      </c>
      <c r="AVK5" t="s">
        <v>119</v>
      </c>
      <c r="AVL5" t="s">
        <v>119</v>
      </c>
      <c r="AVM5" t="s">
        <v>119</v>
      </c>
      <c r="AVN5" t="s">
        <v>119</v>
      </c>
      <c r="AVO5" t="s">
        <v>119</v>
      </c>
      <c r="AVP5" t="s">
        <v>119</v>
      </c>
      <c r="AVQ5" t="s">
        <v>119</v>
      </c>
      <c r="AVR5" t="s">
        <v>119</v>
      </c>
      <c r="AVS5" t="s">
        <v>119</v>
      </c>
      <c r="AVT5" t="s">
        <v>119</v>
      </c>
      <c r="AVU5" t="s">
        <v>119</v>
      </c>
      <c r="AVV5" t="s">
        <v>119</v>
      </c>
      <c r="AVW5" t="s">
        <v>119</v>
      </c>
      <c r="AVX5" t="s">
        <v>119</v>
      </c>
      <c r="AVY5" t="s">
        <v>119</v>
      </c>
      <c r="AVZ5" t="s">
        <v>119</v>
      </c>
      <c r="AWA5" t="s">
        <v>119</v>
      </c>
      <c r="AWB5" t="s">
        <v>119</v>
      </c>
      <c r="AWC5" t="s">
        <v>119</v>
      </c>
      <c r="AWD5" t="s">
        <v>119</v>
      </c>
      <c r="AWE5" t="s">
        <v>119</v>
      </c>
      <c r="AWF5" t="s">
        <v>119</v>
      </c>
      <c r="AWG5" t="s">
        <v>119</v>
      </c>
      <c r="AWH5" t="s">
        <v>119</v>
      </c>
      <c r="AWI5" t="s">
        <v>119</v>
      </c>
      <c r="AWJ5" t="s">
        <v>119</v>
      </c>
      <c r="AWK5" t="s">
        <v>119</v>
      </c>
      <c r="AWL5" t="s">
        <v>119</v>
      </c>
      <c r="AWM5" t="s">
        <v>119</v>
      </c>
      <c r="AWN5" t="s">
        <v>119</v>
      </c>
      <c r="AWO5" t="s">
        <v>119</v>
      </c>
      <c r="AWP5" t="s">
        <v>119</v>
      </c>
      <c r="AWQ5" t="s">
        <v>119</v>
      </c>
      <c r="AWR5" t="s">
        <v>119</v>
      </c>
      <c r="AWS5" t="s">
        <v>119</v>
      </c>
      <c r="AWT5" t="s">
        <v>119</v>
      </c>
      <c r="AWU5" t="s">
        <v>119</v>
      </c>
      <c r="AWV5" t="s">
        <v>119</v>
      </c>
      <c r="AWW5" t="s">
        <v>119</v>
      </c>
      <c r="AWX5" t="s">
        <v>119</v>
      </c>
      <c r="AWY5" t="s">
        <v>119</v>
      </c>
      <c r="AWZ5" t="s">
        <v>119</v>
      </c>
      <c r="AXA5" t="s">
        <v>119</v>
      </c>
      <c r="AXB5" t="s">
        <v>119</v>
      </c>
      <c r="AXC5" t="s">
        <v>119</v>
      </c>
      <c r="AXD5" t="s">
        <v>119</v>
      </c>
      <c r="AXE5" t="s">
        <v>119</v>
      </c>
      <c r="AXF5" t="s">
        <v>119</v>
      </c>
      <c r="AXG5" t="s">
        <v>119</v>
      </c>
      <c r="AXH5" t="s">
        <v>119</v>
      </c>
      <c r="AXI5" t="s">
        <v>119</v>
      </c>
      <c r="AXJ5" t="s">
        <v>119</v>
      </c>
      <c r="AXK5" t="s">
        <v>119</v>
      </c>
      <c r="AXL5" t="s">
        <v>119</v>
      </c>
      <c r="AXM5" t="s">
        <v>119</v>
      </c>
      <c r="AXN5" t="s">
        <v>119</v>
      </c>
      <c r="AXO5" t="s">
        <v>119</v>
      </c>
      <c r="AXP5" t="s">
        <v>119</v>
      </c>
      <c r="AXQ5" t="s">
        <v>119</v>
      </c>
      <c r="AXR5" t="s">
        <v>119</v>
      </c>
      <c r="AXS5" t="s">
        <v>119</v>
      </c>
      <c r="AXT5" t="s">
        <v>119</v>
      </c>
      <c r="AXU5" t="s">
        <v>119</v>
      </c>
      <c r="AXV5" t="s">
        <v>119</v>
      </c>
      <c r="AXW5" t="s">
        <v>119</v>
      </c>
      <c r="AXX5" t="s">
        <v>119</v>
      </c>
      <c r="AXY5" t="s">
        <v>119</v>
      </c>
      <c r="AXZ5" t="s">
        <v>119</v>
      </c>
      <c r="AYA5" t="s">
        <v>119</v>
      </c>
      <c r="AYB5" t="s">
        <v>119</v>
      </c>
      <c r="AYC5" t="s">
        <v>119</v>
      </c>
      <c r="AYD5" t="s">
        <v>119</v>
      </c>
      <c r="AYE5" t="s">
        <v>119</v>
      </c>
      <c r="AYF5" t="s">
        <v>119</v>
      </c>
      <c r="AYG5" t="s">
        <v>119</v>
      </c>
      <c r="AYH5" t="s">
        <v>119</v>
      </c>
      <c r="AYI5" t="s">
        <v>119</v>
      </c>
      <c r="AYJ5" t="s">
        <v>119</v>
      </c>
      <c r="AYK5" t="s">
        <v>119</v>
      </c>
      <c r="AYL5" t="s">
        <v>119</v>
      </c>
      <c r="AYM5" t="s">
        <v>119</v>
      </c>
      <c r="AYN5" t="s">
        <v>119</v>
      </c>
      <c r="AYO5" t="s">
        <v>119</v>
      </c>
      <c r="AYP5" t="s">
        <v>119</v>
      </c>
      <c r="AYQ5" t="s">
        <v>119</v>
      </c>
      <c r="AYR5" t="s">
        <v>119</v>
      </c>
      <c r="AYS5" t="s">
        <v>119</v>
      </c>
      <c r="AYT5" t="s">
        <v>119</v>
      </c>
      <c r="AYU5" t="s">
        <v>119</v>
      </c>
      <c r="AYV5" t="s">
        <v>119</v>
      </c>
      <c r="AYW5" t="s">
        <v>119</v>
      </c>
      <c r="AYX5" t="s">
        <v>119</v>
      </c>
      <c r="AYY5" t="s">
        <v>119</v>
      </c>
      <c r="AYZ5" t="s">
        <v>119</v>
      </c>
      <c r="AZA5" t="s">
        <v>119</v>
      </c>
      <c r="AZB5" t="s">
        <v>119</v>
      </c>
      <c r="AZC5" t="s">
        <v>119</v>
      </c>
      <c r="AZD5" t="s">
        <v>119</v>
      </c>
      <c r="AZE5" t="s">
        <v>119</v>
      </c>
      <c r="AZF5" t="s">
        <v>119</v>
      </c>
      <c r="AZG5" t="s">
        <v>119</v>
      </c>
      <c r="AZH5" t="s">
        <v>119</v>
      </c>
      <c r="AZI5" t="s">
        <v>119</v>
      </c>
      <c r="AZJ5" t="s">
        <v>119</v>
      </c>
      <c r="AZK5" t="s">
        <v>119</v>
      </c>
      <c r="AZL5" t="s">
        <v>119</v>
      </c>
      <c r="AZM5" t="s">
        <v>119</v>
      </c>
      <c r="AZN5" t="s">
        <v>119</v>
      </c>
      <c r="AZO5" t="s">
        <v>119</v>
      </c>
      <c r="AZP5" t="s">
        <v>119</v>
      </c>
      <c r="AZQ5" t="s">
        <v>119</v>
      </c>
      <c r="AZR5" t="s">
        <v>119</v>
      </c>
      <c r="AZS5" t="s">
        <v>119</v>
      </c>
      <c r="AZT5" t="s">
        <v>119</v>
      </c>
      <c r="AZU5" t="s">
        <v>119</v>
      </c>
      <c r="AZV5" t="s">
        <v>119</v>
      </c>
      <c r="AZW5" t="s">
        <v>119</v>
      </c>
      <c r="AZX5" t="s">
        <v>119</v>
      </c>
      <c r="AZY5" t="s">
        <v>119</v>
      </c>
      <c r="AZZ5" t="s">
        <v>119</v>
      </c>
      <c r="BAA5" t="s">
        <v>119</v>
      </c>
      <c r="BAB5" t="s">
        <v>119</v>
      </c>
      <c r="BAC5" t="s">
        <v>119</v>
      </c>
      <c r="BAD5" t="s">
        <v>119</v>
      </c>
      <c r="BAE5" t="s">
        <v>119</v>
      </c>
      <c r="BAF5" t="s">
        <v>119</v>
      </c>
      <c r="BAG5" t="s">
        <v>119</v>
      </c>
      <c r="BAH5" t="s">
        <v>119</v>
      </c>
      <c r="BAI5" t="s">
        <v>119</v>
      </c>
      <c r="BAJ5" t="s">
        <v>119</v>
      </c>
      <c r="BAK5" t="s">
        <v>119</v>
      </c>
      <c r="BAL5" t="s">
        <v>119</v>
      </c>
      <c r="BAM5" t="s">
        <v>119</v>
      </c>
      <c r="BAN5" t="s">
        <v>119</v>
      </c>
      <c r="BAO5" t="s">
        <v>119</v>
      </c>
      <c r="BAP5" t="s">
        <v>119</v>
      </c>
      <c r="BAQ5" t="s">
        <v>119</v>
      </c>
      <c r="BAR5" t="s">
        <v>119</v>
      </c>
      <c r="BAS5" t="s">
        <v>119</v>
      </c>
      <c r="BAT5" t="s">
        <v>119</v>
      </c>
      <c r="BAU5" t="s">
        <v>119</v>
      </c>
      <c r="BAV5" t="s">
        <v>119</v>
      </c>
      <c r="BAW5" t="s">
        <v>119</v>
      </c>
      <c r="BAX5" t="s">
        <v>119</v>
      </c>
      <c r="BAY5" t="s">
        <v>119</v>
      </c>
      <c r="BAZ5" t="s">
        <v>119</v>
      </c>
      <c r="BBA5" t="s">
        <v>119</v>
      </c>
      <c r="BBB5" t="s">
        <v>119</v>
      </c>
      <c r="BBC5" t="s">
        <v>119</v>
      </c>
      <c r="BBD5" t="s">
        <v>119</v>
      </c>
      <c r="BBE5" t="s">
        <v>119</v>
      </c>
      <c r="BBF5" t="s">
        <v>119</v>
      </c>
      <c r="BBG5" t="s">
        <v>119</v>
      </c>
      <c r="BBH5" t="s">
        <v>119</v>
      </c>
      <c r="BBI5" t="s">
        <v>119</v>
      </c>
      <c r="BBJ5" t="s">
        <v>119</v>
      </c>
      <c r="BBK5" t="s">
        <v>119</v>
      </c>
      <c r="BBL5" t="s">
        <v>119</v>
      </c>
      <c r="BBM5" t="s">
        <v>119</v>
      </c>
      <c r="BBN5" t="s">
        <v>119</v>
      </c>
      <c r="BBO5" t="s">
        <v>119</v>
      </c>
      <c r="BBP5" t="s">
        <v>119</v>
      </c>
      <c r="BBQ5" t="s">
        <v>119</v>
      </c>
      <c r="BBR5" t="s">
        <v>119</v>
      </c>
      <c r="BBS5" t="s">
        <v>119</v>
      </c>
      <c r="BBT5" t="s">
        <v>119</v>
      </c>
      <c r="BBU5" t="s">
        <v>119</v>
      </c>
      <c r="BBV5" t="s">
        <v>119</v>
      </c>
      <c r="BBW5" t="s">
        <v>119</v>
      </c>
      <c r="BBX5" t="s">
        <v>119</v>
      </c>
      <c r="BBY5" t="s">
        <v>119</v>
      </c>
      <c r="BBZ5" t="s">
        <v>119</v>
      </c>
      <c r="BCA5" t="s">
        <v>119</v>
      </c>
      <c r="BCB5" t="s">
        <v>119</v>
      </c>
      <c r="BCC5" t="s">
        <v>119</v>
      </c>
      <c r="BCD5" t="s">
        <v>119</v>
      </c>
      <c r="BCE5" t="s">
        <v>119</v>
      </c>
      <c r="BCF5" t="s">
        <v>119</v>
      </c>
      <c r="BCG5" t="s">
        <v>119</v>
      </c>
      <c r="BCH5" t="s">
        <v>119</v>
      </c>
      <c r="BCI5" t="s">
        <v>119</v>
      </c>
      <c r="BCJ5" t="s">
        <v>119</v>
      </c>
      <c r="BCK5" t="s">
        <v>119</v>
      </c>
      <c r="BCL5" t="s">
        <v>119</v>
      </c>
      <c r="BCM5" t="s">
        <v>119</v>
      </c>
      <c r="BCN5" t="s">
        <v>119</v>
      </c>
      <c r="BCO5" t="s">
        <v>119</v>
      </c>
      <c r="BCP5" t="s">
        <v>119</v>
      </c>
      <c r="BCQ5" t="s">
        <v>119</v>
      </c>
      <c r="BCR5" t="s">
        <v>119</v>
      </c>
      <c r="BCS5" t="s">
        <v>119</v>
      </c>
      <c r="BCT5" t="s">
        <v>119</v>
      </c>
      <c r="BCU5" t="s">
        <v>119</v>
      </c>
      <c r="BCV5" t="s">
        <v>119</v>
      </c>
      <c r="BCW5" t="s">
        <v>119</v>
      </c>
      <c r="BCX5" t="s">
        <v>119</v>
      </c>
      <c r="BCY5" t="s">
        <v>119</v>
      </c>
      <c r="BCZ5" t="s">
        <v>119</v>
      </c>
      <c r="BDA5" t="s">
        <v>119</v>
      </c>
      <c r="BDB5" t="s">
        <v>119</v>
      </c>
      <c r="BDC5" t="s">
        <v>119</v>
      </c>
      <c r="BDD5" t="s">
        <v>119</v>
      </c>
      <c r="BDE5" t="s">
        <v>119</v>
      </c>
      <c r="BDF5" t="s">
        <v>119</v>
      </c>
      <c r="BDG5" t="s">
        <v>119</v>
      </c>
      <c r="BDH5" t="s">
        <v>119</v>
      </c>
      <c r="BDI5" t="s">
        <v>119</v>
      </c>
      <c r="BDJ5" t="s">
        <v>119</v>
      </c>
      <c r="BDK5" t="s">
        <v>119</v>
      </c>
      <c r="BDL5" t="s">
        <v>119</v>
      </c>
      <c r="BDM5" t="s">
        <v>119</v>
      </c>
      <c r="BDN5" t="s">
        <v>119</v>
      </c>
      <c r="BDO5" t="s">
        <v>119</v>
      </c>
      <c r="BDP5" t="s">
        <v>119</v>
      </c>
      <c r="BDQ5" t="s">
        <v>119</v>
      </c>
      <c r="BDR5" t="s">
        <v>119</v>
      </c>
      <c r="BDS5" t="s">
        <v>119</v>
      </c>
      <c r="BDT5" t="s">
        <v>119</v>
      </c>
      <c r="BDU5" t="s">
        <v>119</v>
      </c>
      <c r="BDV5" t="s">
        <v>119</v>
      </c>
      <c r="BDW5" t="s">
        <v>119</v>
      </c>
      <c r="BDX5" t="s">
        <v>119</v>
      </c>
      <c r="BDY5" t="s">
        <v>119</v>
      </c>
      <c r="BDZ5" t="s">
        <v>119</v>
      </c>
      <c r="BEA5" t="s">
        <v>119</v>
      </c>
      <c r="BEB5" t="s">
        <v>119</v>
      </c>
      <c r="BEC5" t="s">
        <v>119</v>
      </c>
      <c r="BED5" t="s">
        <v>119</v>
      </c>
      <c r="BEE5" t="s">
        <v>119</v>
      </c>
      <c r="BEF5" t="s">
        <v>119</v>
      </c>
      <c r="BEG5" t="s">
        <v>119</v>
      </c>
      <c r="BEH5" t="s">
        <v>119</v>
      </c>
      <c r="BEI5" t="s">
        <v>119</v>
      </c>
      <c r="BEJ5" t="s">
        <v>119</v>
      </c>
      <c r="BEK5" t="s">
        <v>119</v>
      </c>
      <c r="BEL5" t="s">
        <v>119</v>
      </c>
      <c r="BEM5" t="s">
        <v>119</v>
      </c>
      <c r="BEN5" t="s">
        <v>119</v>
      </c>
      <c r="BEO5" t="s">
        <v>119</v>
      </c>
      <c r="BEP5" t="s">
        <v>119</v>
      </c>
      <c r="BEQ5" t="s">
        <v>119</v>
      </c>
      <c r="BER5" t="s">
        <v>119</v>
      </c>
      <c r="BES5" t="s">
        <v>119</v>
      </c>
      <c r="BET5" t="s">
        <v>119</v>
      </c>
      <c r="BEU5" t="s">
        <v>119</v>
      </c>
      <c r="BEV5" t="s">
        <v>119</v>
      </c>
      <c r="BEW5" t="s">
        <v>119</v>
      </c>
      <c r="BEX5" t="s">
        <v>119</v>
      </c>
      <c r="BEY5" t="s">
        <v>119</v>
      </c>
      <c r="BEZ5" t="s">
        <v>119</v>
      </c>
      <c r="BFA5" t="s">
        <v>119</v>
      </c>
      <c r="BFB5" t="s">
        <v>119</v>
      </c>
      <c r="BFC5" t="s">
        <v>119</v>
      </c>
      <c r="BFD5" t="s">
        <v>119</v>
      </c>
      <c r="BFE5" t="s">
        <v>119</v>
      </c>
      <c r="BFF5" t="s">
        <v>119</v>
      </c>
      <c r="BFG5" t="s">
        <v>119</v>
      </c>
      <c r="BFH5" t="s">
        <v>119</v>
      </c>
      <c r="BFI5" t="s">
        <v>119</v>
      </c>
      <c r="BFJ5" t="s">
        <v>119</v>
      </c>
      <c r="BFK5" t="s">
        <v>119</v>
      </c>
      <c r="BFL5" t="s">
        <v>119</v>
      </c>
      <c r="BFM5" t="s">
        <v>119</v>
      </c>
      <c r="BFN5" t="s">
        <v>119</v>
      </c>
      <c r="BFO5" t="s">
        <v>119</v>
      </c>
      <c r="BFP5" t="s">
        <v>119</v>
      </c>
      <c r="BFQ5" t="s">
        <v>119</v>
      </c>
      <c r="BFR5" t="s">
        <v>119</v>
      </c>
      <c r="BFS5" t="s">
        <v>119</v>
      </c>
      <c r="BFT5" t="s">
        <v>119</v>
      </c>
      <c r="BFU5" t="s">
        <v>119</v>
      </c>
      <c r="BFV5" t="s">
        <v>119</v>
      </c>
      <c r="BFW5" t="s">
        <v>119</v>
      </c>
      <c r="BFX5" t="s">
        <v>119</v>
      </c>
      <c r="BFY5" t="s">
        <v>119</v>
      </c>
      <c r="BFZ5" t="s">
        <v>119</v>
      </c>
      <c r="BGA5" t="s">
        <v>119</v>
      </c>
      <c r="BGB5" t="s">
        <v>119</v>
      </c>
      <c r="BGC5" t="s">
        <v>119</v>
      </c>
      <c r="BGD5" t="s">
        <v>119</v>
      </c>
      <c r="BGE5" t="s">
        <v>119</v>
      </c>
      <c r="BGF5" t="s">
        <v>119</v>
      </c>
      <c r="BGG5" t="s">
        <v>119</v>
      </c>
      <c r="BGH5" t="s">
        <v>119</v>
      </c>
      <c r="BGI5" t="s">
        <v>119</v>
      </c>
      <c r="BGJ5" t="s">
        <v>119</v>
      </c>
      <c r="BGK5" t="s">
        <v>119</v>
      </c>
      <c r="BGL5" t="s">
        <v>119</v>
      </c>
      <c r="BGM5" t="s">
        <v>119</v>
      </c>
      <c r="BGN5" t="s">
        <v>119</v>
      </c>
      <c r="BGO5" t="s">
        <v>119</v>
      </c>
      <c r="BGP5" t="s">
        <v>119</v>
      </c>
      <c r="BGQ5" t="s">
        <v>119</v>
      </c>
      <c r="BGR5" t="s">
        <v>119</v>
      </c>
      <c r="BGS5" t="s">
        <v>119</v>
      </c>
      <c r="BGT5" t="s">
        <v>119</v>
      </c>
      <c r="BGU5" t="s">
        <v>119</v>
      </c>
      <c r="BGV5" t="s">
        <v>119</v>
      </c>
      <c r="BGW5" t="s">
        <v>119</v>
      </c>
      <c r="BGX5" t="s">
        <v>119</v>
      </c>
      <c r="BGY5" t="s">
        <v>119</v>
      </c>
      <c r="BGZ5" t="s">
        <v>119</v>
      </c>
      <c r="BHA5" t="s">
        <v>119</v>
      </c>
      <c r="BHB5" t="s">
        <v>119</v>
      </c>
      <c r="BHC5" t="s">
        <v>119</v>
      </c>
      <c r="BHD5" t="s">
        <v>119</v>
      </c>
      <c r="BHE5" t="s">
        <v>119</v>
      </c>
      <c r="BHF5" t="s">
        <v>119</v>
      </c>
      <c r="BHG5" t="s">
        <v>119</v>
      </c>
      <c r="BHH5" t="s">
        <v>119</v>
      </c>
      <c r="BHI5" t="s">
        <v>119</v>
      </c>
      <c r="BHJ5" t="s">
        <v>119</v>
      </c>
      <c r="BHK5" t="s">
        <v>119</v>
      </c>
      <c r="BHL5" t="s">
        <v>119</v>
      </c>
      <c r="BHM5" t="s">
        <v>119</v>
      </c>
      <c r="BHN5" t="s">
        <v>119</v>
      </c>
      <c r="BHO5" t="s">
        <v>119</v>
      </c>
      <c r="BHP5" t="s">
        <v>119</v>
      </c>
      <c r="BHQ5" t="s">
        <v>119</v>
      </c>
      <c r="BHR5" t="s">
        <v>119</v>
      </c>
      <c r="BHS5" t="s">
        <v>119</v>
      </c>
      <c r="BHT5" t="s">
        <v>119</v>
      </c>
      <c r="BHU5" t="s">
        <v>119</v>
      </c>
      <c r="BHV5" t="s">
        <v>119</v>
      </c>
      <c r="BHW5" t="s">
        <v>119</v>
      </c>
      <c r="BHX5" t="s">
        <v>119</v>
      </c>
      <c r="BHY5" t="s">
        <v>119</v>
      </c>
      <c r="BHZ5" t="s">
        <v>119</v>
      </c>
      <c r="BIA5" t="s">
        <v>119</v>
      </c>
      <c r="BIB5" t="s">
        <v>119</v>
      </c>
      <c r="BIC5" t="s">
        <v>119</v>
      </c>
      <c r="BID5" t="s">
        <v>119</v>
      </c>
      <c r="BIE5" t="s">
        <v>119</v>
      </c>
      <c r="BIF5" t="s">
        <v>119</v>
      </c>
      <c r="BIG5" t="s">
        <v>119</v>
      </c>
      <c r="BIH5" t="s">
        <v>119</v>
      </c>
      <c r="BII5" t="s">
        <v>119</v>
      </c>
      <c r="BIJ5" t="s">
        <v>119</v>
      </c>
      <c r="BIK5" t="s">
        <v>119</v>
      </c>
      <c r="BIL5" t="s">
        <v>119</v>
      </c>
      <c r="BIM5" t="s">
        <v>119</v>
      </c>
      <c r="BIN5" t="s">
        <v>119</v>
      </c>
      <c r="BIO5" t="s">
        <v>119</v>
      </c>
      <c r="BIP5" t="s">
        <v>119</v>
      </c>
      <c r="BIQ5" t="s">
        <v>119</v>
      </c>
      <c r="BIR5" t="s">
        <v>119</v>
      </c>
      <c r="BIS5" t="s">
        <v>119</v>
      </c>
      <c r="BIT5" t="s">
        <v>119</v>
      </c>
      <c r="BIU5" t="s">
        <v>119</v>
      </c>
      <c r="BIV5" t="s">
        <v>119</v>
      </c>
      <c r="BIW5" t="s">
        <v>119</v>
      </c>
      <c r="BIX5" t="s">
        <v>119</v>
      </c>
      <c r="BIY5" t="s">
        <v>119</v>
      </c>
      <c r="BIZ5" t="s">
        <v>119</v>
      </c>
      <c r="BJA5" t="s">
        <v>119</v>
      </c>
      <c r="BJB5" t="s">
        <v>119</v>
      </c>
      <c r="BJC5" t="s">
        <v>119</v>
      </c>
      <c r="BJD5" t="s">
        <v>119</v>
      </c>
      <c r="BJE5" t="s">
        <v>119</v>
      </c>
      <c r="BJF5" t="s">
        <v>119</v>
      </c>
      <c r="BJG5" t="s">
        <v>119</v>
      </c>
      <c r="BJH5" t="s">
        <v>119</v>
      </c>
      <c r="BJI5" t="s">
        <v>119</v>
      </c>
      <c r="BJJ5" t="s">
        <v>119</v>
      </c>
      <c r="BJK5" t="s">
        <v>119</v>
      </c>
      <c r="BJL5" t="s">
        <v>119</v>
      </c>
      <c r="BJM5" t="s">
        <v>119</v>
      </c>
      <c r="BJN5" t="s">
        <v>119</v>
      </c>
      <c r="BJO5" t="s">
        <v>119</v>
      </c>
      <c r="BJP5" t="s">
        <v>119</v>
      </c>
      <c r="BJQ5" t="s">
        <v>119</v>
      </c>
      <c r="BJR5" t="s">
        <v>119</v>
      </c>
      <c r="BJS5" t="s">
        <v>119</v>
      </c>
      <c r="BJT5" t="s">
        <v>119</v>
      </c>
      <c r="BJU5" t="s">
        <v>119</v>
      </c>
      <c r="BJV5" t="s">
        <v>119</v>
      </c>
      <c r="BJW5" t="s">
        <v>119</v>
      </c>
      <c r="BJX5" t="s">
        <v>119</v>
      </c>
      <c r="BJY5" t="s">
        <v>119</v>
      </c>
      <c r="BJZ5" t="s">
        <v>119</v>
      </c>
      <c r="BKA5" t="s">
        <v>119</v>
      </c>
      <c r="BKB5" t="s">
        <v>119</v>
      </c>
      <c r="BKC5" t="s">
        <v>119</v>
      </c>
      <c r="BKD5" t="s">
        <v>119</v>
      </c>
      <c r="BKE5" t="s">
        <v>119</v>
      </c>
      <c r="BKF5" t="s">
        <v>119</v>
      </c>
      <c r="BKG5" t="s">
        <v>119</v>
      </c>
      <c r="BKH5" t="s">
        <v>119</v>
      </c>
      <c r="BKI5" t="s">
        <v>119</v>
      </c>
      <c r="BKJ5" t="s">
        <v>119</v>
      </c>
      <c r="BKK5" t="s">
        <v>119</v>
      </c>
      <c r="BKL5" t="s">
        <v>119</v>
      </c>
      <c r="BKM5" t="s">
        <v>119</v>
      </c>
      <c r="BKN5" t="s">
        <v>119</v>
      </c>
      <c r="BKO5" t="s">
        <v>119</v>
      </c>
      <c r="BKP5" t="s">
        <v>119</v>
      </c>
      <c r="BKQ5" t="s">
        <v>119</v>
      </c>
      <c r="BKR5" t="s">
        <v>119</v>
      </c>
      <c r="BKS5" t="s">
        <v>119</v>
      </c>
      <c r="BKT5" t="s">
        <v>119</v>
      </c>
      <c r="BKU5" t="s">
        <v>119</v>
      </c>
      <c r="BKV5" t="s">
        <v>119</v>
      </c>
      <c r="BKW5" t="s">
        <v>119</v>
      </c>
      <c r="BKX5" t="s">
        <v>119</v>
      </c>
      <c r="BKY5" t="s">
        <v>119</v>
      </c>
      <c r="BKZ5" t="s">
        <v>119</v>
      </c>
      <c r="BLA5" t="s">
        <v>119</v>
      </c>
      <c r="BLB5" t="s">
        <v>119</v>
      </c>
      <c r="BLC5" t="s">
        <v>119</v>
      </c>
      <c r="BLD5" t="s">
        <v>119</v>
      </c>
      <c r="BLE5" t="s">
        <v>119</v>
      </c>
      <c r="BLF5" t="s">
        <v>119</v>
      </c>
      <c r="BLG5" t="s">
        <v>119</v>
      </c>
      <c r="BLH5" t="s">
        <v>119</v>
      </c>
      <c r="BLI5" t="s">
        <v>119</v>
      </c>
      <c r="BLJ5" t="s">
        <v>119</v>
      </c>
      <c r="BLK5" t="s">
        <v>119</v>
      </c>
      <c r="BLL5" t="s">
        <v>119</v>
      </c>
      <c r="BLM5" t="s">
        <v>119</v>
      </c>
      <c r="BLN5" t="s">
        <v>119</v>
      </c>
      <c r="BLO5" t="s">
        <v>119</v>
      </c>
      <c r="BLP5" t="s">
        <v>119</v>
      </c>
      <c r="BLQ5" t="s">
        <v>119</v>
      </c>
      <c r="BLR5" t="s">
        <v>119</v>
      </c>
      <c r="BLS5" t="s">
        <v>119</v>
      </c>
      <c r="BLT5" t="s">
        <v>119</v>
      </c>
      <c r="BLU5" t="s">
        <v>119</v>
      </c>
      <c r="BLV5" t="s">
        <v>119</v>
      </c>
      <c r="BLW5" t="s">
        <v>119</v>
      </c>
      <c r="BLX5" t="s">
        <v>119</v>
      </c>
      <c r="BLY5" t="s">
        <v>119</v>
      </c>
      <c r="BLZ5" t="s">
        <v>119</v>
      </c>
      <c r="BMA5" t="s">
        <v>119</v>
      </c>
      <c r="BMB5" t="s">
        <v>119</v>
      </c>
      <c r="BMC5" t="s">
        <v>119</v>
      </c>
      <c r="BMD5" t="s">
        <v>119</v>
      </c>
      <c r="BME5" t="s">
        <v>119</v>
      </c>
      <c r="BMF5" t="s">
        <v>119</v>
      </c>
      <c r="BMG5" t="s">
        <v>119</v>
      </c>
      <c r="BMH5" t="s">
        <v>119</v>
      </c>
      <c r="BMI5" t="s">
        <v>119</v>
      </c>
      <c r="BMJ5" t="s">
        <v>119</v>
      </c>
      <c r="BMK5" t="s">
        <v>119</v>
      </c>
      <c r="BML5" t="s">
        <v>119</v>
      </c>
      <c r="BMM5" t="s">
        <v>119</v>
      </c>
      <c r="BMN5" t="s">
        <v>119</v>
      </c>
      <c r="BMO5" t="s">
        <v>119</v>
      </c>
      <c r="BMP5" t="s">
        <v>119</v>
      </c>
      <c r="BMQ5" t="s">
        <v>119</v>
      </c>
      <c r="BMR5" t="s">
        <v>119</v>
      </c>
      <c r="BMS5" t="s">
        <v>119</v>
      </c>
      <c r="BMT5" t="s">
        <v>119</v>
      </c>
      <c r="BMU5" t="s">
        <v>119</v>
      </c>
      <c r="BMV5" t="s">
        <v>119</v>
      </c>
      <c r="BMW5" t="s">
        <v>119</v>
      </c>
      <c r="BMX5" t="s">
        <v>119</v>
      </c>
      <c r="BMY5" t="s">
        <v>119</v>
      </c>
      <c r="BMZ5" t="s">
        <v>119</v>
      </c>
      <c r="BNA5" t="s">
        <v>119</v>
      </c>
      <c r="BNB5" t="s">
        <v>119</v>
      </c>
      <c r="BNC5" t="s">
        <v>119</v>
      </c>
      <c r="BND5" t="s">
        <v>119</v>
      </c>
      <c r="BNE5" t="s">
        <v>119</v>
      </c>
      <c r="BNF5" t="s">
        <v>119</v>
      </c>
      <c r="BNG5" t="s">
        <v>119</v>
      </c>
      <c r="BNH5" t="s">
        <v>119</v>
      </c>
      <c r="BNI5" t="s">
        <v>119</v>
      </c>
      <c r="BNJ5" t="s">
        <v>119</v>
      </c>
      <c r="BNK5" t="s">
        <v>119</v>
      </c>
      <c r="BNL5" t="s">
        <v>119</v>
      </c>
      <c r="BNM5" t="s">
        <v>119</v>
      </c>
      <c r="BNN5" t="s">
        <v>119</v>
      </c>
      <c r="BNO5" t="s">
        <v>119</v>
      </c>
      <c r="BNP5" t="s">
        <v>119</v>
      </c>
      <c r="BNQ5" t="s">
        <v>119</v>
      </c>
      <c r="BNR5" t="s">
        <v>119</v>
      </c>
      <c r="BNS5" t="s">
        <v>119</v>
      </c>
      <c r="BNT5" t="s">
        <v>119</v>
      </c>
      <c r="BNU5" t="s">
        <v>119</v>
      </c>
      <c r="BNV5" t="s">
        <v>119</v>
      </c>
      <c r="BNW5" t="s">
        <v>119</v>
      </c>
      <c r="BNX5" t="s">
        <v>119</v>
      </c>
      <c r="BNY5" t="s">
        <v>119</v>
      </c>
      <c r="BNZ5" t="s">
        <v>119</v>
      </c>
      <c r="BOA5" t="s">
        <v>119</v>
      </c>
      <c r="BOB5" t="s">
        <v>119</v>
      </c>
      <c r="BOC5" t="s">
        <v>119</v>
      </c>
      <c r="BOD5" t="s">
        <v>119</v>
      </c>
      <c r="BOE5" t="s">
        <v>119</v>
      </c>
      <c r="BOF5" t="s">
        <v>119</v>
      </c>
      <c r="BOG5" t="s">
        <v>119</v>
      </c>
      <c r="BOH5" t="s">
        <v>119</v>
      </c>
      <c r="BOI5" t="s">
        <v>119</v>
      </c>
      <c r="BOJ5" t="s">
        <v>119</v>
      </c>
      <c r="BOK5" t="s">
        <v>119</v>
      </c>
      <c r="BOL5" t="s">
        <v>119</v>
      </c>
      <c r="BOM5" t="s">
        <v>119</v>
      </c>
      <c r="BON5" t="s">
        <v>119</v>
      </c>
      <c r="BOO5" t="s">
        <v>119</v>
      </c>
      <c r="BOP5" t="s">
        <v>119</v>
      </c>
      <c r="BOQ5" t="s">
        <v>119</v>
      </c>
      <c r="BOR5" t="s">
        <v>119</v>
      </c>
      <c r="BOS5" t="s">
        <v>119</v>
      </c>
      <c r="BOT5" t="s">
        <v>119</v>
      </c>
      <c r="BOU5" t="s">
        <v>119</v>
      </c>
      <c r="BOV5" t="s">
        <v>119</v>
      </c>
      <c r="BOW5" t="s">
        <v>119</v>
      </c>
      <c r="BOX5" t="s">
        <v>119</v>
      </c>
      <c r="BOY5" t="s">
        <v>119</v>
      </c>
      <c r="BOZ5" t="s">
        <v>119</v>
      </c>
      <c r="BPA5" t="s">
        <v>119</v>
      </c>
      <c r="BPB5" t="s">
        <v>119</v>
      </c>
      <c r="BPC5" t="s">
        <v>119</v>
      </c>
      <c r="BPD5" t="s">
        <v>119</v>
      </c>
      <c r="BPE5" t="s">
        <v>119</v>
      </c>
      <c r="BPF5" t="s">
        <v>119</v>
      </c>
      <c r="BPG5" t="s">
        <v>119</v>
      </c>
      <c r="BPH5" t="s">
        <v>119</v>
      </c>
      <c r="BPI5" t="s">
        <v>119</v>
      </c>
      <c r="BPJ5" t="s">
        <v>119</v>
      </c>
      <c r="BPK5" t="s">
        <v>119</v>
      </c>
      <c r="BPL5" t="s">
        <v>119</v>
      </c>
      <c r="BPM5" t="s">
        <v>119</v>
      </c>
      <c r="BPN5" t="s">
        <v>119</v>
      </c>
      <c r="BPO5" t="s">
        <v>119</v>
      </c>
      <c r="BPP5" t="s">
        <v>119</v>
      </c>
      <c r="BPQ5" t="s">
        <v>119</v>
      </c>
      <c r="BPR5" t="s">
        <v>119</v>
      </c>
      <c r="BPS5" t="s">
        <v>119</v>
      </c>
      <c r="BPT5" t="s">
        <v>119</v>
      </c>
      <c r="BPU5" t="s">
        <v>119</v>
      </c>
      <c r="BPV5" t="s">
        <v>119</v>
      </c>
      <c r="BPW5" t="s">
        <v>119</v>
      </c>
      <c r="BPX5" t="s">
        <v>119</v>
      </c>
      <c r="BPY5" t="s">
        <v>119</v>
      </c>
      <c r="BPZ5" t="s">
        <v>119</v>
      </c>
      <c r="BQA5" t="s">
        <v>119</v>
      </c>
      <c r="BQB5" t="s">
        <v>119</v>
      </c>
      <c r="BQC5" t="s">
        <v>119</v>
      </c>
      <c r="BQD5" t="s">
        <v>119</v>
      </c>
      <c r="BQE5" t="s">
        <v>119</v>
      </c>
      <c r="BQF5" t="s">
        <v>119</v>
      </c>
      <c r="BQG5" t="s">
        <v>119</v>
      </c>
      <c r="BQH5" t="s">
        <v>119</v>
      </c>
      <c r="BQI5" t="s">
        <v>119</v>
      </c>
      <c r="BQJ5" t="s">
        <v>119</v>
      </c>
      <c r="BQK5" t="s">
        <v>119</v>
      </c>
      <c r="BQL5" t="s">
        <v>119</v>
      </c>
      <c r="BQM5" t="s">
        <v>119</v>
      </c>
      <c r="BQN5" t="s">
        <v>119</v>
      </c>
      <c r="BQO5" t="s">
        <v>119</v>
      </c>
      <c r="BQP5" t="s">
        <v>119</v>
      </c>
      <c r="BQQ5" t="s">
        <v>119</v>
      </c>
      <c r="BQR5" t="s">
        <v>119</v>
      </c>
      <c r="BQS5" t="s">
        <v>119</v>
      </c>
      <c r="BQT5" t="s">
        <v>119</v>
      </c>
      <c r="BQU5" t="s">
        <v>119</v>
      </c>
      <c r="BQV5" t="s">
        <v>119</v>
      </c>
      <c r="BQW5" t="s">
        <v>119</v>
      </c>
      <c r="BQX5" t="s">
        <v>119</v>
      </c>
      <c r="BQY5" t="s">
        <v>119</v>
      </c>
      <c r="BQZ5" t="s">
        <v>119</v>
      </c>
      <c r="BRA5" t="s">
        <v>119</v>
      </c>
      <c r="BRB5" t="s">
        <v>119</v>
      </c>
      <c r="BRC5" t="s">
        <v>119</v>
      </c>
      <c r="BRD5" t="s">
        <v>119</v>
      </c>
      <c r="BRE5" t="s">
        <v>119</v>
      </c>
      <c r="BRF5" t="s">
        <v>119</v>
      </c>
      <c r="BRG5" t="s">
        <v>119</v>
      </c>
      <c r="BRH5" t="s">
        <v>119</v>
      </c>
      <c r="BRI5" t="s">
        <v>119</v>
      </c>
      <c r="BRJ5" t="s">
        <v>119</v>
      </c>
      <c r="BRK5" t="s">
        <v>119</v>
      </c>
      <c r="BRL5" t="s">
        <v>119</v>
      </c>
      <c r="BRM5" t="s">
        <v>119</v>
      </c>
      <c r="BRN5" t="s">
        <v>119</v>
      </c>
      <c r="BRO5" t="s">
        <v>119</v>
      </c>
      <c r="BRP5" t="s">
        <v>119</v>
      </c>
      <c r="BRQ5" t="s">
        <v>119</v>
      </c>
      <c r="BRR5" t="s">
        <v>119</v>
      </c>
      <c r="BRS5" t="s">
        <v>119</v>
      </c>
      <c r="BRT5" t="s">
        <v>119</v>
      </c>
      <c r="BRU5" t="s">
        <v>119</v>
      </c>
      <c r="BRV5" t="s">
        <v>119</v>
      </c>
      <c r="BRW5" t="s">
        <v>119</v>
      </c>
      <c r="BRX5" t="s">
        <v>119</v>
      </c>
      <c r="BRY5" t="s">
        <v>119</v>
      </c>
      <c r="BRZ5" t="s">
        <v>119</v>
      </c>
      <c r="BSA5" t="s">
        <v>119</v>
      </c>
      <c r="BSB5" t="s">
        <v>119</v>
      </c>
      <c r="BSC5" t="s">
        <v>119</v>
      </c>
      <c r="BSD5" t="s">
        <v>119</v>
      </c>
      <c r="BSE5" t="s">
        <v>119</v>
      </c>
      <c r="BSF5" t="s">
        <v>119</v>
      </c>
      <c r="BSG5" t="s">
        <v>119</v>
      </c>
      <c r="BSH5" t="s">
        <v>119</v>
      </c>
      <c r="BSI5" t="s">
        <v>119</v>
      </c>
      <c r="BSJ5" t="s">
        <v>119</v>
      </c>
      <c r="BSK5" t="s">
        <v>119</v>
      </c>
      <c r="BSL5" t="s">
        <v>119</v>
      </c>
      <c r="BSM5" t="s">
        <v>119</v>
      </c>
      <c r="BSN5" t="s">
        <v>119</v>
      </c>
      <c r="BSO5" t="s">
        <v>119</v>
      </c>
      <c r="BSP5" t="s">
        <v>119</v>
      </c>
      <c r="BSQ5" t="s">
        <v>119</v>
      </c>
      <c r="BSR5" t="s">
        <v>119</v>
      </c>
      <c r="BSS5" t="s">
        <v>119</v>
      </c>
      <c r="BST5" t="s">
        <v>119</v>
      </c>
      <c r="BSU5" t="s">
        <v>119</v>
      </c>
      <c r="BSV5" t="s">
        <v>119</v>
      </c>
      <c r="BSW5" t="s">
        <v>119</v>
      </c>
      <c r="BSX5" t="s">
        <v>119</v>
      </c>
      <c r="BSY5" t="s">
        <v>119</v>
      </c>
      <c r="BSZ5" t="s">
        <v>119</v>
      </c>
      <c r="BTA5" t="s">
        <v>119</v>
      </c>
      <c r="BTB5" t="s">
        <v>119</v>
      </c>
      <c r="BTC5" t="s">
        <v>119</v>
      </c>
      <c r="BTD5" t="s">
        <v>119</v>
      </c>
      <c r="BTE5" t="s">
        <v>119</v>
      </c>
      <c r="BTF5" t="s">
        <v>119</v>
      </c>
      <c r="BTG5" t="s">
        <v>119</v>
      </c>
      <c r="BTH5" t="s">
        <v>119</v>
      </c>
      <c r="BTI5" t="s">
        <v>119</v>
      </c>
      <c r="BTJ5" t="s">
        <v>119</v>
      </c>
      <c r="BTK5" t="s">
        <v>119</v>
      </c>
      <c r="BTL5" t="s">
        <v>119</v>
      </c>
      <c r="BTM5" t="s">
        <v>119</v>
      </c>
      <c r="BTN5" t="s">
        <v>119</v>
      </c>
      <c r="BTO5" t="s">
        <v>119</v>
      </c>
      <c r="BTP5" t="s">
        <v>119</v>
      </c>
      <c r="BTQ5" t="s">
        <v>119</v>
      </c>
      <c r="BTR5" t="s">
        <v>119</v>
      </c>
      <c r="BTS5" t="s">
        <v>119</v>
      </c>
      <c r="BTT5" t="s">
        <v>119</v>
      </c>
      <c r="BTU5" t="s">
        <v>119</v>
      </c>
      <c r="BTV5" t="s">
        <v>119</v>
      </c>
      <c r="BTW5" t="s">
        <v>119</v>
      </c>
      <c r="BTX5" t="s">
        <v>119</v>
      </c>
      <c r="BTY5" t="s">
        <v>119</v>
      </c>
      <c r="BTZ5" t="s">
        <v>119</v>
      </c>
      <c r="BUA5" t="s">
        <v>119</v>
      </c>
      <c r="BUB5" t="s">
        <v>119</v>
      </c>
      <c r="BUC5" t="s">
        <v>119</v>
      </c>
      <c r="BUD5" t="s">
        <v>119</v>
      </c>
      <c r="BUE5" t="s">
        <v>119</v>
      </c>
      <c r="BUF5" t="s">
        <v>119</v>
      </c>
      <c r="BUG5" t="s">
        <v>119</v>
      </c>
      <c r="BUH5" t="s">
        <v>119</v>
      </c>
      <c r="BUI5" t="s">
        <v>119</v>
      </c>
      <c r="BUJ5" t="s">
        <v>119</v>
      </c>
      <c r="BUK5" t="s">
        <v>119</v>
      </c>
      <c r="BUL5" t="s">
        <v>119</v>
      </c>
      <c r="BUM5" t="s">
        <v>119</v>
      </c>
      <c r="BUN5" t="s">
        <v>119</v>
      </c>
      <c r="BUO5" t="s">
        <v>119</v>
      </c>
      <c r="BUP5" t="s">
        <v>119</v>
      </c>
      <c r="BUQ5" t="s">
        <v>119</v>
      </c>
      <c r="BUR5" t="s">
        <v>119</v>
      </c>
      <c r="BUS5" t="s">
        <v>119</v>
      </c>
      <c r="BUT5" t="s">
        <v>119</v>
      </c>
      <c r="BUU5" t="s">
        <v>119</v>
      </c>
      <c r="BUV5" t="s">
        <v>119</v>
      </c>
      <c r="BUW5" t="s">
        <v>119</v>
      </c>
      <c r="BUX5" t="s">
        <v>119</v>
      </c>
      <c r="BUY5" t="s">
        <v>119</v>
      </c>
      <c r="BUZ5" t="s">
        <v>119</v>
      </c>
      <c r="BVA5" t="s">
        <v>119</v>
      </c>
      <c r="BVB5" t="s">
        <v>119</v>
      </c>
      <c r="BVC5" t="s">
        <v>119</v>
      </c>
      <c r="BVD5" t="s">
        <v>119</v>
      </c>
      <c r="BVE5" t="s">
        <v>119</v>
      </c>
      <c r="BVF5" t="s">
        <v>119</v>
      </c>
      <c r="BVG5" t="s">
        <v>119</v>
      </c>
      <c r="BVH5" t="s">
        <v>119</v>
      </c>
      <c r="BVI5" t="s">
        <v>119</v>
      </c>
      <c r="BVJ5" t="s">
        <v>119</v>
      </c>
      <c r="BVK5" t="s">
        <v>119</v>
      </c>
      <c r="BVL5" t="s">
        <v>119</v>
      </c>
      <c r="BVM5" t="s">
        <v>119</v>
      </c>
      <c r="BVN5" t="s">
        <v>119</v>
      </c>
      <c r="BVO5" t="s">
        <v>119</v>
      </c>
      <c r="BVP5" t="s">
        <v>119</v>
      </c>
      <c r="BVQ5" t="s">
        <v>119</v>
      </c>
      <c r="BVR5" t="s">
        <v>119</v>
      </c>
      <c r="BVS5" t="s">
        <v>119</v>
      </c>
      <c r="BVT5" t="s">
        <v>119</v>
      </c>
      <c r="BVU5" t="s">
        <v>119</v>
      </c>
      <c r="BVV5" t="s">
        <v>119</v>
      </c>
      <c r="BVW5" t="s">
        <v>119</v>
      </c>
      <c r="BVX5" t="s">
        <v>119</v>
      </c>
      <c r="BVY5" t="s">
        <v>119</v>
      </c>
      <c r="BVZ5" t="s">
        <v>119</v>
      </c>
      <c r="BWA5" t="s">
        <v>119</v>
      </c>
      <c r="BWB5" t="s">
        <v>119</v>
      </c>
      <c r="BWC5" t="s">
        <v>119</v>
      </c>
      <c r="BWD5" t="s">
        <v>119</v>
      </c>
      <c r="BWE5" t="s">
        <v>119</v>
      </c>
      <c r="BWF5" t="s">
        <v>119</v>
      </c>
      <c r="BWG5" t="s">
        <v>119</v>
      </c>
      <c r="BWH5" t="s">
        <v>119</v>
      </c>
      <c r="BWI5" t="s">
        <v>119</v>
      </c>
      <c r="BWJ5" t="s">
        <v>119</v>
      </c>
      <c r="BWK5" t="s">
        <v>119</v>
      </c>
      <c r="BWL5" t="s">
        <v>119</v>
      </c>
      <c r="BWM5" t="s">
        <v>119</v>
      </c>
      <c r="BWN5" t="s">
        <v>119</v>
      </c>
      <c r="BWO5" t="s">
        <v>119</v>
      </c>
      <c r="BWP5" t="s">
        <v>119</v>
      </c>
      <c r="BWQ5" t="s">
        <v>119</v>
      </c>
      <c r="BWR5" t="s">
        <v>119</v>
      </c>
      <c r="BWS5" t="s">
        <v>119</v>
      </c>
      <c r="BWT5" t="s">
        <v>119</v>
      </c>
      <c r="BWU5" t="s">
        <v>119</v>
      </c>
      <c r="BWV5" t="s">
        <v>119</v>
      </c>
      <c r="BWW5" t="s">
        <v>119</v>
      </c>
      <c r="BWX5" t="s">
        <v>119</v>
      </c>
      <c r="BWY5" t="s">
        <v>119</v>
      </c>
      <c r="BWZ5" t="s">
        <v>119</v>
      </c>
      <c r="BXA5" t="s">
        <v>119</v>
      </c>
      <c r="BXB5" t="s">
        <v>119</v>
      </c>
      <c r="BXC5" t="s">
        <v>119</v>
      </c>
      <c r="BXD5" t="s">
        <v>119</v>
      </c>
      <c r="BXE5" t="s">
        <v>119</v>
      </c>
      <c r="BXF5" t="s">
        <v>119</v>
      </c>
      <c r="BXG5" t="s">
        <v>119</v>
      </c>
      <c r="BXH5" t="s">
        <v>119</v>
      </c>
      <c r="BXI5" t="s">
        <v>119</v>
      </c>
      <c r="BXJ5" t="s">
        <v>119</v>
      </c>
      <c r="BXK5" t="s">
        <v>119</v>
      </c>
      <c r="BXL5" t="s">
        <v>119</v>
      </c>
      <c r="BXM5" t="s">
        <v>119</v>
      </c>
      <c r="BXN5" t="s">
        <v>119</v>
      </c>
      <c r="BXO5" t="s">
        <v>119</v>
      </c>
      <c r="BXP5" t="s">
        <v>119</v>
      </c>
      <c r="BXQ5" t="s">
        <v>119</v>
      </c>
      <c r="BXR5" t="s">
        <v>119</v>
      </c>
      <c r="BXS5" t="s">
        <v>119</v>
      </c>
      <c r="BXT5" t="s">
        <v>119</v>
      </c>
      <c r="BXU5" t="s">
        <v>119</v>
      </c>
      <c r="BXV5" t="s">
        <v>119</v>
      </c>
      <c r="BXW5" t="s">
        <v>119</v>
      </c>
      <c r="BXX5" t="s">
        <v>119</v>
      </c>
      <c r="BXY5" t="s">
        <v>119</v>
      </c>
      <c r="BXZ5" t="s">
        <v>119</v>
      </c>
      <c r="BYA5" t="s">
        <v>119</v>
      </c>
      <c r="BYB5" t="s">
        <v>119</v>
      </c>
      <c r="BYC5" t="s">
        <v>119</v>
      </c>
      <c r="BYD5" t="s">
        <v>119</v>
      </c>
      <c r="BYE5" t="s">
        <v>119</v>
      </c>
      <c r="BYF5" t="s">
        <v>119</v>
      </c>
      <c r="BYG5" t="s">
        <v>119</v>
      </c>
      <c r="BYH5" t="s">
        <v>119</v>
      </c>
      <c r="BYI5" t="s">
        <v>119</v>
      </c>
      <c r="BYJ5" t="s">
        <v>119</v>
      </c>
      <c r="BYK5" t="s">
        <v>119</v>
      </c>
      <c r="BYL5" t="s">
        <v>119</v>
      </c>
      <c r="BYM5" t="s">
        <v>119</v>
      </c>
      <c r="BYN5" t="s">
        <v>119</v>
      </c>
      <c r="BYO5" t="s">
        <v>119</v>
      </c>
      <c r="BYP5" t="s">
        <v>119</v>
      </c>
      <c r="BYQ5" t="s">
        <v>119</v>
      </c>
      <c r="BYR5" t="s">
        <v>119</v>
      </c>
      <c r="BYS5" t="s">
        <v>119</v>
      </c>
      <c r="BYT5" t="s">
        <v>119</v>
      </c>
      <c r="BYU5" t="s">
        <v>119</v>
      </c>
      <c r="BYV5" t="s">
        <v>119</v>
      </c>
      <c r="BYW5" t="s">
        <v>119</v>
      </c>
      <c r="BYX5" t="s">
        <v>119</v>
      </c>
      <c r="BYY5" t="s">
        <v>119</v>
      </c>
      <c r="BYZ5" t="s">
        <v>119</v>
      </c>
      <c r="BZA5" t="s">
        <v>119</v>
      </c>
      <c r="BZB5" t="s">
        <v>119</v>
      </c>
      <c r="BZC5" t="s">
        <v>119</v>
      </c>
      <c r="BZD5" t="s">
        <v>119</v>
      </c>
      <c r="BZE5" t="s">
        <v>119</v>
      </c>
      <c r="BZF5" t="s">
        <v>119</v>
      </c>
      <c r="BZG5" t="s">
        <v>119</v>
      </c>
      <c r="BZH5" t="s">
        <v>119</v>
      </c>
      <c r="BZI5" t="s">
        <v>119</v>
      </c>
      <c r="BZJ5" t="s">
        <v>119</v>
      </c>
      <c r="BZK5" t="s">
        <v>119</v>
      </c>
      <c r="BZL5" t="s">
        <v>119</v>
      </c>
      <c r="BZM5" t="s">
        <v>119</v>
      </c>
      <c r="BZN5" t="s">
        <v>119</v>
      </c>
      <c r="BZO5" t="s">
        <v>119</v>
      </c>
      <c r="BZP5" t="s">
        <v>119</v>
      </c>
      <c r="BZQ5" t="s">
        <v>119</v>
      </c>
      <c r="BZR5" t="s">
        <v>119</v>
      </c>
      <c r="BZS5" t="s">
        <v>119</v>
      </c>
      <c r="BZT5" t="s">
        <v>119</v>
      </c>
      <c r="BZU5" t="s">
        <v>119</v>
      </c>
      <c r="BZV5" t="s">
        <v>119</v>
      </c>
      <c r="BZW5" t="s">
        <v>119</v>
      </c>
      <c r="BZX5" t="s">
        <v>119</v>
      </c>
      <c r="BZY5" t="s">
        <v>119</v>
      </c>
      <c r="BZZ5" t="s">
        <v>119</v>
      </c>
      <c r="CAA5" t="s">
        <v>119</v>
      </c>
      <c r="CAB5" t="s">
        <v>119</v>
      </c>
      <c r="CAC5" t="s">
        <v>119</v>
      </c>
      <c r="CAD5" t="s">
        <v>119</v>
      </c>
      <c r="CAE5" t="s">
        <v>119</v>
      </c>
      <c r="CAF5" t="s">
        <v>119</v>
      </c>
      <c r="CAG5" t="s">
        <v>119</v>
      </c>
      <c r="CAH5" t="s">
        <v>119</v>
      </c>
      <c r="CAI5" t="s">
        <v>119</v>
      </c>
      <c r="CAJ5" t="s">
        <v>119</v>
      </c>
      <c r="CAK5" t="s">
        <v>119</v>
      </c>
      <c r="CAL5" t="s">
        <v>119</v>
      </c>
      <c r="CAM5" t="s">
        <v>119</v>
      </c>
      <c r="CAN5" t="s">
        <v>119</v>
      </c>
      <c r="CAO5" t="s">
        <v>119</v>
      </c>
      <c r="CAP5" t="s">
        <v>119</v>
      </c>
      <c r="CAQ5" t="s">
        <v>119</v>
      </c>
      <c r="CAR5" t="s">
        <v>119</v>
      </c>
      <c r="CAS5" t="s">
        <v>119</v>
      </c>
      <c r="CAT5" t="s">
        <v>119</v>
      </c>
      <c r="CAU5" t="s">
        <v>119</v>
      </c>
      <c r="CAV5" t="s">
        <v>119</v>
      </c>
      <c r="CAW5" t="s">
        <v>119</v>
      </c>
      <c r="CAX5" t="s">
        <v>119</v>
      </c>
      <c r="CAY5" t="s">
        <v>119</v>
      </c>
      <c r="CAZ5" t="s">
        <v>119</v>
      </c>
      <c r="CBA5" t="s">
        <v>119</v>
      </c>
      <c r="CBB5" t="s">
        <v>119</v>
      </c>
      <c r="CBC5" t="s">
        <v>119</v>
      </c>
      <c r="CBD5" t="s">
        <v>119</v>
      </c>
      <c r="CBE5" t="s">
        <v>119</v>
      </c>
      <c r="CBF5" t="s">
        <v>119</v>
      </c>
      <c r="CBG5" t="s">
        <v>119</v>
      </c>
      <c r="CBH5" t="s">
        <v>119</v>
      </c>
      <c r="CBI5" t="s">
        <v>119</v>
      </c>
      <c r="CBJ5" t="s">
        <v>119</v>
      </c>
      <c r="CBK5" t="s">
        <v>119</v>
      </c>
      <c r="CBL5" t="s">
        <v>119</v>
      </c>
      <c r="CBM5" t="s">
        <v>119</v>
      </c>
      <c r="CBN5" t="s">
        <v>119</v>
      </c>
      <c r="CBO5" t="s">
        <v>119</v>
      </c>
      <c r="CBP5" t="s">
        <v>119</v>
      </c>
      <c r="CBQ5" t="s">
        <v>119</v>
      </c>
      <c r="CBR5" t="s">
        <v>119</v>
      </c>
      <c r="CBS5" t="s">
        <v>119</v>
      </c>
      <c r="CBT5" t="s">
        <v>119</v>
      </c>
      <c r="CBU5" t="s">
        <v>119</v>
      </c>
      <c r="CBV5" t="s">
        <v>119</v>
      </c>
      <c r="CBW5" t="s">
        <v>119</v>
      </c>
      <c r="CBX5" t="s">
        <v>119</v>
      </c>
      <c r="CBY5" t="s">
        <v>119</v>
      </c>
      <c r="CBZ5" t="s">
        <v>119</v>
      </c>
      <c r="CCA5" t="s">
        <v>119</v>
      </c>
      <c r="CCB5" t="s">
        <v>119</v>
      </c>
      <c r="CCC5" t="s">
        <v>119</v>
      </c>
      <c r="CCD5" t="s">
        <v>119</v>
      </c>
      <c r="CCE5" t="s">
        <v>119</v>
      </c>
      <c r="CCF5" t="s">
        <v>119</v>
      </c>
      <c r="CCG5" t="s">
        <v>119</v>
      </c>
      <c r="CCH5" t="s">
        <v>119</v>
      </c>
      <c r="CCI5" t="s">
        <v>119</v>
      </c>
      <c r="CCJ5" t="s">
        <v>119</v>
      </c>
      <c r="CCK5" t="s">
        <v>119</v>
      </c>
      <c r="CCL5" t="s">
        <v>119</v>
      </c>
      <c r="CCM5" t="s">
        <v>119</v>
      </c>
      <c r="CCN5" t="s">
        <v>119</v>
      </c>
      <c r="CCO5" t="s">
        <v>119</v>
      </c>
      <c r="CCP5" t="s">
        <v>119</v>
      </c>
      <c r="CCQ5" t="s">
        <v>119</v>
      </c>
      <c r="CCR5" t="s">
        <v>119</v>
      </c>
      <c r="CCS5" t="s">
        <v>119</v>
      </c>
      <c r="CCT5" t="s">
        <v>119</v>
      </c>
      <c r="CCU5" t="s">
        <v>119</v>
      </c>
      <c r="CCV5" t="s">
        <v>119</v>
      </c>
      <c r="CCW5" t="s">
        <v>119</v>
      </c>
      <c r="CCX5" t="s">
        <v>119</v>
      </c>
      <c r="CCY5" t="s">
        <v>119</v>
      </c>
      <c r="CCZ5" t="s">
        <v>119</v>
      </c>
      <c r="CDA5" t="s">
        <v>119</v>
      </c>
      <c r="CDB5" t="s">
        <v>119</v>
      </c>
      <c r="CDC5" t="s">
        <v>119</v>
      </c>
      <c r="CDD5" t="s">
        <v>119</v>
      </c>
      <c r="CDE5" t="s">
        <v>119</v>
      </c>
      <c r="CDF5" t="s">
        <v>119</v>
      </c>
      <c r="CDG5" t="s">
        <v>119</v>
      </c>
      <c r="CDH5" t="s">
        <v>119</v>
      </c>
      <c r="CDI5" t="s">
        <v>119</v>
      </c>
      <c r="CDJ5" t="s">
        <v>119</v>
      </c>
      <c r="CDK5" t="s">
        <v>119</v>
      </c>
      <c r="CDL5" t="s">
        <v>119</v>
      </c>
      <c r="CDM5" t="s">
        <v>119</v>
      </c>
      <c r="CDN5" t="s">
        <v>119</v>
      </c>
      <c r="CDO5" t="s">
        <v>119</v>
      </c>
      <c r="CDP5" t="s">
        <v>119</v>
      </c>
      <c r="CDQ5" t="s">
        <v>119</v>
      </c>
      <c r="CDR5" t="s">
        <v>119</v>
      </c>
      <c r="CDS5" t="s">
        <v>119</v>
      </c>
      <c r="CDT5" t="s">
        <v>119</v>
      </c>
      <c r="CDU5" t="s">
        <v>119</v>
      </c>
      <c r="CDV5" t="s">
        <v>119</v>
      </c>
      <c r="CDW5" t="s">
        <v>119</v>
      </c>
      <c r="CDX5" t="s">
        <v>119</v>
      </c>
      <c r="CDY5" t="s">
        <v>119</v>
      </c>
      <c r="CDZ5" t="s">
        <v>119</v>
      </c>
      <c r="CEA5" t="s">
        <v>119</v>
      </c>
      <c r="CEB5" t="s">
        <v>119</v>
      </c>
      <c r="CEC5" t="s">
        <v>119</v>
      </c>
      <c r="CED5" t="s">
        <v>119</v>
      </c>
      <c r="CEE5" t="s">
        <v>119</v>
      </c>
      <c r="CEF5" t="s">
        <v>119</v>
      </c>
      <c r="CEG5" t="s">
        <v>119</v>
      </c>
      <c r="CEH5" t="s">
        <v>119</v>
      </c>
      <c r="CEI5" t="s">
        <v>119</v>
      </c>
      <c r="CEJ5" t="s">
        <v>119</v>
      </c>
      <c r="CEK5" t="s">
        <v>119</v>
      </c>
      <c r="CEL5" t="s">
        <v>119</v>
      </c>
      <c r="CEM5" t="s">
        <v>119</v>
      </c>
      <c r="CEN5" t="s">
        <v>119</v>
      </c>
      <c r="CEO5" t="s">
        <v>119</v>
      </c>
      <c r="CEP5" t="s">
        <v>119</v>
      </c>
      <c r="CEQ5" t="s">
        <v>119</v>
      </c>
      <c r="CER5" t="s">
        <v>119</v>
      </c>
      <c r="CES5" t="s">
        <v>119</v>
      </c>
      <c r="CET5" t="s">
        <v>119</v>
      </c>
      <c r="CEU5" t="s">
        <v>119</v>
      </c>
      <c r="CEV5" t="s">
        <v>119</v>
      </c>
      <c r="CEW5" t="s">
        <v>119</v>
      </c>
      <c r="CEX5" t="s">
        <v>119</v>
      </c>
      <c r="CEY5" t="s">
        <v>119</v>
      </c>
      <c r="CEZ5" t="s">
        <v>119</v>
      </c>
      <c r="CFA5" t="s">
        <v>119</v>
      </c>
      <c r="CFB5" t="s">
        <v>119</v>
      </c>
      <c r="CFC5" t="s">
        <v>119</v>
      </c>
      <c r="CFD5" t="s">
        <v>119</v>
      </c>
      <c r="CFE5" t="s">
        <v>119</v>
      </c>
      <c r="CFF5" t="s">
        <v>119</v>
      </c>
      <c r="CFG5" t="s">
        <v>119</v>
      </c>
      <c r="CFH5" t="s">
        <v>119</v>
      </c>
      <c r="CFI5" t="s">
        <v>119</v>
      </c>
      <c r="CFJ5" t="s">
        <v>119</v>
      </c>
      <c r="CFK5" t="s">
        <v>119</v>
      </c>
      <c r="CFL5" t="s">
        <v>119</v>
      </c>
      <c r="CFM5" t="s">
        <v>119</v>
      </c>
      <c r="CFN5" t="s">
        <v>119</v>
      </c>
      <c r="CFO5" t="s">
        <v>119</v>
      </c>
      <c r="CFP5" t="s">
        <v>119</v>
      </c>
      <c r="CFQ5" t="s">
        <v>119</v>
      </c>
      <c r="CFR5" t="s">
        <v>119</v>
      </c>
      <c r="CFS5" t="s">
        <v>119</v>
      </c>
      <c r="CFT5" t="s">
        <v>119</v>
      </c>
      <c r="CFU5" t="s">
        <v>119</v>
      </c>
      <c r="CFV5" t="s">
        <v>119</v>
      </c>
      <c r="CFW5" t="s">
        <v>119</v>
      </c>
      <c r="CFX5" t="s">
        <v>119</v>
      </c>
      <c r="CFY5" t="s">
        <v>119</v>
      </c>
      <c r="CFZ5" t="s">
        <v>119</v>
      </c>
      <c r="CGA5" t="s">
        <v>119</v>
      </c>
      <c r="CGB5" t="s">
        <v>119</v>
      </c>
      <c r="CGC5" t="s">
        <v>119</v>
      </c>
      <c r="CGD5" t="s">
        <v>119</v>
      </c>
      <c r="CGE5" t="s">
        <v>119</v>
      </c>
      <c r="CGF5" t="s">
        <v>119</v>
      </c>
      <c r="CGG5" t="s">
        <v>119</v>
      </c>
      <c r="CGH5" t="s">
        <v>119</v>
      </c>
      <c r="CGI5" t="s">
        <v>119</v>
      </c>
      <c r="CGJ5" t="s">
        <v>119</v>
      </c>
      <c r="CGK5" t="s">
        <v>119</v>
      </c>
      <c r="CGL5" t="s">
        <v>119</v>
      </c>
      <c r="CGM5" t="s">
        <v>119</v>
      </c>
      <c r="CGN5" t="s">
        <v>119</v>
      </c>
      <c r="CGO5" t="s">
        <v>119</v>
      </c>
      <c r="CGP5" t="s">
        <v>119</v>
      </c>
      <c r="CGQ5" t="s">
        <v>119</v>
      </c>
      <c r="CGR5" t="s">
        <v>119</v>
      </c>
      <c r="CGS5" t="s">
        <v>119</v>
      </c>
      <c r="CGT5" t="s">
        <v>119</v>
      </c>
      <c r="CGU5" t="s">
        <v>119</v>
      </c>
      <c r="CGV5" t="s">
        <v>119</v>
      </c>
      <c r="CGW5" t="s">
        <v>119</v>
      </c>
      <c r="CGX5" t="s">
        <v>119</v>
      </c>
      <c r="CGY5" t="s">
        <v>119</v>
      </c>
      <c r="CGZ5" t="s">
        <v>119</v>
      </c>
      <c r="CHA5" t="s">
        <v>119</v>
      </c>
      <c r="CHB5" t="s">
        <v>119</v>
      </c>
      <c r="CHC5" t="s">
        <v>119</v>
      </c>
      <c r="CHD5" t="s">
        <v>119</v>
      </c>
      <c r="CHE5" t="s">
        <v>119</v>
      </c>
      <c r="CHF5" t="s">
        <v>119</v>
      </c>
      <c r="CHG5" t="s">
        <v>119</v>
      </c>
      <c r="CHH5" t="s">
        <v>119</v>
      </c>
      <c r="CHI5" t="s">
        <v>119</v>
      </c>
      <c r="CHJ5" t="s">
        <v>119</v>
      </c>
      <c r="CHK5" t="s">
        <v>119</v>
      </c>
      <c r="CHL5" t="s">
        <v>119</v>
      </c>
      <c r="CHM5" t="s">
        <v>119</v>
      </c>
      <c r="CHN5" t="s">
        <v>119</v>
      </c>
      <c r="CHO5" t="s">
        <v>119</v>
      </c>
      <c r="CHP5" t="s">
        <v>119</v>
      </c>
      <c r="CHQ5" t="s">
        <v>119</v>
      </c>
      <c r="CHR5" t="s">
        <v>119</v>
      </c>
      <c r="CHS5" t="s">
        <v>119</v>
      </c>
      <c r="CHT5" t="s">
        <v>119</v>
      </c>
      <c r="CHU5" t="s">
        <v>119</v>
      </c>
      <c r="CHV5" t="s">
        <v>119</v>
      </c>
      <c r="CHW5" t="s">
        <v>119</v>
      </c>
      <c r="CHX5" t="s">
        <v>119</v>
      </c>
      <c r="CHY5" t="s">
        <v>119</v>
      </c>
      <c r="CHZ5" t="s">
        <v>119</v>
      </c>
      <c r="CIA5" t="s">
        <v>119</v>
      </c>
      <c r="CIB5" t="s">
        <v>119</v>
      </c>
      <c r="CIC5" t="s">
        <v>119</v>
      </c>
      <c r="CID5" t="s">
        <v>119</v>
      </c>
      <c r="CIE5" t="s">
        <v>119</v>
      </c>
      <c r="CIF5" t="s">
        <v>119</v>
      </c>
      <c r="CIG5" t="s">
        <v>119</v>
      </c>
      <c r="CIH5" t="s">
        <v>119</v>
      </c>
      <c r="CII5" t="s">
        <v>119</v>
      </c>
      <c r="CIJ5" t="s">
        <v>119</v>
      </c>
      <c r="CIK5" t="s">
        <v>119</v>
      </c>
      <c r="CIL5" t="s">
        <v>119</v>
      </c>
      <c r="CIM5" t="s">
        <v>119</v>
      </c>
      <c r="CIN5" t="s">
        <v>119</v>
      </c>
      <c r="CIO5" t="s">
        <v>119</v>
      </c>
      <c r="CIP5" t="s">
        <v>119</v>
      </c>
      <c r="CIQ5" t="s">
        <v>119</v>
      </c>
      <c r="CIR5" t="s">
        <v>119</v>
      </c>
      <c r="CIS5" t="s">
        <v>119</v>
      </c>
      <c r="CIT5" t="s">
        <v>119</v>
      </c>
      <c r="CIU5" t="s">
        <v>119</v>
      </c>
      <c r="CIV5" t="s">
        <v>119</v>
      </c>
      <c r="CIW5" t="s">
        <v>119</v>
      </c>
      <c r="CIX5" t="s">
        <v>119</v>
      </c>
      <c r="CIY5" t="s">
        <v>119</v>
      </c>
      <c r="CIZ5" t="s">
        <v>119</v>
      </c>
      <c r="CJA5" t="s">
        <v>119</v>
      </c>
      <c r="CJB5" t="s">
        <v>119</v>
      </c>
      <c r="CJC5" t="s">
        <v>119</v>
      </c>
      <c r="CJD5" t="s">
        <v>119</v>
      </c>
      <c r="CJE5" t="s">
        <v>119</v>
      </c>
      <c r="CJF5" t="s">
        <v>119</v>
      </c>
      <c r="CJG5" t="s">
        <v>119</v>
      </c>
      <c r="CJH5" t="s">
        <v>119</v>
      </c>
      <c r="CJI5" t="s">
        <v>119</v>
      </c>
      <c r="CJJ5" t="s">
        <v>119</v>
      </c>
      <c r="CJK5" t="s">
        <v>119</v>
      </c>
      <c r="CJL5" t="s">
        <v>119</v>
      </c>
      <c r="CJM5" t="s">
        <v>119</v>
      </c>
      <c r="CJN5" t="s">
        <v>119</v>
      </c>
      <c r="CJO5" t="s">
        <v>119</v>
      </c>
      <c r="CJP5" t="s">
        <v>119</v>
      </c>
      <c r="CJQ5" t="s">
        <v>119</v>
      </c>
      <c r="CJR5" t="s">
        <v>119</v>
      </c>
      <c r="CJS5" t="s">
        <v>119</v>
      </c>
      <c r="CJT5" t="s">
        <v>119</v>
      </c>
      <c r="CJU5" t="s">
        <v>119</v>
      </c>
      <c r="CJV5" t="s">
        <v>119</v>
      </c>
      <c r="CJW5" t="s">
        <v>119</v>
      </c>
      <c r="CJX5" t="s">
        <v>119</v>
      </c>
      <c r="CJY5" t="s">
        <v>119</v>
      </c>
      <c r="CJZ5" t="s">
        <v>119</v>
      </c>
      <c r="CKA5" t="s">
        <v>119</v>
      </c>
      <c r="CKB5" t="s">
        <v>119</v>
      </c>
      <c r="CKC5" t="s">
        <v>119</v>
      </c>
      <c r="CKD5" t="s">
        <v>119</v>
      </c>
      <c r="CKE5" t="s">
        <v>119</v>
      </c>
      <c r="CKF5" t="s">
        <v>119</v>
      </c>
      <c r="CKG5" t="s">
        <v>119</v>
      </c>
      <c r="CKH5" t="s">
        <v>119</v>
      </c>
      <c r="CKI5" t="s">
        <v>119</v>
      </c>
      <c r="CKJ5" t="s">
        <v>119</v>
      </c>
      <c r="CKK5" t="s">
        <v>119</v>
      </c>
      <c r="CKL5" t="s">
        <v>119</v>
      </c>
      <c r="CKM5" t="s">
        <v>119</v>
      </c>
      <c r="CKN5" t="s">
        <v>119</v>
      </c>
      <c r="CKO5" t="s">
        <v>119</v>
      </c>
      <c r="CKP5" t="s">
        <v>119</v>
      </c>
      <c r="CKQ5" t="s">
        <v>119</v>
      </c>
      <c r="CKR5" t="s">
        <v>119</v>
      </c>
      <c r="CKS5" t="s">
        <v>119</v>
      </c>
      <c r="CKT5" t="s">
        <v>119</v>
      </c>
      <c r="CKU5" t="s">
        <v>119</v>
      </c>
      <c r="CKV5" t="s">
        <v>119</v>
      </c>
      <c r="CKW5" t="s">
        <v>119</v>
      </c>
      <c r="CKX5" t="s">
        <v>119</v>
      </c>
      <c r="CKY5" t="s">
        <v>119</v>
      </c>
      <c r="CKZ5" t="s">
        <v>119</v>
      </c>
      <c r="CLA5" t="s">
        <v>119</v>
      </c>
      <c r="CLB5" t="s">
        <v>119</v>
      </c>
      <c r="CLC5" t="s">
        <v>119</v>
      </c>
      <c r="CLD5" t="s">
        <v>119</v>
      </c>
      <c r="CLE5" t="s">
        <v>119</v>
      </c>
      <c r="CLF5" t="s">
        <v>119</v>
      </c>
      <c r="CLG5" t="s">
        <v>119</v>
      </c>
      <c r="CLH5" t="s">
        <v>119</v>
      </c>
      <c r="CLI5" t="s">
        <v>119</v>
      </c>
      <c r="CLJ5" t="s">
        <v>119</v>
      </c>
      <c r="CLK5" t="s">
        <v>119</v>
      </c>
      <c r="CLL5" t="s">
        <v>119</v>
      </c>
      <c r="CLM5" t="s">
        <v>119</v>
      </c>
      <c r="CLN5" t="s">
        <v>119</v>
      </c>
      <c r="CLO5" t="s">
        <v>119</v>
      </c>
      <c r="CLP5" t="s">
        <v>119</v>
      </c>
      <c r="CLQ5" t="s">
        <v>119</v>
      </c>
      <c r="CLR5" t="s">
        <v>119</v>
      </c>
      <c r="CLS5" t="s">
        <v>119</v>
      </c>
      <c r="CLT5" t="s">
        <v>119</v>
      </c>
      <c r="CLU5" t="s">
        <v>119</v>
      </c>
      <c r="CLV5" t="s">
        <v>119</v>
      </c>
      <c r="CLW5" t="s">
        <v>119</v>
      </c>
      <c r="CLX5" t="s">
        <v>119</v>
      </c>
      <c r="CLY5" t="s">
        <v>119</v>
      </c>
      <c r="CLZ5" t="s">
        <v>119</v>
      </c>
      <c r="CMA5" t="s">
        <v>119</v>
      </c>
      <c r="CMB5" t="s">
        <v>119</v>
      </c>
      <c r="CMC5" t="s">
        <v>119</v>
      </c>
      <c r="CMD5" t="s">
        <v>119</v>
      </c>
      <c r="CME5" t="s">
        <v>119</v>
      </c>
      <c r="CMF5" t="s">
        <v>119</v>
      </c>
      <c r="CMG5" t="s">
        <v>119</v>
      </c>
      <c r="CMH5" t="s">
        <v>119</v>
      </c>
      <c r="CMI5" t="s">
        <v>119</v>
      </c>
      <c r="CMJ5" t="s">
        <v>119</v>
      </c>
      <c r="CMK5" t="s">
        <v>119</v>
      </c>
      <c r="CML5" t="s">
        <v>119</v>
      </c>
      <c r="CMM5" t="s">
        <v>119</v>
      </c>
      <c r="CMN5" t="s">
        <v>119</v>
      </c>
      <c r="CMO5" t="s">
        <v>119</v>
      </c>
      <c r="CMP5" t="s">
        <v>119</v>
      </c>
      <c r="CMQ5" t="s">
        <v>119</v>
      </c>
      <c r="CMR5" t="s">
        <v>119</v>
      </c>
      <c r="CMS5" t="s">
        <v>119</v>
      </c>
      <c r="CMT5" t="s">
        <v>119</v>
      </c>
      <c r="CMU5" t="s">
        <v>119</v>
      </c>
      <c r="CMV5" t="s">
        <v>119</v>
      </c>
      <c r="CMW5" t="s">
        <v>119</v>
      </c>
      <c r="CMX5" t="s">
        <v>119</v>
      </c>
      <c r="CMY5" t="s">
        <v>119</v>
      </c>
      <c r="CMZ5" t="s">
        <v>119</v>
      </c>
      <c r="CNA5" t="s">
        <v>119</v>
      </c>
      <c r="CNB5" t="s">
        <v>119</v>
      </c>
      <c r="CNC5" t="s">
        <v>119</v>
      </c>
      <c r="CND5" t="s">
        <v>119</v>
      </c>
      <c r="CNE5" t="s">
        <v>119</v>
      </c>
      <c r="CNF5" t="s">
        <v>119</v>
      </c>
      <c r="CNG5" t="s">
        <v>119</v>
      </c>
      <c r="CNH5" t="s">
        <v>119</v>
      </c>
      <c r="CNI5" t="s">
        <v>119</v>
      </c>
      <c r="CNJ5" t="s">
        <v>119</v>
      </c>
      <c r="CNK5" t="s">
        <v>119</v>
      </c>
      <c r="CNL5" t="s">
        <v>119</v>
      </c>
      <c r="CNM5" t="s">
        <v>119</v>
      </c>
      <c r="CNN5" t="s">
        <v>119</v>
      </c>
      <c r="CNO5" t="s">
        <v>119</v>
      </c>
      <c r="CNP5" t="s">
        <v>119</v>
      </c>
      <c r="CNQ5" t="s">
        <v>119</v>
      </c>
      <c r="CNR5" t="s">
        <v>119</v>
      </c>
      <c r="CNS5" t="s">
        <v>119</v>
      </c>
      <c r="CNT5" t="s">
        <v>119</v>
      </c>
      <c r="CNU5" t="s">
        <v>119</v>
      </c>
      <c r="CNV5" t="s">
        <v>119</v>
      </c>
      <c r="CNW5" t="s">
        <v>119</v>
      </c>
      <c r="CNX5" t="s">
        <v>119</v>
      </c>
      <c r="CNY5" t="s">
        <v>119</v>
      </c>
      <c r="CNZ5" t="s">
        <v>119</v>
      </c>
      <c r="COA5" t="s">
        <v>119</v>
      </c>
      <c r="COB5" t="s">
        <v>119</v>
      </c>
      <c r="COC5" t="s">
        <v>119</v>
      </c>
      <c r="COD5" t="s">
        <v>119</v>
      </c>
      <c r="COE5" t="s">
        <v>119</v>
      </c>
      <c r="COF5" t="s">
        <v>119</v>
      </c>
      <c r="COG5" t="s">
        <v>119</v>
      </c>
      <c r="COH5" t="s">
        <v>119</v>
      </c>
      <c r="COI5" t="s">
        <v>119</v>
      </c>
      <c r="COJ5" t="s">
        <v>119</v>
      </c>
      <c r="COK5" t="s">
        <v>119</v>
      </c>
      <c r="COL5" t="s">
        <v>119</v>
      </c>
      <c r="COM5" t="s">
        <v>119</v>
      </c>
      <c r="CON5" t="s">
        <v>119</v>
      </c>
      <c r="COO5" t="s">
        <v>119</v>
      </c>
      <c r="COP5" t="s">
        <v>119</v>
      </c>
      <c r="COQ5" t="s">
        <v>119</v>
      </c>
      <c r="COR5" t="s">
        <v>119</v>
      </c>
      <c r="COS5" t="s">
        <v>119</v>
      </c>
      <c r="COT5" t="s">
        <v>119</v>
      </c>
      <c r="COU5" t="s">
        <v>119</v>
      </c>
      <c r="COV5" t="s">
        <v>119</v>
      </c>
      <c r="COW5" t="s">
        <v>119</v>
      </c>
      <c r="COX5" t="s">
        <v>119</v>
      </c>
      <c r="COY5" t="s">
        <v>119</v>
      </c>
      <c r="COZ5" t="s">
        <v>119</v>
      </c>
      <c r="CPA5" t="s">
        <v>119</v>
      </c>
      <c r="CPB5" t="s">
        <v>119</v>
      </c>
      <c r="CPC5" t="s">
        <v>119</v>
      </c>
      <c r="CPD5" t="s">
        <v>119</v>
      </c>
      <c r="CPE5" t="s">
        <v>119</v>
      </c>
      <c r="CPF5" t="s">
        <v>119</v>
      </c>
      <c r="CPG5" t="s">
        <v>119</v>
      </c>
      <c r="CPH5" t="s">
        <v>119</v>
      </c>
      <c r="CPI5" t="s">
        <v>119</v>
      </c>
      <c r="CPJ5" t="s">
        <v>119</v>
      </c>
      <c r="CPK5" t="s">
        <v>119</v>
      </c>
      <c r="CPL5" t="s">
        <v>119</v>
      </c>
      <c r="CPM5" t="s">
        <v>119</v>
      </c>
      <c r="CPN5" t="s">
        <v>119</v>
      </c>
      <c r="CPO5" t="s">
        <v>119</v>
      </c>
      <c r="CPP5" t="s">
        <v>119</v>
      </c>
      <c r="CPQ5" t="s">
        <v>119</v>
      </c>
      <c r="CPR5" t="s">
        <v>119</v>
      </c>
      <c r="CPS5" t="s">
        <v>119</v>
      </c>
      <c r="CPT5" t="s">
        <v>119</v>
      </c>
      <c r="CPU5" t="s">
        <v>119</v>
      </c>
      <c r="CPV5" t="s">
        <v>119</v>
      </c>
      <c r="CPW5" t="s">
        <v>119</v>
      </c>
      <c r="CPX5" t="s">
        <v>119</v>
      </c>
      <c r="CPY5" t="s">
        <v>119</v>
      </c>
      <c r="CPZ5" t="s">
        <v>119</v>
      </c>
      <c r="CQA5" t="s">
        <v>119</v>
      </c>
      <c r="CQB5" t="s">
        <v>119</v>
      </c>
      <c r="CQC5" t="s">
        <v>119</v>
      </c>
      <c r="CQD5" t="s">
        <v>119</v>
      </c>
      <c r="CQE5" t="s">
        <v>119</v>
      </c>
      <c r="CQF5" t="s">
        <v>119</v>
      </c>
      <c r="CQG5" t="s">
        <v>119</v>
      </c>
      <c r="CQH5" t="s">
        <v>119</v>
      </c>
      <c r="CQI5" t="s">
        <v>119</v>
      </c>
      <c r="CQJ5" t="s">
        <v>119</v>
      </c>
      <c r="CQK5" t="s">
        <v>119</v>
      </c>
      <c r="CQL5" t="s">
        <v>119</v>
      </c>
      <c r="CQM5" t="s">
        <v>119</v>
      </c>
      <c r="CQN5" t="s">
        <v>119</v>
      </c>
      <c r="CQO5" t="s">
        <v>119</v>
      </c>
      <c r="CQP5" t="s">
        <v>119</v>
      </c>
      <c r="CQQ5" t="s">
        <v>119</v>
      </c>
      <c r="CQR5" t="s">
        <v>119</v>
      </c>
      <c r="CQS5" t="s">
        <v>119</v>
      </c>
      <c r="CQT5" t="s">
        <v>119</v>
      </c>
      <c r="CQU5" t="s">
        <v>119</v>
      </c>
      <c r="CQV5" t="s">
        <v>119</v>
      </c>
      <c r="CQW5" t="s">
        <v>119</v>
      </c>
      <c r="CQX5" t="s">
        <v>119</v>
      </c>
      <c r="CQY5" t="s">
        <v>119</v>
      </c>
      <c r="CQZ5" t="s">
        <v>119</v>
      </c>
      <c r="CRA5" t="s">
        <v>119</v>
      </c>
      <c r="CRB5" t="s">
        <v>119</v>
      </c>
      <c r="CRC5" t="s">
        <v>119</v>
      </c>
      <c r="CRD5" t="s">
        <v>119</v>
      </c>
      <c r="CRE5" t="s">
        <v>119</v>
      </c>
      <c r="CRF5" t="s">
        <v>119</v>
      </c>
      <c r="CRG5" t="s">
        <v>119</v>
      </c>
      <c r="CRH5" t="s">
        <v>119</v>
      </c>
      <c r="CRI5" t="s">
        <v>119</v>
      </c>
      <c r="CRJ5" t="s">
        <v>119</v>
      </c>
      <c r="CRK5" t="s">
        <v>119</v>
      </c>
      <c r="CRL5" t="s">
        <v>119</v>
      </c>
      <c r="CRM5" t="s">
        <v>119</v>
      </c>
      <c r="CRN5" t="s">
        <v>119</v>
      </c>
      <c r="CRO5" t="s">
        <v>119</v>
      </c>
      <c r="CRP5" t="s">
        <v>119</v>
      </c>
      <c r="CRQ5" t="s">
        <v>119</v>
      </c>
      <c r="CRR5" t="s">
        <v>119</v>
      </c>
      <c r="CRS5" t="s">
        <v>119</v>
      </c>
      <c r="CRT5" t="s">
        <v>119</v>
      </c>
      <c r="CRU5" t="s">
        <v>119</v>
      </c>
      <c r="CRV5" t="s">
        <v>119</v>
      </c>
      <c r="CRW5" t="s">
        <v>119</v>
      </c>
      <c r="CRX5" t="s">
        <v>119</v>
      </c>
      <c r="CRY5" t="s">
        <v>119</v>
      </c>
      <c r="CRZ5" t="s">
        <v>119</v>
      </c>
      <c r="CSA5" t="s">
        <v>119</v>
      </c>
      <c r="CSB5" t="s">
        <v>119</v>
      </c>
      <c r="CSC5" t="s">
        <v>119</v>
      </c>
      <c r="CSD5" t="s">
        <v>119</v>
      </c>
      <c r="CSE5" t="s">
        <v>119</v>
      </c>
      <c r="CSF5" t="s">
        <v>119</v>
      </c>
      <c r="CSG5" t="s">
        <v>119</v>
      </c>
      <c r="CSH5" t="s">
        <v>119</v>
      </c>
      <c r="CSI5" t="s">
        <v>119</v>
      </c>
      <c r="CSJ5" t="s">
        <v>119</v>
      </c>
      <c r="CSK5" t="s">
        <v>119</v>
      </c>
      <c r="CSL5" t="s">
        <v>119</v>
      </c>
      <c r="CSM5" t="s">
        <v>119</v>
      </c>
      <c r="CSN5" t="s">
        <v>119</v>
      </c>
      <c r="CSO5" t="s">
        <v>119</v>
      </c>
      <c r="CSP5" t="s">
        <v>119</v>
      </c>
      <c r="CSQ5" t="s">
        <v>119</v>
      </c>
      <c r="CSR5" t="s">
        <v>119</v>
      </c>
      <c r="CSS5" t="s">
        <v>119</v>
      </c>
      <c r="CST5" t="s">
        <v>119</v>
      </c>
      <c r="CSU5" t="s">
        <v>119</v>
      </c>
      <c r="CSV5" t="s">
        <v>119</v>
      </c>
      <c r="CSW5" t="s">
        <v>119</v>
      </c>
      <c r="CSX5" t="s">
        <v>119</v>
      </c>
      <c r="CSY5" t="s">
        <v>119</v>
      </c>
      <c r="CSZ5" t="s">
        <v>119</v>
      </c>
      <c r="CTA5" t="s">
        <v>119</v>
      </c>
      <c r="CTB5" t="s">
        <v>119</v>
      </c>
      <c r="CTC5" t="s">
        <v>119</v>
      </c>
      <c r="CTD5" t="s">
        <v>119</v>
      </c>
      <c r="CTE5" t="s">
        <v>119</v>
      </c>
      <c r="CTF5" t="s">
        <v>119</v>
      </c>
      <c r="CTG5" t="s">
        <v>119</v>
      </c>
      <c r="CTH5" t="s">
        <v>119</v>
      </c>
      <c r="CTI5" t="s">
        <v>119</v>
      </c>
      <c r="CTJ5" t="s">
        <v>119</v>
      </c>
      <c r="CTK5" t="s">
        <v>119</v>
      </c>
      <c r="CTL5" t="s">
        <v>119</v>
      </c>
      <c r="CTM5" t="s">
        <v>119</v>
      </c>
      <c r="CTN5" t="s">
        <v>119</v>
      </c>
      <c r="CTO5" t="s">
        <v>119</v>
      </c>
      <c r="CTP5" t="s">
        <v>119</v>
      </c>
      <c r="CTQ5" t="s">
        <v>119</v>
      </c>
      <c r="CTR5" t="s">
        <v>119</v>
      </c>
      <c r="CTS5" t="s">
        <v>119</v>
      </c>
      <c r="CTT5" t="s">
        <v>119</v>
      </c>
      <c r="CTU5" t="s">
        <v>119</v>
      </c>
      <c r="CTV5" t="s">
        <v>119</v>
      </c>
      <c r="CTW5" t="s">
        <v>119</v>
      </c>
      <c r="CTX5" t="s">
        <v>119</v>
      </c>
      <c r="CTY5" t="s">
        <v>119</v>
      </c>
      <c r="CTZ5" t="s">
        <v>119</v>
      </c>
      <c r="CUA5" t="s">
        <v>119</v>
      </c>
      <c r="CUB5" t="s">
        <v>119</v>
      </c>
      <c r="CUC5" t="s">
        <v>119</v>
      </c>
      <c r="CUD5" t="s">
        <v>119</v>
      </c>
      <c r="CUE5" t="s">
        <v>119</v>
      </c>
      <c r="CUF5" t="s">
        <v>119</v>
      </c>
      <c r="CUG5" t="s">
        <v>119</v>
      </c>
      <c r="CUH5" t="s">
        <v>119</v>
      </c>
      <c r="CUI5" t="s">
        <v>119</v>
      </c>
      <c r="CUJ5" t="s">
        <v>119</v>
      </c>
      <c r="CUK5" t="s">
        <v>119</v>
      </c>
      <c r="CUL5" t="s">
        <v>119</v>
      </c>
      <c r="CUM5" t="s">
        <v>119</v>
      </c>
      <c r="CUN5" t="s">
        <v>119</v>
      </c>
      <c r="CUO5" t="s">
        <v>119</v>
      </c>
      <c r="CUP5" t="s">
        <v>119</v>
      </c>
      <c r="CUQ5" t="s">
        <v>119</v>
      </c>
      <c r="CUR5" t="s">
        <v>119</v>
      </c>
      <c r="CUS5" t="s">
        <v>119</v>
      </c>
      <c r="CUT5" t="s">
        <v>119</v>
      </c>
      <c r="CUU5" t="s">
        <v>119</v>
      </c>
      <c r="CUV5" t="s">
        <v>119</v>
      </c>
      <c r="CUW5" t="s">
        <v>119</v>
      </c>
      <c r="CUX5" t="s">
        <v>119</v>
      </c>
      <c r="CUY5" t="s">
        <v>119</v>
      </c>
      <c r="CUZ5" t="s">
        <v>119</v>
      </c>
      <c r="CVA5" t="s">
        <v>119</v>
      </c>
      <c r="CVB5" t="s">
        <v>119</v>
      </c>
      <c r="CVC5" t="s">
        <v>119</v>
      </c>
      <c r="CVD5" t="s">
        <v>119</v>
      </c>
      <c r="CVE5" t="s">
        <v>119</v>
      </c>
      <c r="CVF5" t="s">
        <v>119</v>
      </c>
      <c r="CVG5" t="s">
        <v>119</v>
      </c>
      <c r="CVH5" t="s">
        <v>119</v>
      </c>
      <c r="CVI5" t="s">
        <v>119</v>
      </c>
      <c r="CVJ5" t="s">
        <v>119</v>
      </c>
      <c r="CVK5" t="s">
        <v>119</v>
      </c>
      <c r="CVL5" t="s">
        <v>119</v>
      </c>
      <c r="CVM5" t="s">
        <v>119</v>
      </c>
      <c r="CVN5" t="s">
        <v>119</v>
      </c>
      <c r="CVO5" t="s">
        <v>119</v>
      </c>
      <c r="CVP5" t="s">
        <v>119</v>
      </c>
      <c r="CVQ5" t="s">
        <v>119</v>
      </c>
      <c r="CVR5" t="s">
        <v>119</v>
      </c>
      <c r="CVS5" t="s">
        <v>119</v>
      </c>
      <c r="CVT5" t="s">
        <v>119</v>
      </c>
      <c r="CVU5" t="s">
        <v>119</v>
      </c>
      <c r="CVV5" t="s">
        <v>119</v>
      </c>
      <c r="CVW5" t="s">
        <v>119</v>
      </c>
      <c r="CVX5" t="s">
        <v>119</v>
      </c>
      <c r="CVY5" t="s">
        <v>119</v>
      </c>
      <c r="CVZ5" t="s">
        <v>119</v>
      </c>
      <c r="CWA5" t="s">
        <v>119</v>
      </c>
      <c r="CWB5" t="s">
        <v>119</v>
      </c>
      <c r="CWC5" t="s">
        <v>119</v>
      </c>
      <c r="CWD5" t="s">
        <v>119</v>
      </c>
      <c r="CWE5" t="s">
        <v>119</v>
      </c>
      <c r="CWF5" t="s">
        <v>119</v>
      </c>
      <c r="CWG5" t="s">
        <v>119</v>
      </c>
      <c r="CWH5" t="s">
        <v>119</v>
      </c>
      <c r="CWI5" t="s">
        <v>119</v>
      </c>
      <c r="CWJ5" t="s">
        <v>119</v>
      </c>
      <c r="CWK5" t="s">
        <v>119</v>
      </c>
      <c r="CWL5" t="s">
        <v>119</v>
      </c>
      <c r="CWM5" t="s">
        <v>119</v>
      </c>
      <c r="CWN5" t="s">
        <v>119</v>
      </c>
      <c r="CWO5" t="s">
        <v>119</v>
      </c>
      <c r="CWP5" t="s">
        <v>119</v>
      </c>
      <c r="CWQ5" t="s">
        <v>119</v>
      </c>
      <c r="CWR5" t="s">
        <v>119</v>
      </c>
      <c r="CWS5" t="s">
        <v>119</v>
      </c>
      <c r="CWT5" t="s">
        <v>119</v>
      </c>
      <c r="CWU5" t="s">
        <v>119</v>
      </c>
      <c r="CWV5" t="s">
        <v>119</v>
      </c>
      <c r="CWW5" t="s">
        <v>119</v>
      </c>
      <c r="CWX5" t="s">
        <v>119</v>
      </c>
      <c r="CWY5" t="s">
        <v>119</v>
      </c>
      <c r="CWZ5" t="s">
        <v>119</v>
      </c>
      <c r="CXA5" t="s">
        <v>119</v>
      </c>
      <c r="CXB5" t="s">
        <v>119</v>
      </c>
      <c r="CXC5" t="s">
        <v>119</v>
      </c>
      <c r="CXD5" t="s">
        <v>119</v>
      </c>
      <c r="CXE5" t="s">
        <v>119</v>
      </c>
      <c r="CXF5" t="s">
        <v>119</v>
      </c>
      <c r="CXG5" t="s">
        <v>119</v>
      </c>
      <c r="CXH5" t="s">
        <v>119</v>
      </c>
      <c r="CXI5" t="s">
        <v>119</v>
      </c>
      <c r="CXJ5" t="s">
        <v>119</v>
      </c>
      <c r="CXK5" t="s">
        <v>119</v>
      </c>
      <c r="CXL5" t="s">
        <v>119</v>
      </c>
      <c r="CXM5" t="s">
        <v>119</v>
      </c>
      <c r="CXN5" t="s">
        <v>119</v>
      </c>
      <c r="CXO5" t="s">
        <v>119</v>
      </c>
      <c r="CXP5" t="s">
        <v>119</v>
      </c>
      <c r="CXQ5" t="s">
        <v>119</v>
      </c>
      <c r="CXR5" t="s">
        <v>119</v>
      </c>
      <c r="CXS5" t="s">
        <v>119</v>
      </c>
      <c r="CXT5" t="s">
        <v>119</v>
      </c>
      <c r="CXU5" t="s">
        <v>119</v>
      </c>
      <c r="CXV5" t="s">
        <v>119</v>
      </c>
      <c r="CXW5" t="s">
        <v>119</v>
      </c>
      <c r="CXX5" t="s">
        <v>119</v>
      </c>
      <c r="CXY5" t="s">
        <v>119</v>
      </c>
      <c r="CXZ5" t="s">
        <v>119</v>
      </c>
      <c r="CYA5" t="s">
        <v>119</v>
      </c>
      <c r="CYB5" t="s">
        <v>119</v>
      </c>
      <c r="CYC5" t="s">
        <v>119</v>
      </c>
      <c r="CYD5" t="s">
        <v>119</v>
      </c>
      <c r="CYE5" t="s">
        <v>119</v>
      </c>
      <c r="CYF5" t="s">
        <v>119</v>
      </c>
      <c r="CYG5" t="s">
        <v>119</v>
      </c>
      <c r="CYH5" t="s">
        <v>119</v>
      </c>
      <c r="CYI5" t="s">
        <v>119</v>
      </c>
      <c r="CYJ5" t="s">
        <v>119</v>
      </c>
      <c r="CYK5" t="s">
        <v>119</v>
      </c>
      <c r="CYL5" t="s">
        <v>119</v>
      </c>
      <c r="CYM5" t="s">
        <v>119</v>
      </c>
      <c r="CYN5" t="s">
        <v>119</v>
      </c>
      <c r="CYO5" t="s">
        <v>119</v>
      </c>
      <c r="CYP5" t="s">
        <v>119</v>
      </c>
      <c r="CYQ5" t="s">
        <v>119</v>
      </c>
      <c r="CYR5" t="s">
        <v>119</v>
      </c>
      <c r="CYS5" t="s">
        <v>119</v>
      </c>
      <c r="CYT5" t="s">
        <v>119</v>
      </c>
      <c r="CYU5" t="s">
        <v>119</v>
      </c>
      <c r="CYV5" t="s">
        <v>119</v>
      </c>
      <c r="CYW5" t="s">
        <v>119</v>
      </c>
      <c r="CYX5" t="s">
        <v>119</v>
      </c>
      <c r="CYY5" t="s">
        <v>119</v>
      </c>
      <c r="CYZ5" t="s">
        <v>119</v>
      </c>
      <c r="CZA5" t="s">
        <v>119</v>
      </c>
      <c r="CZB5" t="s">
        <v>119</v>
      </c>
      <c r="CZC5" t="s">
        <v>119</v>
      </c>
      <c r="CZD5" t="s">
        <v>119</v>
      </c>
      <c r="CZE5" t="s">
        <v>119</v>
      </c>
      <c r="CZF5" t="s">
        <v>119</v>
      </c>
      <c r="CZG5" t="s">
        <v>119</v>
      </c>
      <c r="CZH5" t="s">
        <v>119</v>
      </c>
      <c r="CZI5" t="s">
        <v>119</v>
      </c>
      <c r="CZJ5" t="s">
        <v>119</v>
      </c>
      <c r="CZK5" t="s">
        <v>119</v>
      </c>
      <c r="CZL5" t="s">
        <v>119</v>
      </c>
    </row>
    <row r="7" spans="1:2716">
      <c r="B7" t="s">
        <v>91</v>
      </c>
    </row>
    <row r="8" spans="1:2716">
      <c r="A8" t="s">
        <v>120</v>
      </c>
    </row>
    <row r="11" spans="1:2716">
      <c r="F11" t="s">
        <v>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17DC-0E28-E843-A920-E9F46A7AB8E5}">
  <dimension ref="A1:EO9"/>
  <sheetViews>
    <sheetView topLeftCell="B1" workbookViewId="0">
      <selection activeCell="N9" sqref="N9:EO9"/>
    </sheetView>
  </sheetViews>
  <sheetFormatPr baseColWidth="10" defaultRowHeight="16"/>
  <cols>
    <col min="1" max="1" width="25.5" bestFit="1" customWidth="1"/>
    <col min="2" max="13" width="8.6640625" bestFit="1" customWidth="1"/>
    <col min="14" max="145" width="8.83203125" bestFit="1" customWidth="1"/>
  </cols>
  <sheetData>
    <row r="1" spans="1:145" s="2" customFormat="1" ht="14">
      <c r="A1" s="2" t="s">
        <v>121</v>
      </c>
    </row>
    <row r="2" spans="1:145" s="2" customFormat="1" ht="14">
      <c r="A2" s="30" t="s">
        <v>122</v>
      </c>
    </row>
    <row r="3" spans="1:145" s="2" customFormat="1" ht="14"/>
    <row r="4" spans="1:145" s="2" customFormat="1" ht="14"/>
    <row r="5" spans="1:145" s="2" customFormat="1" ht="14">
      <c r="A5" s="31" t="s">
        <v>123</v>
      </c>
      <c r="N5" s="32">
        <v>42005</v>
      </c>
      <c r="O5" s="32">
        <v>42036</v>
      </c>
      <c r="P5" s="32">
        <v>42064</v>
      </c>
      <c r="Q5" s="32">
        <v>42095</v>
      </c>
      <c r="R5" s="32">
        <v>42125</v>
      </c>
      <c r="S5" s="32">
        <v>42156</v>
      </c>
      <c r="T5" s="32">
        <v>42186</v>
      </c>
      <c r="U5" s="32">
        <v>42217</v>
      </c>
      <c r="V5" s="32">
        <v>42248</v>
      </c>
      <c r="W5" s="32">
        <v>42278</v>
      </c>
      <c r="X5" s="32">
        <v>42309</v>
      </c>
      <c r="Y5" s="32">
        <v>42339</v>
      </c>
      <c r="Z5" s="32">
        <v>42370</v>
      </c>
      <c r="AA5" s="32">
        <v>42401</v>
      </c>
      <c r="AB5" s="32">
        <v>42430</v>
      </c>
      <c r="AC5" s="32">
        <v>42461</v>
      </c>
      <c r="AD5" s="32">
        <v>42491</v>
      </c>
      <c r="AE5" s="32">
        <v>42522</v>
      </c>
      <c r="AF5" s="32">
        <v>42552</v>
      </c>
      <c r="AG5" s="32">
        <v>42583</v>
      </c>
      <c r="AH5" s="32">
        <v>42614</v>
      </c>
      <c r="AI5" s="32">
        <v>42644</v>
      </c>
      <c r="AJ5" s="32">
        <v>42675</v>
      </c>
      <c r="AK5" s="32">
        <v>42705</v>
      </c>
      <c r="AL5" s="32">
        <v>42736</v>
      </c>
      <c r="AM5" s="32">
        <v>42767</v>
      </c>
      <c r="AN5" s="32">
        <v>42795</v>
      </c>
      <c r="AO5" s="32">
        <v>42826</v>
      </c>
      <c r="AP5" s="32">
        <v>42856</v>
      </c>
      <c r="AQ5" s="32">
        <v>42887</v>
      </c>
      <c r="AR5" s="32">
        <v>42917</v>
      </c>
      <c r="AS5" s="32">
        <v>42948</v>
      </c>
      <c r="AT5" s="32">
        <v>42979</v>
      </c>
      <c r="AU5" s="32">
        <v>43009</v>
      </c>
      <c r="AV5" s="32">
        <v>43040</v>
      </c>
      <c r="AW5" s="32">
        <v>43070</v>
      </c>
      <c r="AX5" s="32">
        <v>43101</v>
      </c>
      <c r="AY5" s="32">
        <v>43132</v>
      </c>
      <c r="AZ5" s="32">
        <v>43160</v>
      </c>
      <c r="BA5" s="32">
        <v>43191</v>
      </c>
      <c r="BB5" s="32">
        <v>43221</v>
      </c>
      <c r="BC5" s="32">
        <v>43252</v>
      </c>
      <c r="BD5" s="32">
        <v>43282</v>
      </c>
      <c r="BE5" s="32">
        <v>43313</v>
      </c>
      <c r="BF5" s="32">
        <v>43344</v>
      </c>
      <c r="BG5" s="32">
        <v>43374</v>
      </c>
      <c r="BH5" s="32">
        <v>43405</v>
      </c>
      <c r="BI5" s="32">
        <v>43435</v>
      </c>
      <c r="BJ5" s="32">
        <v>43466</v>
      </c>
      <c r="BK5" s="32">
        <v>43497</v>
      </c>
      <c r="BL5" s="32">
        <v>43525</v>
      </c>
      <c r="BM5" s="32">
        <v>43556</v>
      </c>
      <c r="BN5" s="32">
        <v>43586</v>
      </c>
      <c r="BO5" s="32">
        <v>43617</v>
      </c>
      <c r="BP5" s="32">
        <v>43647</v>
      </c>
      <c r="BQ5" s="32">
        <v>43678</v>
      </c>
      <c r="BR5" s="32">
        <v>43709</v>
      </c>
      <c r="BS5" s="32">
        <v>43739</v>
      </c>
      <c r="BT5" s="32">
        <v>43770</v>
      </c>
      <c r="BU5" s="32">
        <v>43800</v>
      </c>
      <c r="BV5" s="32">
        <v>43831</v>
      </c>
      <c r="BW5" s="32">
        <v>43862</v>
      </c>
      <c r="BX5" s="32">
        <v>43891</v>
      </c>
      <c r="BY5" s="32">
        <v>43922</v>
      </c>
      <c r="BZ5" s="32">
        <v>43952</v>
      </c>
      <c r="CA5" s="32">
        <v>43983</v>
      </c>
      <c r="CB5" s="32">
        <v>44013</v>
      </c>
      <c r="CC5" s="32">
        <v>44044</v>
      </c>
      <c r="CD5" s="32">
        <v>44075</v>
      </c>
      <c r="CE5" s="32">
        <v>44105</v>
      </c>
      <c r="CF5" s="32">
        <v>44136</v>
      </c>
      <c r="CG5" s="32">
        <v>44166</v>
      </c>
      <c r="CH5" s="32">
        <v>44197</v>
      </c>
      <c r="CI5" s="32">
        <v>44228</v>
      </c>
      <c r="CJ5" s="32">
        <v>44256</v>
      </c>
      <c r="CK5" s="32">
        <v>44287</v>
      </c>
      <c r="CL5" s="32">
        <v>44317</v>
      </c>
      <c r="CM5" s="32">
        <v>44348</v>
      </c>
      <c r="CN5" s="32">
        <v>44378</v>
      </c>
      <c r="CO5" s="32">
        <v>44409</v>
      </c>
      <c r="CP5" s="32">
        <v>44440</v>
      </c>
      <c r="CQ5" s="32">
        <v>44470</v>
      </c>
      <c r="CR5" s="32">
        <v>44501</v>
      </c>
      <c r="CS5" s="32">
        <v>44531</v>
      </c>
      <c r="CT5" s="32">
        <v>44562</v>
      </c>
      <c r="CU5" s="32">
        <v>44593</v>
      </c>
      <c r="CV5" s="32">
        <v>44621</v>
      </c>
      <c r="CW5" s="32">
        <v>44652</v>
      </c>
      <c r="CX5" s="32">
        <v>44682</v>
      </c>
      <c r="CY5" s="32">
        <v>44713</v>
      </c>
      <c r="CZ5" s="32">
        <v>44743</v>
      </c>
      <c r="DA5" s="32">
        <v>44774</v>
      </c>
      <c r="DB5" s="32">
        <v>44805</v>
      </c>
      <c r="DC5" s="32">
        <v>44835</v>
      </c>
      <c r="DD5" s="32">
        <v>44866</v>
      </c>
      <c r="DE5" s="32">
        <v>44896</v>
      </c>
      <c r="DF5" s="32">
        <v>44927</v>
      </c>
      <c r="DG5" s="32">
        <v>44958</v>
      </c>
      <c r="DH5" s="32">
        <v>44986</v>
      </c>
      <c r="DI5" s="32">
        <v>45017</v>
      </c>
      <c r="DJ5" s="32">
        <v>45047</v>
      </c>
      <c r="DK5" s="32">
        <v>45078</v>
      </c>
      <c r="DL5" s="32">
        <v>45108</v>
      </c>
      <c r="DM5" s="32">
        <v>45139</v>
      </c>
      <c r="DN5" s="32">
        <v>45170</v>
      </c>
      <c r="DO5" s="32">
        <v>45200</v>
      </c>
      <c r="DP5" s="32">
        <v>45231</v>
      </c>
      <c r="DQ5" s="32">
        <v>45261</v>
      </c>
      <c r="DR5" s="32">
        <v>45292</v>
      </c>
      <c r="DS5" s="32">
        <v>45323</v>
      </c>
      <c r="DT5" s="32">
        <v>45352</v>
      </c>
      <c r="DU5" s="32">
        <v>45383</v>
      </c>
      <c r="DV5" s="32">
        <v>45413</v>
      </c>
      <c r="DW5" s="32">
        <v>45444</v>
      </c>
      <c r="DX5" s="32">
        <v>45474</v>
      </c>
      <c r="DY5" s="32">
        <v>45505</v>
      </c>
      <c r="DZ5" s="32">
        <v>45536</v>
      </c>
      <c r="EA5" s="32">
        <v>45566</v>
      </c>
      <c r="EB5" s="32">
        <v>45597</v>
      </c>
      <c r="EC5" s="32">
        <v>45627</v>
      </c>
      <c r="ED5" s="32">
        <v>45658</v>
      </c>
      <c r="EE5" s="32">
        <v>45689</v>
      </c>
      <c r="EF5" s="32">
        <v>45717</v>
      </c>
      <c r="EG5" s="32">
        <v>45748</v>
      </c>
      <c r="EH5" s="32">
        <v>45778</v>
      </c>
      <c r="EI5" s="32">
        <v>45809</v>
      </c>
      <c r="EJ5" s="32">
        <v>45839</v>
      </c>
      <c r="EK5" s="32">
        <v>45870</v>
      </c>
      <c r="EL5" s="32">
        <v>45901</v>
      </c>
      <c r="EM5" s="32">
        <v>45931</v>
      </c>
      <c r="EN5" s="32">
        <v>45962</v>
      </c>
      <c r="EO5" s="32">
        <v>45992</v>
      </c>
    </row>
    <row r="6" spans="1:145" s="2" customFormat="1">
      <c r="A6" s="31" t="s">
        <v>121</v>
      </c>
      <c r="B6" s="63">
        <v>418880</v>
      </c>
      <c r="C6" s="63">
        <v>428590</v>
      </c>
      <c r="D6" s="63">
        <v>454240</v>
      </c>
      <c r="E6" s="63">
        <v>465228</v>
      </c>
      <c r="F6" s="63">
        <v>468762</v>
      </c>
      <c r="G6" s="63">
        <v>478250</v>
      </c>
      <c r="H6" s="63">
        <v>467227</v>
      </c>
      <c r="I6" s="63">
        <v>472278</v>
      </c>
      <c r="J6" s="63">
        <v>486131</v>
      </c>
      <c r="K6" s="63">
        <v>493326</v>
      </c>
      <c r="L6" s="63">
        <v>498926</v>
      </c>
      <c r="M6" s="63">
        <v>509595</v>
      </c>
      <c r="N6" s="33">
        <v>385460</v>
      </c>
      <c r="O6" s="33">
        <v>376208</v>
      </c>
      <c r="P6" s="33">
        <v>360221</v>
      </c>
      <c r="Q6" s="33">
        <v>356365</v>
      </c>
      <c r="R6" s="33">
        <v>356005</v>
      </c>
      <c r="S6" s="33">
        <v>356770</v>
      </c>
      <c r="T6" s="33">
        <v>361571</v>
      </c>
      <c r="U6" s="33">
        <v>357626</v>
      </c>
      <c r="V6" s="33">
        <v>366343</v>
      </c>
      <c r="W6" s="33">
        <v>371267</v>
      </c>
      <c r="X6" s="33">
        <v>369640</v>
      </c>
      <c r="Y6" s="33">
        <v>364708</v>
      </c>
      <c r="Z6" s="33">
        <v>368399</v>
      </c>
      <c r="AA6" s="33">
        <v>371559</v>
      </c>
      <c r="AB6" s="33">
        <v>380544</v>
      </c>
      <c r="AC6" s="33">
        <v>387008</v>
      </c>
      <c r="AD6" s="33">
        <v>391521</v>
      </c>
      <c r="AE6" s="33">
        <v>387716</v>
      </c>
      <c r="AF6" s="33">
        <v>392756</v>
      </c>
      <c r="AG6" s="33">
        <v>393912</v>
      </c>
      <c r="AH6" s="33">
        <v>395198</v>
      </c>
      <c r="AI6" s="33">
        <v>397743</v>
      </c>
      <c r="AJ6" s="33">
        <v>390741</v>
      </c>
      <c r="AK6" s="33">
        <v>385288</v>
      </c>
      <c r="AL6" s="33">
        <v>377741</v>
      </c>
      <c r="AM6" s="33">
        <v>390585</v>
      </c>
      <c r="AN6" s="33">
        <v>397334</v>
      </c>
      <c r="AO6" s="33">
        <v>397907</v>
      </c>
      <c r="AP6" s="33">
        <v>400998</v>
      </c>
      <c r="AQ6" s="33">
        <v>405721</v>
      </c>
      <c r="AR6" s="33">
        <v>412239</v>
      </c>
      <c r="AS6" s="33">
        <v>418447</v>
      </c>
      <c r="AT6" s="33">
        <v>423978</v>
      </c>
      <c r="AU6" s="33">
        <v>424766</v>
      </c>
      <c r="AV6" s="33">
        <v>424857</v>
      </c>
      <c r="AW6" s="33">
        <v>431636</v>
      </c>
      <c r="AX6" s="33">
        <v>432742</v>
      </c>
      <c r="AY6" s="33">
        <v>447735</v>
      </c>
      <c r="AZ6" s="33">
        <v>453644</v>
      </c>
      <c r="BA6" s="33">
        <v>457995</v>
      </c>
      <c r="BB6" s="33">
        <v>459884</v>
      </c>
      <c r="BC6" s="33">
        <v>456640</v>
      </c>
      <c r="BD6" s="33">
        <v>456749</v>
      </c>
      <c r="BE6" s="33">
        <v>458032</v>
      </c>
      <c r="BF6" s="33">
        <v>460615</v>
      </c>
      <c r="BG6" s="33">
        <v>459163</v>
      </c>
      <c r="BH6" s="33">
        <v>459563</v>
      </c>
      <c r="BI6" s="33">
        <v>462104</v>
      </c>
      <c r="BJ6" s="33">
        <v>468495</v>
      </c>
      <c r="BK6" s="33">
        <v>475945</v>
      </c>
      <c r="BL6" s="33">
        <v>482610</v>
      </c>
      <c r="BM6" s="33">
        <v>487803</v>
      </c>
      <c r="BN6" s="33">
        <v>491088</v>
      </c>
      <c r="BO6" s="33">
        <v>495232</v>
      </c>
      <c r="BP6" s="33">
        <v>518363</v>
      </c>
      <c r="BQ6" s="33">
        <v>519797</v>
      </c>
      <c r="BR6" s="33">
        <v>529083</v>
      </c>
      <c r="BS6" s="33">
        <v>530923</v>
      </c>
      <c r="BT6" s="33">
        <v>540917</v>
      </c>
      <c r="BU6" s="33">
        <v>542029</v>
      </c>
      <c r="BV6" s="33">
        <v>554359</v>
      </c>
      <c r="BW6" s="33">
        <v>562306</v>
      </c>
      <c r="BX6" s="33">
        <v>570381</v>
      </c>
      <c r="BY6" s="33">
        <v>563473</v>
      </c>
      <c r="BZ6" s="33">
        <v>566012</v>
      </c>
      <c r="CA6" s="33">
        <v>566134</v>
      </c>
      <c r="CB6" s="33">
        <v>568872</v>
      </c>
      <c r="CC6" s="33">
        <v>591753</v>
      </c>
      <c r="CD6" s="33">
        <v>594422</v>
      </c>
      <c r="CE6" s="33">
        <v>583426</v>
      </c>
      <c r="CF6" s="33">
        <v>582845</v>
      </c>
      <c r="CG6" s="33">
        <v>582676</v>
      </c>
      <c r="CH6" s="33">
        <v>595774</v>
      </c>
      <c r="CI6" s="33">
        <v>590685</v>
      </c>
      <c r="CJ6" s="33">
        <v>586266</v>
      </c>
      <c r="CK6" s="33">
        <v>573322</v>
      </c>
      <c r="CL6" s="33">
        <v>590476</v>
      </c>
      <c r="CM6" s="33">
        <v>605232</v>
      </c>
      <c r="CN6" s="33">
        <v>591745</v>
      </c>
      <c r="CO6" s="33">
        <v>601003</v>
      </c>
      <c r="CP6" s="33">
        <v>618181</v>
      </c>
      <c r="CQ6" s="33">
        <v>614122</v>
      </c>
      <c r="CR6" s="33">
        <v>624237</v>
      </c>
      <c r="CS6" s="33">
        <v>622501</v>
      </c>
      <c r="CT6" s="33">
        <v>630627</v>
      </c>
      <c r="CU6" s="33">
        <v>630207</v>
      </c>
      <c r="CV6" s="33">
        <v>617133</v>
      </c>
      <c r="CW6" s="33">
        <v>606409</v>
      </c>
      <c r="CX6" s="33">
        <v>593052</v>
      </c>
      <c r="CY6" s="33">
        <v>587423</v>
      </c>
      <c r="CZ6" s="33">
        <v>584121</v>
      </c>
      <c r="DA6" s="33">
        <v>576904</v>
      </c>
      <c r="DB6" s="33">
        <v>565660</v>
      </c>
      <c r="DC6" s="33">
        <v>540688</v>
      </c>
      <c r="DD6" s="33">
        <v>547194</v>
      </c>
      <c r="DE6" s="33">
        <v>567289</v>
      </c>
      <c r="DF6" s="33">
        <v>581989</v>
      </c>
      <c r="DG6" s="33">
        <v>597035</v>
      </c>
      <c r="DH6" s="33">
        <v>574247</v>
      </c>
      <c r="DI6" s="33">
        <v>593879</v>
      </c>
      <c r="DJ6" s="33">
        <v>595787</v>
      </c>
      <c r="DK6" s="33">
        <v>584175</v>
      </c>
      <c r="DL6" s="33">
        <v>582418</v>
      </c>
      <c r="DM6" s="33">
        <v>589966</v>
      </c>
      <c r="DN6" s="33">
        <v>581659</v>
      </c>
      <c r="DO6" s="33">
        <v>569021</v>
      </c>
      <c r="DP6" s="33">
        <v>576083</v>
      </c>
      <c r="DQ6" s="33">
        <v>592352</v>
      </c>
      <c r="DR6" s="33">
        <v>598592</v>
      </c>
      <c r="DS6" s="33">
        <v>585448</v>
      </c>
      <c r="DT6" s="33">
        <v>582636</v>
      </c>
      <c r="DU6" s="33">
        <v>590374</v>
      </c>
      <c r="DV6" s="33">
        <v>597911</v>
      </c>
      <c r="DW6" s="33">
        <v>599040</v>
      </c>
      <c r="DX6" s="33">
        <v>593498</v>
      </c>
      <c r="DY6" s="33">
        <v>602050</v>
      </c>
      <c r="DZ6" s="33">
        <v>613715</v>
      </c>
      <c r="EA6" s="33">
        <v>633737</v>
      </c>
      <c r="EB6" s="33">
        <v>631573</v>
      </c>
      <c r="EC6" s="33">
        <v>616486</v>
      </c>
      <c r="ED6" s="33">
        <v>609068</v>
      </c>
      <c r="EE6" s="33">
        <v>620764</v>
      </c>
      <c r="EF6" s="33">
        <v>632355</v>
      </c>
      <c r="EG6" s="33">
        <v>647358</v>
      </c>
      <c r="EH6" s="33">
        <v>680271</v>
      </c>
      <c r="EI6" s="33">
        <v>680379</v>
      </c>
      <c r="EJ6" s="33">
        <v>688731</v>
      </c>
      <c r="EK6" s="33">
        <v>681489</v>
      </c>
      <c r="EL6" s="33">
        <v>689458</v>
      </c>
      <c r="EM6" s="33">
        <v>713301</v>
      </c>
      <c r="EN6" s="33">
        <v>725841</v>
      </c>
      <c r="EO6" s="33">
        <v>734588</v>
      </c>
    </row>
    <row r="7" spans="1:145" s="2" customFormat="1" ht="14">
      <c r="M7" s="2">
        <f>LN(M6)</f>
        <v>13.141371571575002</v>
      </c>
      <c r="N7" s="2">
        <f>LN(N6)</f>
        <v>12.862192705253042</v>
      </c>
      <c r="O7" s="2">
        <f t="shared" ref="O7:BZ7" si="0">LN(O6)</f>
        <v>12.837897460907387</v>
      </c>
      <c r="P7" s="2">
        <f t="shared" si="0"/>
        <v>12.794473010968479</v>
      </c>
      <c r="Q7" s="2">
        <f t="shared" si="0"/>
        <v>12.783710765491566</v>
      </c>
      <c r="R7" s="2">
        <f t="shared" si="0"/>
        <v>12.782700054679358</v>
      </c>
      <c r="S7" s="2">
        <f t="shared" si="0"/>
        <v>12.784846595435521</v>
      </c>
      <c r="T7" s="2">
        <f t="shared" si="0"/>
        <v>12.798213705168994</v>
      </c>
      <c r="U7" s="2">
        <f t="shared" si="0"/>
        <v>12.787243026573599</v>
      </c>
      <c r="V7" s="2">
        <f t="shared" si="0"/>
        <v>12.811325331994615</v>
      </c>
      <c r="W7" s="2">
        <f t="shared" si="0"/>
        <v>12.82467675929645</v>
      </c>
      <c r="X7" s="2">
        <f t="shared" si="0"/>
        <v>12.820284838001976</v>
      </c>
      <c r="Y7" s="2">
        <f t="shared" si="0"/>
        <v>12.806852312393859</v>
      </c>
      <c r="Z7" s="2">
        <f t="shared" si="0"/>
        <v>12.816921868918779</v>
      </c>
      <c r="AA7" s="2">
        <f t="shared" si="0"/>
        <v>12.825462946142469</v>
      </c>
      <c r="AB7" s="2">
        <f t="shared" si="0"/>
        <v>12.849357086917715</v>
      </c>
      <c r="AC7" s="2">
        <f t="shared" si="0"/>
        <v>12.866200643632885</v>
      </c>
      <c r="AD7" s="2">
        <f t="shared" si="0"/>
        <v>12.877794432821172</v>
      </c>
      <c r="AE7" s="2">
        <f t="shared" si="0"/>
        <v>12.868028391829919</v>
      </c>
      <c r="AF7" s="2">
        <f t="shared" si="0"/>
        <v>12.880943832894875</v>
      </c>
      <c r="AG7" s="2">
        <f t="shared" si="0"/>
        <v>12.883882813079881</v>
      </c>
      <c r="AH7" s="2">
        <f t="shared" si="0"/>
        <v>12.8871421841143</v>
      </c>
      <c r="AI7" s="2">
        <f t="shared" si="0"/>
        <v>12.893561347050825</v>
      </c>
      <c r="AJ7" s="2">
        <f t="shared" si="0"/>
        <v>12.87580021538891</v>
      </c>
      <c r="AK7" s="2">
        <f t="shared" si="0"/>
        <v>12.861746385566569</v>
      </c>
      <c r="AL7" s="2">
        <f t="shared" si="0"/>
        <v>12.841964054569889</v>
      </c>
      <c r="AM7" s="2">
        <f t="shared" si="0"/>
        <v>12.875400894229566</v>
      </c>
      <c r="AN7" s="2">
        <f t="shared" si="0"/>
        <v>12.892532515790263</v>
      </c>
      <c r="AO7" s="2">
        <f t="shared" si="0"/>
        <v>12.893973588620165</v>
      </c>
      <c r="AP7" s="2">
        <f t="shared" si="0"/>
        <v>12.901711718745096</v>
      </c>
      <c r="AQ7" s="2">
        <f t="shared" si="0"/>
        <v>12.913421010240912</v>
      </c>
      <c r="AR7" s="2">
        <f t="shared" si="0"/>
        <v>12.929358557227769</v>
      </c>
      <c r="AS7" s="2">
        <f t="shared" si="0"/>
        <v>12.94430551811999</v>
      </c>
      <c r="AT7" s="2">
        <f t="shared" si="0"/>
        <v>12.957436846075476</v>
      </c>
      <c r="AU7" s="2">
        <f t="shared" si="0"/>
        <v>12.959293708041898</v>
      </c>
      <c r="AV7" s="2">
        <f t="shared" si="0"/>
        <v>12.959507920699389</v>
      </c>
      <c r="AW7" s="2">
        <f t="shared" si="0"/>
        <v>12.975337919452986</v>
      </c>
      <c r="AX7" s="2">
        <f t="shared" si="0"/>
        <v>12.977896986443547</v>
      </c>
      <c r="AY7" s="2">
        <f t="shared" si="0"/>
        <v>13.011956818524272</v>
      </c>
      <c r="AZ7" s="2">
        <f t="shared" si="0"/>
        <v>13.025068028454982</v>
      </c>
      <c r="BA7" s="2">
        <f t="shared" si="0"/>
        <v>13.034613546006163</v>
      </c>
      <c r="BB7" s="2">
        <f t="shared" si="0"/>
        <v>13.038729562751046</v>
      </c>
      <c r="BC7" s="2">
        <f t="shared" si="0"/>
        <v>13.031650613270608</v>
      </c>
      <c r="BD7" s="2">
        <f t="shared" si="0"/>
        <v>13.031889284856357</v>
      </c>
      <c r="BE7" s="2">
        <f t="shared" si="0"/>
        <v>13.034694329651231</v>
      </c>
      <c r="BF7" s="2">
        <f t="shared" si="0"/>
        <v>13.040317832056431</v>
      </c>
      <c r="BG7" s="2">
        <f t="shared" si="0"/>
        <v>13.03716054582827</v>
      </c>
      <c r="BH7" s="2">
        <f t="shared" si="0"/>
        <v>13.038031316929283</v>
      </c>
      <c r="BI7" s="2">
        <f t="shared" si="0"/>
        <v>13.04354525295593</v>
      </c>
      <c r="BJ7" s="2">
        <f t="shared" si="0"/>
        <v>13.057280708245072</v>
      </c>
      <c r="BK7" s="2">
        <f t="shared" si="0"/>
        <v>13.073057580319091</v>
      </c>
      <c r="BL7" s="2">
        <f t="shared" si="0"/>
        <v>13.086964153052463</v>
      </c>
      <c r="BM7" s="2">
        <f t="shared" si="0"/>
        <v>13.097666914806545</v>
      </c>
      <c r="BN7" s="2">
        <f t="shared" si="0"/>
        <v>13.10437861678683</v>
      </c>
      <c r="BO7" s="2">
        <f t="shared" si="0"/>
        <v>13.112781618620129</v>
      </c>
      <c r="BP7" s="2">
        <f t="shared" si="0"/>
        <v>13.158431048016206</v>
      </c>
      <c r="BQ7" s="2">
        <f t="shared" si="0"/>
        <v>13.161193629722314</v>
      </c>
      <c r="BR7" s="2">
        <f t="shared" si="0"/>
        <v>13.178900598343912</v>
      </c>
      <c r="BS7" s="2">
        <f t="shared" si="0"/>
        <v>13.182372280292999</v>
      </c>
      <c r="BT7" s="2">
        <f t="shared" si="0"/>
        <v>13.201021126465283</v>
      </c>
      <c r="BU7" s="2">
        <f t="shared" si="0"/>
        <v>13.203074784525468</v>
      </c>
      <c r="BV7" s="2">
        <f t="shared" si="0"/>
        <v>13.225567770299158</v>
      </c>
      <c r="BW7" s="2">
        <f t="shared" si="0"/>
        <v>13.239801464683973</v>
      </c>
      <c r="BX7" s="2">
        <f t="shared" si="0"/>
        <v>13.25405983756951</v>
      </c>
      <c r="BY7" s="2">
        <f t="shared" si="0"/>
        <v>13.241874696495916</v>
      </c>
      <c r="BZ7" s="2">
        <f t="shared" si="0"/>
        <v>13.246370558374</v>
      </c>
      <c r="CA7" s="2">
        <f t="shared" ref="CA7:EL7" si="1">LN(CA6)</f>
        <v>13.246586078281279</v>
      </c>
      <c r="CB7" s="2">
        <f t="shared" si="1"/>
        <v>13.251410731738789</v>
      </c>
      <c r="CC7" s="2">
        <f t="shared" si="1"/>
        <v>13.290844597071871</v>
      </c>
      <c r="CD7" s="2">
        <f t="shared" si="1"/>
        <v>13.29534478381381</v>
      </c>
      <c r="CE7" s="2">
        <f t="shared" si="1"/>
        <v>13.276672901757985</v>
      </c>
      <c r="CF7" s="2">
        <f t="shared" si="1"/>
        <v>13.275676563774681</v>
      </c>
      <c r="CG7" s="2">
        <f t="shared" si="1"/>
        <v>13.275386564707853</v>
      </c>
      <c r="CH7" s="2">
        <f t="shared" si="1"/>
        <v>13.29761667950415</v>
      </c>
      <c r="CI7" s="2">
        <f t="shared" si="1"/>
        <v>13.28903815937209</v>
      </c>
      <c r="CJ7" s="2">
        <f t="shared" si="1"/>
        <v>13.281528890481077</v>
      </c>
      <c r="CK7" s="2">
        <f t="shared" si="1"/>
        <v>13.259202792484286</v>
      </c>
      <c r="CL7" s="2">
        <f t="shared" si="1"/>
        <v>13.288684270271146</v>
      </c>
      <c r="CM7" s="2">
        <f t="shared" si="1"/>
        <v>13.313367134581117</v>
      </c>
      <c r="CN7" s="2">
        <f t="shared" si="1"/>
        <v>13.290831077826381</v>
      </c>
      <c r="CO7" s="2">
        <f t="shared" si="1"/>
        <v>13.306355205185419</v>
      </c>
      <c r="CP7" s="2">
        <f t="shared" si="1"/>
        <v>13.334536573817678</v>
      </c>
      <c r="CQ7" s="2">
        <f t="shared" si="1"/>
        <v>13.327948884460035</v>
      </c>
      <c r="CR7" s="2">
        <f t="shared" si="1"/>
        <v>13.344285382935189</v>
      </c>
      <c r="CS7" s="2">
        <f t="shared" si="1"/>
        <v>13.341500513745412</v>
      </c>
      <c r="CT7" s="2">
        <f t="shared" si="1"/>
        <v>13.354469841541869</v>
      </c>
      <c r="CU7" s="2">
        <f t="shared" si="1"/>
        <v>13.353803615828516</v>
      </c>
      <c r="CV7" s="2">
        <f t="shared" si="1"/>
        <v>13.3328398388152</v>
      </c>
      <c r="CW7" s="2">
        <f t="shared" si="1"/>
        <v>13.315309954888816</v>
      </c>
      <c r="CX7" s="2">
        <f t="shared" si="1"/>
        <v>13.293037363848667</v>
      </c>
      <c r="CY7" s="2">
        <f t="shared" si="1"/>
        <v>13.28350045258105</v>
      </c>
      <c r="CZ7" s="2">
        <f t="shared" si="1"/>
        <v>13.277863432129934</v>
      </c>
      <c r="DA7" s="2">
        <f t="shared" si="1"/>
        <v>13.265431153831621</v>
      </c>
      <c r="DB7" s="2">
        <f t="shared" si="1"/>
        <v>13.245748469974973</v>
      </c>
      <c r="DC7" s="2">
        <f t="shared" si="1"/>
        <v>13.200597681670887</v>
      </c>
      <c r="DD7" s="2">
        <f t="shared" si="1"/>
        <v>13.212558680318082</v>
      </c>
      <c r="DE7" s="2">
        <f t="shared" si="1"/>
        <v>13.248624153033242</v>
      </c>
      <c r="DF7" s="2">
        <f t="shared" si="1"/>
        <v>13.274206826191319</v>
      </c>
      <c r="DG7" s="2">
        <f t="shared" si="1"/>
        <v>13.299731017121937</v>
      </c>
      <c r="DH7" s="2">
        <f t="shared" si="1"/>
        <v>13.260814896332214</v>
      </c>
      <c r="DI7" s="2">
        <f t="shared" si="1"/>
        <v>13.294430873890661</v>
      </c>
      <c r="DJ7" s="2">
        <f t="shared" si="1"/>
        <v>13.297638499620788</v>
      </c>
      <c r="DK7" s="2">
        <f t="shared" si="1"/>
        <v>13.277955874456259</v>
      </c>
      <c r="DL7" s="2">
        <f t="shared" si="1"/>
        <v>13.274943681980421</v>
      </c>
      <c r="DM7" s="2">
        <f t="shared" si="1"/>
        <v>13.287820187102753</v>
      </c>
      <c r="DN7" s="2">
        <f t="shared" si="1"/>
        <v>13.273639644347933</v>
      </c>
      <c r="DO7" s="2">
        <f t="shared" si="1"/>
        <v>13.251672619281557</v>
      </c>
      <c r="DP7" s="2">
        <f t="shared" si="1"/>
        <v>13.264007026519243</v>
      </c>
      <c r="DQ7" s="2">
        <f t="shared" si="1"/>
        <v>13.291856331759412</v>
      </c>
      <c r="DR7" s="2">
        <f t="shared" si="1"/>
        <v>13.302335509794222</v>
      </c>
      <c r="DS7" s="2">
        <f t="shared" si="1"/>
        <v>13.280132645095444</v>
      </c>
      <c r="DT7" s="2">
        <f t="shared" si="1"/>
        <v>13.27531791356547</v>
      </c>
      <c r="DU7" s="2">
        <f t="shared" si="1"/>
        <v>13.288511513358323</v>
      </c>
      <c r="DV7" s="2">
        <f t="shared" si="1"/>
        <v>13.301197192425132</v>
      </c>
      <c r="DW7" s="2">
        <f t="shared" si="1"/>
        <v>13.30308365283131</v>
      </c>
      <c r="DX7" s="2">
        <f t="shared" si="1"/>
        <v>13.293789123186249</v>
      </c>
      <c r="DY7" s="2">
        <f t="shared" si="1"/>
        <v>13.308095777320364</v>
      </c>
      <c r="DZ7" s="2">
        <f t="shared" si="1"/>
        <v>13.327285929988218</v>
      </c>
      <c r="EA7" s="2">
        <f t="shared" si="1"/>
        <v>13.359389320856627</v>
      </c>
      <c r="EB7" s="2">
        <f t="shared" si="1"/>
        <v>13.355968811874829</v>
      </c>
      <c r="EC7" s="2">
        <f t="shared" si="1"/>
        <v>13.33179089248846</v>
      </c>
      <c r="ED7" s="2">
        <f t="shared" si="1"/>
        <v>13.319685198915179</v>
      </c>
      <c r="EE7" s="2">
        <f t="shared" si="1"/>
        <v>13.338706256478957</v>
      </c>
      <c r="EF7" s="2">
        <f t="shared" si="1"/>
        <v>13.357206224290383</v>
      </c>
      <c r="EG7" s="2">
        <f t="shared" si="1"/>
        <v>13.380654743485662</v>
      </c>
      <c r="EH7" s="2">
        <f t="shared" si="1"/>
        <v>13.430246527172301</v>
      </c>
      <c r="EI7" s="2">
        <f t="shared" si="1"/>
        <v>13.430405274830004</v>
      </c>
      <c r="EJ7" s="2">
        <f t="shared" si="1"/>
        <v>13.442606052861859</v>
      </c>
      <c r="EK7" s="2">
        <f t="shared" si="1"/>
        <v>13.432035389122722</v>
      </c>
      <c r="EL7" s="2">
        <f t="shared" si="1"/>
        <v>13.443661060654595</v>
      </c>
      <c r="EM7" s="2">
        <f t="shared" ref="EM7:EO7" si="2">LN(EM6)</f>
        <v>13.477658770199817</v>
      </c>
      <c r="EN7" s="2">
        <f t="shared" si="2"/>
        <v>13.495086261556658</v>
      </c>
      <c r="EO7" s="2">
        <f t="shared" si="2"/>
        <v>13.507065076813642</v>
      </c>
    </row>
    <row r="8" spans="1:145" s="2" customFormat="1" ht="14">
      <c r="N8" s="2">
        <f>N7-M7</f>
        <v>-0.27917886632195987</v>
      </c>
      <c r="O8" s="2">
        <f t="shared" ref="O8:BZ8" si="3">O7-N7</f>
        <v>-2.429524434565522E-2</v>
      </c>
      <c r="P8" s="2">
        <f t="shared" si="3"/>
        <v>-4.3424449938907372E-2</v>
      </c>
      <c r="Q8" s="2">
        <f t="shared" si="3"/>
        <v>-1.0762245476913179E-2</v>
      </c>
      <c r="R8" s="2">
        <f t="shared" si="3"/>
        <v>-1.0107108122081598E-3</v>
      </c>
      <c r="S8" s="2">
        <f t="shared" si="3"/>
        <v>2.1465407561631622E-3</v>
      </c>
      <c r="T8" s="2">
        <f t="shared" si="3"/>
        <v>1.336710973347266E-2</v>
      </c>
      <c r="U8" s="2">
        <f t="shared" si="3"/>
        <v>-1.0970678595395356E-2</v>
      </c>
      <c r="V8" s="2">
        <f t="shared" si="3"/>
        <v>2.4082305421016414E-2</v>
      </c>
      <c r="W8" s="2">
        <f t="shared" si="3"/>
        <v>1.3351427301834917E-2</v>
      </c>
      <c r="X8" s="2">
        <f t="shared" si="3"/>
        <v>-4.391921294473633E-3</v>
      </c>
      <c r="Y8" s="2">
        <f t="shared" si="3"/>
        <v>-1.3432525608116919E-2</v>
      </c>
      <c r="Z8" s="2">
        <f t="shared" si="3"/>
        <v>1.0069556524920031E-2</v>
      </c>
      <c r="AA8" s="2">
        <f t="shared" si="3"/>
        <v>8.5410772236897969E-3</v>
      </c>
      <c r="AB8" s="2">
        <f t="shared" si="3"/>
        <v>2.3894140775245987E-2</v>
      </c>
      <c r="AC8" s="2">
        <f t="shared" si="3"/>
        <v>1.6843556715169683E-2</v>
      </c>
      <c r="AD8" s="2">
        <f t="shared" si="3"/>
        <v>1.1593789188287573E-2</v>
      </c>
      <c r="AE8" s="2">
        <f t="shared" si="3"/>
        <v>-9.7660409912538881E-3</v>
      </c>
      <c r="AF8" s="2">
        <f t="shared" si="3"/>
        <v>1.2915441064956568E-2</v>
      </c>
      <c r="AG8" s="2">
        <f t="shared" si="3"/>
        <v>2.9389801850054909E-3</v>
      </c>
      <c r="AH8" s="2">
        <f t="shared" si="3"/>
        <v>3.2593710344190896E-3</v>
      </c>
      <c r="AI8" s="2">
        <f t="shared" si="3"/>
        <v>6.4191629365257796E-3</v>
      </c>
      <c r="AJ8" s="2">
        <f t="shared" si="3"/>
        <v>-1.7761131661915286E-2</v>
      </c>
      <c r="AK8" s="2">
        <f t="shared" si="3"/>
        <v>-1.4053829822341157E-2</v>
      </c>
      <c r="AL8" s="2">
        <f t="shared" si="3"/>
        <v>-1.9782330996680031E-2</v>
      </c>
      <c r="AM8" s="2">
        <f t="shared" si="3"/>
        <v>3.343683965967692E-2</v>
      </c>
      <c r="AN8" s="2">
        <f t="shared" si="3"/>
        <v>1.7131621560697141E-2</v>
      </c>
      <c r="AO8" s="2">
        <f t="shared" si="3"/>
        <v>1.4410728299019127E-3</v>
      </c>
      <c r="AP8" s="2">
        <f t="shared" si="3"/>
        <v>7.7381301249310752E-3</v>
      </c>
      <c r="AQ8" s="2">
        <f t="shared" si="3"/>
        <v>1.1709291495815677E-2</v>
      </c>
      <c r="AR8" s="2">
        <f t="shared" si="3"/>
        <v>1.5937546986856788E-2</v>
      </c>
      <c r="AS8" s="2">
        <f t="shared" si="3"/>
        <v>1.4946960892221028E-2</v>
      </c>
      <c r="AT8" s="2">
        <f t="shared" si="3"/>
        <v>1.3131327955486327E-2</v>
      </c>
      <c r="AU8" s="2">
        <f t="shared" si="3"/>
        <v>1.8568619664218744E-3</v>
      </c>
      <c r="AV8" s="2">
        <f t="shared" si="3"/>
        <v>2.1421265749133056E-4</v>
      </c>
      <c r="AW8" s="2">
        <f t="shared" si="3"/>
        <v>1.5829998753597252E-2</v>
      </c>
      <c r="AX8" s="2">
        <f t="shared" si="3"/>
        <v>2.5590669905604102E-3</v>
      </c>
      <c r="AY8" s="2">
        <f t="shared" si="3"/>
        <v>3.4059832080725272E-2</v>
      </c>
      <c r="AZ8" s="2">
        <f t="shared" si="3"/>
        <v>1.3111209930709578E-2</v>
      </c>
      <c r="BA8" s="2">
        <f t="shared" si="3"/>
        <v>9.5455175511816037E-3</v>
      </c>
      <c r="BB8" s="2">
        <f t="shared" si="3"/>
        <v>4.1160167448826002E-3</v>
      </c>
      <c r="BC8" s="2">
        <f t="shared" si="3"/>
        <v>-7.0789494804373021E-3</v>
      </c>
      <c r="BD8" s="2">
        <f t="shared" si="3"/>
        <v>2.3867158574830682E-4</v>
      </c>
      <c r="BE8" s="2">
        <f t="shared" si="3"/>
        <v>2.8050447948739787E-3</v>
      </c>
      <c r="BF8" s="2">
        <f t="shared" si="3"/>
        <v>5.6235024052000426E-3</v>
      </c>
      <c r="BG8" s="2">
        <f t="shared" si="3"/>
        <v>-3.157286228161027E-3</v>
      </c>
      <c r="BH8" s="2">
        <f t="shared" si="3"/>
        <v>8.7077110101319022E-4</v>
      </c>
      <c r="BI8" s="2">
        <f t="shared" si="3"/>
        <v>5.5139360266469595E-3</v>
      </c>
      <c r="BJ8" s="2">
        <f t="shared" si="3"/>
        <v>1.3735455289141996E-2</v>
      </c>
      <c r="BK8" s="2">
        <f t="shared" si="3"/>
        <v>1.577687207401901E-2</v>
      </c>
      <c r="BL8" s="2">
        <f t="shared" si="3"/>
        <v>1.3906572733372258E-2</v>
      </c>
      <c r="BM8" s="2">
        <f t="shared" si="3"/>
        <v>1.0702761754082246E-2</v>
      </c>
      <c r="BN8" s="2">
        <f t="shared" si="3"/>
        <v>6.7117019802847011E-3</v>
      </c>
      <c r="BO8" s="2">
        <f t="shared" si="3"/>
        <v>8.4030018332992285E-3</v>
      </c>
      <c r="BP8" s="2">
        <f t="shared" si="3"/>
        <v>4.5649429396076968E-2</v>
      </c>
      <c r="BQ8" s="2">
        <f t="shared" si="3"/>
        <v>2.7625817061078806E-3</v>
      </c>
      <c r="BR8" s="2">
        <f t="shared" si="3"/>
        <v>1.7706968621597596E-2</v>
      </c>
      <c r="BS8" s="2">
        <f t="shared" si="3"/>
        <v>3.4716819490867579E-3</v>
      </c>
      <c r="BT8" s="2">
        <f t="shared" si="3"/>
        <v>1.8648846172284905E-2</v>
      </c>
      <c r="BU8" s="2">
        <f t="shared" si="3"/>
        <v>2.0536580601842047E-3</v>
      </c>
      <c r="BV8" s="2">
        <f t="shared" si="3"/>
        <v>2.2492985773689966E-2</v>
      </c>
      <c r="BW8" s="2">
        <f t="shared" si="3"/>
        <v>1.4233694384815365E-2</v>
      </c>
      <c r="BX8" s="2">
        <f t="shared" si="3"/>
        <v>1.425837288553744E-2</v>
      </c>
      <c r="BY8" s="2">
        <f t="shared" si="3"/>
        <v>-1.2185141073594252E-2</v>
      </c>
      <c r="BZ8" s="2">
        <f t="shared" si="3"/>
        <v>4.4958618780839288E-3</v>
      </c>
      <c r="CA8" s="2">
        <f t="shared" ref="CA8:EL8" si="4">CA7-BZ7</f>
        <v>2.155199072788605E-4</v>
      </c>
      <c r="CB8" s="2">
        <f t="shared" si="4"/>
        <v>4.8246534575095978E-3</v>
      </c>
      <c r="CC8" s="2">
        <f t="shared" si="4"/>
        <v>3.9433865333082352E-2</v>
      </c>
      <c r="CD8" s="2">
        <f t="shared" si="4"/>
        <v>4.5001867419394159E-3</v>
      </c>
      <c r="CE8" s="2">
        <f t="shared" si="4"/>
        <v>-1.8671882055825151E-2</v>
      </c>
      <c r="CF8" s="2">
        <f t="shared" si="4"/>
        <v>-9.9633798330422962E-4</v>
      </c>
      <c r="CG8" s="2">
        <f t="shared" si="4"/>
        <v>-2.8999906682791732E-4</v>
      </c>
      <c r="CH8" s="2">
        <f t="shared" si="4"/>
        <v>2.2230114796297329E-2</v>
      </c>
      <c r="CI8" s="2">
        <f t="shared" si="4"/>
        <v>-8.5785201320600635E-3</v>
      </c>
      <c r="CJ8" s="2">
        <f t="shared" si="4"/>
        <v>-7.509268891013221E-3</v>
      </c>
      <c r="CK8" s="2">
        <f t="shared" si="4"/>
        <v>-2.232609799679075E-2</v>
      </c>
      <c r="CL8" s="2">
        <f t="shared" si="4"/>
        <v>2.94814777868595E-2</v>
      </c>
      <c r="CM8" s="2">
        <f t="shared" si="4"/>
        <v>2.4682864309971464E-2</v>
      </c>
      <c r="CN8" s="2">
        <f t="shared" si="4"/>
        <v>-2.2536056754736578E-2</v>
      </c>
      <c r="CO8" s="2">
        <f t="shared" si="4"/>
        <v>1.5524127359038076E-2</v>
      </c>
      <c r="CP8" s="2">
        <f t="shared" si="4"/>
        <v>2.8181368632258952E-2</v>
      </c>
      <c r="CQ8" s="2">
        <f t="shared" si="4"/>
        <v>-6.5876893576426454E-3</v>
      </c>
      <c r="CR8" s="2">
        <f t="shared" si="4"/>
        <v>1.6336498475153505E-2</v>
      </c>
      <c r="CS8" s="2">
        <f t="shared" si="4"/>
        <v>-2.7848691897762734E-3</v>
      </c>
      <c r="CT8" s="2">
        <f t="shared" si="4"/>
        <v>1.2969327796456653E-2</v>
      </c>
      <c r="CU8" s="2">
        <f t="shared" si="4"/>
        <v>-6.6622571335273051E-4</v>
      </c>
      <c r="CV8" s="2">
        <f t="shared" si="4"/>
        <v>-2.0963777013315976E-2</v>
      </c>
      <c r="CW8" s="2">
        <f t="shared" si="4"/>
        <v>-1.7529883926384215E-2</v>
      </c>
      <c r="CX8" s="2">
        <f t="shared" si="4"/>
        <v>-2.2272591040149337E-2</v>
      </c>
      <c r="CY8" s="2">
        <f t="shared" si="4"/>
        <v>-9.5369112676166878E-3</v>
      </c>
      <c r="CZ8" s="2">
        <f t="shared" si="4"/>
        <v>-5.6370204511164701E-3</v>
      </c>
      <c r="DA8" s="2">
        <f t="shared" si="4"/>
        <v>-1.2432278298312838E-2</v>
      </c>
      <c r="DB8" s="2">
        <f t="shared" si="4"/>
        <v>-1.9682683856647287E-2</v>
      </c>
      <c r="DC8" s="2">
        <f t="shared" si="4"/>
        <v>-4.5150788304086475E-2</v>
      </c>
      <c r="DD8" s="2">
        <f t="shared" si="4"/>
        <v>1.1960998647195353E-2</v>
      </c>
      <c r="DE8" s="2">
        <f t="shared" si="4"/>
        <v>3.6065472715160141E-2</v>
      </c>
      <c r="DF8" s="2">
        <f t="shared" si="4"/>
        <v>2.558267315807683E-2</v>
      </c>
      <c r="DG8" s="2">
        <f t="shared" si="4"/>
        <v>2.5524190930617863E-2</v>
      </c>
      <c r="DH8" s="2">
        <f t="shared" si="4"/>
        <v>-3.8916120789723507E-2</v>
      </c>
      <c r="DI8" s="2">
        <f t="shared" si="4"/>
        <v>3.3615977558447696E-2</v>
      </c>
      <c r="DJ8" s="2">
        <f t="shared" si="4"/>
        <v>3.2076257301270061E-3</v>
      </c>
      <c r="DK8" s="2">
        <f t="shared" si="4"/>
        <v>-1.9682625164529455E-2</v>
      </c>
      <c r="DL8" s="2">
        <f t="shared" si="4"/>
        <v>-3.0121924758379492E-3</v>
      </c>
      <c r="DM8" s="2">
        <f t="shared" si="4"/>
        <v>1.2876505122331849E-2</v>
      </c>
      <c r="DN8" s="2">
        <f t="shared" si="4"/>
        <v>-1.418054275482028E-2</v>
      </c>
      <c r="DO8" s="2">
        <f t="shared" si="4"/>
        <v>-2.1967025066375712E-2</v>
      </c>
      <c r="DP8" s="2">
        <f t="shared" si="4"/>
        <v>1.2334407237686307E-2</v>
      </c>
      <c r="DQ8" s="2">
        <f t="shared" si="4"/>
        <v>2.7849305240168931E-2</v>
      </c>
      <c r="DR8" s="2">
        <f t="shared" si="4"/>
        <v>1.0479178034810133E-2</v>
      </c>
      <c r="DS8" s="2">
        <f t="shared" si="4"/>
        <v>-2.2202864698778413E-2</v>
      </c>
      <c r="DT8" s="2">
        <f t="shared" si="4"/>
        <v>-4.8147315299740256E-3</v>
      </c>
      <c r="DU8" s="2">
        <f t="shared" si="4"/>
        <v>1.319359979285295E-2</v>
      </c>
      <c r="DV8" s="2">
        <f t="shared" si="4"/>
        <v>1.2685679066809286E-2</v>
      </c>
      <c r="DW8" s="2">
        <f t="shared" si="4"/>
        <v>1.8864604061779033E-3</v>
      </c>
      <c r="DX8" s="2">
        <f t="shared" si="4"/>
        <v>-9.2945296450608339E-3</v>
      </c>
      <c r="DY8" s="2">
        <f t="shared" si="4"/>
        <v>1.4306654134115249E-2</v>
      </c>
      <c r="DZ8" s="2">
        <f t="shared" si="4"/>
        <v>1.9190152667853511E-2</v>
      </c>
      <c r="EA8" s="2">
        <f t="shared" si="4"/>
        <v>3.2103390868408965E-2</v>
      </c>
      <c r="EB8" s="2">
        <f t="shared" si="4"/>
        <v>-3.4205089817973544E-3</v>
      </c>
      <c r="EC8" s="2">
        <f t="shared" si="4"/>
        <v>-2.4177919386369595E-2</v>
      </c>
      <c r="ED8" s="2">
        <f t="shared" si="4"/>
        <v>-1.2105693573280618E-2</v>
      </c>
      <c r="EE8" s="2">
        <f t="shared" si="4"/>
        <v>1.9021057563778143E-2</v>
      </c>
      <c r="EF8" s="2">
        <f t="shared" si="4"/>
        <v>1.8499967811425932E-2</v>
      </c>
      <c r="EG8" s="2">
        <f t="shared" si="4"/>
        <v>2.3448519195278905E-2</v>
      </c>
      <c r="EH8" s="2">
        <f t="shared" si="4"/>
        <v>4.9591783686638635E-2</v>
      </c>
      <c r="EI8" s="2">
        <f t="shared" si="4"/>
        <v>1.5874765770362842E-4</v>
      </c>
      <c r="EJ8" s="2">
        <f t="shared" si="4"/>
        <v>1.2200778031854043E-2</v>
      </c>
      <c r="EK8" s="2">
        <f t="shared" si="4"/>
        <v>-1.0570663739136066E-2</v>
      </c>
      <c r="EL8" s="2">
        <f t="shared" si="4"/>
        <v>1.1625671531872328E-2</v>
      </c>
      <c r="EM8" s="2">
        <f t="shared" ref="EM8:EO8" si="5">EM7-EL7</f>
        <v>3.3997709545221966E-2</v>
      </c>
      <c r="EN8" s="2">
        <f t="shared" si="5"/>
        <v>1.7427491356841074E-2</v>
      </c>
      <c r="EO8" s="2">
        <f t="shared" si="5"/>
        <v>1.1978815256984632E-2</v>
      </c>
    </row>
    <row r="9" spans="1:145">
      <c r="N9">
        <v>-0.27917886632195987</v>
      </c>
      <c r="O9">
        <v>-2.429524434565522E-2</v>
      </c>
      <c r="P9">
        <v>-4.3424449938907372E-2</v>
      </c>
      <c r="Q9">
        <v>-1.0762245476913179E-2</v>
      </c>
      <c r="R9">
        <v>-1.0107108122081598E-3</v>
      </c>
      <c r="S9">
        <v>2.1465407561631622E-3</v>
      </c>
      <c r="T9">
        <v>1.336710973347266E-2</v>
      </c>
      <c r="U9">
        <v>-1.0970678595395356E-2</v>
      </c>
      <c r="V9">
        <v>2.4082305421016414E-2</v>
      </c>
      <c r="W9">
        <v>1.3351427301834917E-2</v>
      </c>
      <c r="X9">
        <v>-4.391921294473633E-3</v>
      </c>
      <c r="Y9">
        <v>-1.3432525608116919E-2</v>
      </c>
      <c r="Z9">
        <v>1.0069556524920031E-2</v>
      </c>
      <c r="AA9">
        <v>8.5410772236897969E-3</v>
      </c>
      <c r="AB9">
        <v>2.3894140775245987E-2</v>
      </c>
      <c r="AC9">
        <v>1.6843556715169683E-2</v>
      </c>
      <c r="AD9">
        <v>1.1593789188287573E-2</v>
      </c>
      <c r="AE9">
        <v>-9.7660409912538881E-3</v>
      </c>
      <c r="AF9">
        <v>1.2915441064956568E-2</v>
      </c>
      <c r="AG9">
        <v>2.9389801850054909E-3</v>
      </c>
      <c r="AH9">
        <v>3.2593710344190896E-3</v>
      </c>
      <c r="AI9">
        <v>6.4191629365257796E-3</v>
      </c>
      <c r="AJ9">
        <v>-1.7761131661915286E-2</v>
      </c>
      <c r="AK9">
        <v>-1.4053829822341157E-2</v>
      </c>
      <c r="AL9">
        <v>-1.9782330996680031E-2</v>
      </c>
      <c r="AM9">
        <v>3.343683965967692E-2</v>
      </c>
      <c r="AN9">
        <v>1.7131621560697141E-2</v>
      </c>
      <c r="AO9">
        <v>1.4410728299019127E-3</v>
      </c>
      <c r="AP9">
        <v>7.7381301249310752E-3</v>
      </c>
      <c r="AQ9">
        <v>1.1709291495815677E-2</v>
      </c>
      <c r="AR9">
        <v>1.5937546986856788E-2</v>
      </c>
      <c r="AS9">
        <v>1.4946960892221028E-2</v>
      </c>
      <c r="AT9">
        <v>1.3131327955486327E-2</v>
      </c>
      <c r="AU9">
        <v>1.8568619664218744E-3</v>
      </c>
      <c r="AV9">
        <v>2.1421265749133056E-4</v>
      </c>
      <c r="AW9">
        <v>1.5829998753597252E-2</v>
      </c>
      <c r="AX9">
        <v>2.5590669905604102E-3</v>
      </c>
      <c r="AY9">
        <v>3.4059832080725272E-2</v>
      </c>
      <c r="AZ9">
        <v>1.3111209930709578E-2</v>
      </c>
      <c r="BA9">
        <v>9.5455175511816037E-3</v>
      </c>
      <c r="BB9">
        <v>4.1160167448826002E-3</v>
      </c>
      <c r="BC9">
        <v>-7.0789494804373021E-3</v>
      </c>
      <c r="BD9">
        <v>2.3867158574830682E-4</v>
      </c>
      <c r="BE9">
        <v>2.8050447948739787E-3</v>
      </c>
      <c r="BF9">
        <v>5.6235024052000426E-3</v>
      </c>
      <c r="BG9">
        <v>-3.157286228161027E-3</v>
      </c>
      <c r="BH9">
        <v>8.7077110101319022E-4</v>
      </c>
      <c r="BI9">
        <v>5.5139360266469595E-3</v>
      </c>
      <c r="BJ9">
        <v>1.3735455289141996E-2</v>
      </c>
      <c r="BK9">
        <v>1.577687207401901E-2</v>
      </c>
      <c r="BL9">
        <v>1.3906572733372258E-2</v>
      </c>
      <c r="BM9">
        <v>1.0702761754082246E-2</v>
      </c>
      <c r="BN9">
        <v>6.7117019802847011E-3</v>
      </c>
      <c r="BO9">
        <v>8.4030018332992285E-3</v>
      </c>
      <c r="BP9">
        <v>4.5649429396076968E-2</v>
      </c>
      <c r="BQ9">
        <v>2.7625817061078806E-3</v>
      </c>
      <c r="BR9">
        <v>1.7706968621597596E-2</v>
      </c>
      <c r="BS9">
        <v>3.4716819490867579E-3</v>
      </c>
      <c r="BT9">
        <v>1.8648846172284905E-2</v>
      </c>
      <c r="BU9">
        <v>2.0536580601842047E-3</v>
      </c>
      <c r="BV9">
        <v>2.2492985773689966E-2</v>
      </c>
      <c r="BW9">
        <v>1.4233694384815365E-2</v>
      </c>
      <c r="BX9">
        <v>1.425837288553744E-2</v>
      </c>
      <c r="BY9">
        <v>-1.2185141073594252E-2</v>
      </c>
      <c r="BZ9">
        <v>4.4958618780839288E-3</v>
      </c>
      <c r="CA9">
        <v>2.155199072788605E-4</v>
      </c>
      <c r="CB9">
        <v>4.8246534575095978E-3</v>
      </c>
      <c r="CC9">
        <v>3.9433865333082352E-2</v>
      </c>
      <c r="CD9">
        <v>4.5001867419394159E-3</v>
      </c>
      <c r="CE9">
        <v>-1.8671882055825151E-2</v>
      </c>
      <c r="CF9">
        <v>-9.9633798330422962E-4</v>
      </c>
      <c r="CG9">
        <v>-2.8999906682791732E-4</v>
      </c>
      <c r="CH9">
        <v>2.2230114796297329E-2</v>
      </c>
      <c r="CI9">
        <v>-8.5785201320600635E-3</v>
      </c>
      <c r="CJ9">
        <v>-7.509268891013221E-3</v>
      </c>
      <c r="CK9">
        <v>-2.232609799679075E-2</v>
      </c>
      <c r="CL9">
        <v>2.94814777868595E-2</v>
      </c>
      <c r="CM9">
        <v>2.4682864309971464E-2</v>
      </c>
      <c r="CN9">
        <v>-2.2536056754736578E-2</v>
      </c>
      <c r="CO9">
        <v>1.5524127359038076E-2</v>
      </c>
      <c r="CP9">
        <v>2.8181368632258952E-2</v>
      </c>
      <c r="CQ9">
        <v>-6.5876893576426454E-3</v>
      </c>
      <c r="CR9">
        <v>1.6336498475153505E-2</v>
      </c>
      <c r="CS9">
        <v>-2.7848691897762734E-3</v>
      </c>
      <c r="CT9">
        <v>1.2969327796456653E-2</v>
      </c>
      <c r="CU9">
        <v>-6.6622571335273051E-4</v>
      </c>
      <c r="CV9">
        <v>-2.0963777013315976E-2</v>
      </c>
      <c r="CW9">
        <v>-1.7529883926384215E-2</v>
      </c>
      <c r="CX9">
        <v>-2.2272591040149337E-2</v>
      </c>
      <c r="CY9">
        <v>-9.5369112676166878E-3</v>
      </c>
      <c r="CZ9">
        <v>-5.6370204511164701E-3</v>
      </c>
      <c r="DA9">
        <v>-1.2432278298312838E-2</v>
      </c>
      <c r="DB9">
        <v>-1.9682683856647287E-2</v>
      </c>
      <c r="DC9">
        <v>-4.5150788304086475E-2</v>
      </c>
      <c r="DD9">
        <v>1.1960998647195353E-2</v>
      </c>
      <c r="DE9">
        <v>3.6065472715160141E-2</v>
      </c>
      <c r="DF9">
        <v>2.558267315807683E-2</v>
      </c>
      <c r="DG9">
        <v>2.5524190930617863E-2</v>
      </c>
      <c r="DH9">
        <v>-3.8916120789723507E-2</v>
      </c>
      <c r="DI9">
        <v>3.3615977558447696E-2</v>
      </c>
      <c r="DJ9">
        <v>3.2076257301270061E-3</v>
      </c>
      <c r="DK9">
        <v>-1.9682625164529455E-2</v>
      </c>
      <c r="DL9">
        <v>-3.0121924758379492E-3</v>
      </c>
      <c r="DM9">
        <v>1.2876505122331849E-2</v>
      </c>
      <c r="DN9">
        <v>-1.418054275482028E-2</v>
      </c>
      <c r="DO9">
        <v>-2.1967025066375712E-2</v>
      </c>
      <c r="DP9">
        <v>1.2334407237686307E-2</v>
      </c>
      <c r="DQ9">
        <v>2.7849305240168931E-2</v>
      </c>
      <c r="DR9">
        <v>1.0479178034810133E-2</v>
      </c>
      <c r="DS9">
        <v>-2.2202864698778413E-2</v>
      </c>
      <c r="DT9">
        <v>-4.8147315299740256E-3</v>
      </c>
      <c r="DU9">
        <v>1.319359979285295E-2</v>
      </c>
      <c r="DV9">
        <v>1.2685679066809286E-2</v>
      </c>
      <c r="DW9">
        <v>1.8864604061779033E-3</v>
      </c>
      <c r="DX9">
        <v>-9.2945296450608339E-3</v>
      </c>
      <c r="DY9">
        <v>1.4306654134115249E-2</v>
      </c>
      <c r="DZ9">
        <v>1.9190152667853511E-2</v>
      </c>
      <c r="EA9">
        <v>3.2103390868408965E-2</v>
      </c>
      <c r="EB9">
        <v>-3.4205089817973544E-3</v>
      </c>
      <c r="EC9">
        <v>-2.4177919386369595E-2</v>
      </c>
      <c r="ED9">
        <v>-1.2105693573280618E-2</v>
      </c>
      <c r="EE9">
        <v>1.9021057563778143E-2</v>
      </c>
      <c r="EF9">
        <v>1.8499967811425932E-2</v>
      </c>
      <c r="EG9">
        <v>2.3448519195278905E-2</v>
      </c>
      <c r="EH9">
        <v>4.9591783686638635E-2</v>
      </c>
      <c r="EI9">
        <v>1.5874765770362842E-4</v>
      </c>
      <c r="EJ9">
        <v>1.2200778031854043E-2</v>
      </c>
      <c r="EK9">
        <v>-1.0570663739136066E-2</v>
      </c>
      <c r="EL9">
        <v>1.1625671531872328E-2</v>
      </c>
      <c r="EM9">
        <v>3.3997709545221966E-2</v>
      </c>
      <c r="EN9">
        <v>1.7427491356841074E-2</v>
      </c>
      <c r="EO9">
        <v>1.1978815256984632E-2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7EEF-FB20-C749-9CF7-C2DDB00AFA4C}">
  <dimension ref="A1:EE8"/>
  <sheetViews>
    <sheetView zoomScale="125" workbookViewId="0">
      <selection activeCell="D8" sqref="D8:EE8"/>
    </sheetView>
  </sheetViews>
  <sheetFormatPr baseColWidth="10" defaultRowHeight="16"/>
  <cols>
    <col min="1" max="1" width="19.1640625" bestFit="1" customWidth="1"/>
    <col min="4" max="135" width="6" bestFit="1" customWidth="1"/>
  </cols>
  <sheetData>
    <row r="1" spans="1:135">
      <c r="A1" t="s">
        <v>124</v>
      </c>
    </row>
    <row r="3" spans="1:135" ht="17" thickBot="1"/>
    <row r="4" spans="1:135" ht="32" customHeight="1" thickBot="1">
      <c r="A4" s="123" t="s">
        <v>125</v>
      </c>
      <c r="B4" s="125" t="s">
        <v>75</v>
      </c>
      <c r="C4" s="126"/>
      <c r="D4" s="119">
        <v>2015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1"/>
      <c r="P4" s="119">
        <v>2016</v>
      </c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1"/>
      <c r="AB4" s="119">
        <v>2017</v>
      </c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1"/>
      <c r="AN4" s="119">
        <v>2018</v>
      </c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1"/>
      <c r="AZ4" s="119">
        <v>2019</v>
      </c>
      <c r="BA4" s="120"/>
      <c r="BB4" s="120"/>
      <c r="BC4" s="120"/>
      <c r="BD4" s="120"/>
      <c r="BE4" s="120"/>
      <c r="BF4" s="120"/>
      <c r="BG4" s="120"/>
      <c r="BH4" s="120"/>
      <c r="BI4" s="120"/>
      <c r="BJ4" s="120"/>
      <c r="BK4" s="121"/>
      <c r="BL4" s="119">
        <v>2020</v>
      </c>
      <c r="BM4" s="120"/>
      <c r="BN4" s="120"/>
      <c r="BO4" s="120"/>
      <c r="BP4" s="120"/>
      <c r="BQ4" s="120"/>
      <c r="BR4" s="120"/>
      <c r="BS4" s="120"/>
      <c r="BT4" s="120"/>
      <c r="BU4" s="120"/>
      <c r="BV4" s="120"/>
      <c r="BW4" s="121"/>
      <c r="BX4" s="119">
        <v>2021</v>
      </c>
      <c r="BY4" s="120"/>
      <c r="BZ4" s="120"/>
      <c r="CA4" s="120"/>
      <c r="CB4" s="120"/>
      <c r="CC4" s="120"/>
      <c r="CD4" s="120"/>
      <c r="CE4" s="120"/>
      <c r="CF4" s="120"/>
      <c r="CG4" s="120"/>
      <c r="CH4" s="120"/>
      <c r="CI4" s="121"/>
      <c r="CJ4" s="119">
        <v>2022</v>
      </c>
      <c r="CK4" s="120"/>
      <c r="CL4" s="120"/>
      <c r="CM4" s="120"/>
      <c r="CN4" s="120"/>
      <c r="CO4" s="120"/>
      <c r="CP4" s="120"/>
      <c r="CQ4" s="120"/>
      <c r="CR4" s="120"/>
      <c r="CS4" s="120"/>
      <c r="CT4" s="120"/>
      <c r="CU4" s="121"/>
      <c r="CV4" s="119">
        <v>2023</v>
      </c>
      <c r="CW4" s="120"/>
      <c r="CX4" s="120"/>
      <c r="CY4" s="120"/>
      <c r="CZ4" s="120"/>
      <c r="DA4" s="120"/>
      <c r="DB4" s="120"/>
      <c r="DC4" s="120"/>
      <c r="DD4" s="120"/>
      <c r="DE4" s="120"/>
      <c r="DF4" s="120"/>
      <c r="DG4" s="121"/>
      <c r="DH4" s="119">
        <v>2024</v>
      </c>
      <c r="DI4" s="120"/>
      <c r="DJ4" s="120"/>
      <c r="DK4" s="120"/>
      <c r="DL4" s="120"/>
      <c r="DM4" s="120"/>
      <c r="DN4" s="120"/>
      <c r="DO4" s="120"/>
      <c r="DP4" s="120"/>
      <c r="DQ4" s="120"/>
      <c r="DR4" s="120"/>
      <c r="DS4" s="121"/>
      <c r="DT4" s="119">
        <v>2025</v>
      </c>
      <c r="DU4" s="120"/>
      <c r="DV4" s="120"/>
      <c r="DW4" s="120"/>
      <c r="DX4" s="120"/>
      <c r="DY4" s="120"/>
      <c r="DZ4" s="120"/>
      <c r="EA4" s="120"/>
      <c r="EB4" s="120"/>
      <c r="EC4" s="120"/>
      <c r="ED4" s="120"/>
      <c r="EE4" s="122"/>
    </row>
    <row r="5" spans="1:135" ht="32" customHeight="1" thickBot="1">
      <c r="A5" s="124"/>
      <c r="B5" s="127" t="s">
        <v>76</v>
      </c>
      <c r="C5" s="128" t="s">
        <v>92</v>
      </c>
      <c r="D5" s="34" t="s">
        <v>126</v>
      </c>
      <c r="E5" s="35" t="s">
        <v>127</v>
      </c>
      <c r="F5" s="35" t="s">
        <v>128</v>
      </c>
      <c r="G5" s="35" t="s">
        <v>129</v>
      </c>
      <c r="H5" s="35" t="s">
        <v>87</v>
      </c>
      <c r="I5" s="35" t="s">
        <v>130</v>
      </c>
      <c r="J5" s="35" t="s">
        <v>131</v>
      </c>
      <c r="K5" s="35" t="s">
        <v>132</v>
      </c>
      <c r="L5" s="35" t="s">
        <v>133</v>
      </c>
      <c r="M5" s="35" t="s">
        <v>134</v>
      </c>
      <c r="N5" s="35" t="s">
        <v>135</v>
      </c>
      <c r="O5" s="36" t="s">
        <v>136</v>
      </c>
      <c r="P5" s="34" t="s">
        <v>126</v>
      </c>
      <c r="Q5" s="35" t="s">
        <v>127</v>
      </c>
      <c r="R5" s="35" t="s">
        <v>128</v>
      </c>
      <c r="S5" s="35" t="s">
        <v>129</v>
      </c>
      <c r="T5" s="35" t="s">
        <v>87</v>
      </c>
      <c r="U5" s="35" t="s">
        <v>130</v>
      </c>
      <c r="V5" s="35" t="s">
        <v>131</v>
      </c>
      <c r="W5" s="35" t="s">
        <v>132</v>
      </c>
      <c r="X5" s="35" t="s">
        <v>133</v>
      </c>
      <c r="Y5" s="35" t="s">
        <v>134</v>
      </c>
      <c r="Z5" s="35" t="s">
        <v>135</v>
      </c>
      <c r="AA5" s="36" t="s">
        <v>136</v>
      </c>
      <c r="AB5" s="34" t="s">
        <v>126</v>
      </c>
      <c r="AC5" s="35" t="s">
        <v>127</v>
      </c>
      <c r="AD5" s="35" t="s">
        <v>128</v>
      </c>
      <c r="AE5" s="35" t="s">
        <v>129</v>
      </c>
      <c r="AF5" s="35" t="s">
        <v>87</v>
      </c>
      <c r="AG5" s="35" t="s">
        <v>130</v>
      </c>
      <c r="AH5" s="35" t="s">
        <v>131</v>
      </c>
      <c r="AI5" s="35" t="s">
        <v>132</v>
      </c>
      <c r="AJ5" s="35" t="s">
        <v>133</v>
      </c>
      <c r="AK5" s="35" t="s">
        <v>134</v>
      </c>
      <c r="AL5" s="35" t="s">
        <v>135</v>
      </c>
      <c r="AM5" s="36" t="s">
        <v>136</v>
      </c>
      <c r="AN5" s="34" t="s">
        <v>126</v>
      </c>
      <c r="AO5" s="35" t="s">
        <v>127</v>
      </c>
      <c r="AP5" s="35" t="s">
        <v>128</v>
      </c>
      <c r="AQ5" s="35" t="s">
        <v>129</v>
      </c>
      <c r="AR5" s="35" t="s">
        <v>87</v>
      </c>
      <c r="AS5" s="35" t="s">
        <v>130</v>
      </c>
      <c r="AT5" s="35" t="s">
        <v>131</v>
      </c>
      <c r="AU5" s="35" t="s">
        <v>132</v>
      </c>
      <c r="AV5" s="35" t="s">
        <v>133</v>
      </c>
      <c r="AW5" s="35" t="s">
        <v>134</v>
      </c>
      <c r="AX5" s="35" t="s">
        <v>135</v>
      </c>
      <c r="AY5" s="36" t="s">
        <v>136</v>
      </c>
      <c r="AZ5" s="34" t="s">
        <v>126</v>
      </c>
      <c r="BA5" s="35" t="s">
        <v>127</v>
      </c>
      <c r="BB5" s="35" t="s">
        <v>128</v>
      </c>
      <c r="BC5" s="35" t="s">
        <v>129</v>
      </c>
      <c r="BD5" s="35" t="s">
        <v>87</v>
      </c>
      <c r="BE5" s="35" t="s">
        <v>130</v>
      </c>
      <c r="BF5" s="35" t="s">
        <v>131</v>
      </c>
      <c r="BG5" s="35" t="s">
        <v>132</v>
      </c>
      <c r="BH5" s="35" t="s">
        <v>133</v>
      </c>
      <c r="BI5" s="35" t="s">
        <v>134</v>
      </c>
      <c r="BJ5" s="35" t="s">
        <v>135</v>
      </c>
      <c r="BK5" s="36" t="s">
        <v>136</v>
      </c>
      <c r="BL5" s="34" t="s">
        <v>126</v>
      </c>
      <c r="BM5" s="35" t="s">
        <v>127</v>
      </c>
      <c r="BN5" s="35" t="s">
        <v>128</v>
      </c>
      <c r="BO5" s="35" t="s">
        <v>129</v>
      </c>
      <c r="BP5" s="35" t="s">
        <v>87</v>
      </c>
      <c r="BQ5" s="35" t="s">
        <v>130</v>
      </c>
      <c r="BR5" s="35" t="s">
        <v>131</v>
      </c>
      <c r="BS5" s="35" t="s">
        <v>132</v>
      </c>
      <c r="BT5" s="35" t="s">
        <v>133</v>
      </c>
      <c r="BU5" s="35" t="s">
        <v>134</v>
      </c>
      <c r="BV5" s="35" t="s">
        <v>135</v>
      </c>
      <c r="BW5" s="36" t="s">
        <v>136</v>
      </c>
      <c r="BX5" s="34" t="s">
        <v>126</v>
      </c>
      <c r="BY5" s="35" t="s">
        <v>127</v>
      </c>
      <c r="BZ5" s="35" t="s">
        <v>128</v>
      </c>
      <c r="CA5" s="35" t="s">
        <v>129</v>
      </c>
      <c r="CB5" s="35" t="s">
        <v>87</v>
      </c>
      <c r="CC5" s="35" t="s">
        <v>130</v>
      </c>
      <c r="CD5" s="35" t="s">
        <v>131</v>
      </c>
      <c r="CE5" s="35" t="s">
        <v>132</v>
      </c>
      <c r="CF5" s="35" t="s">
        <v>133</v>
      </c>
      <c r="CG5" s="35" t="s">
        <v>134</v>
      </c>
      <c r="CH5" s="35" t="s">
        <v>135</v>
      </c>
      <c r="CI5" s="36" t="s">
        <v>136</v>
      </c>
      <c r="CJ5" s="34" t="s">
        <v>126</v>
      </c>
      <c r="CK5" s="35" t="s">
        <v>127</v>
      </c>
      <c r="CL5" s="35" t="s">
        <v>128</v>
      </c>
      <c r="CM5" s="35" t="s">
        <v>129</v>
      </c>
      <c r="CN5" s="35" t="s">
        <v>87</v>
      </c>
      <c r="CO5" s="35" t="s">
        <v>130</v>
      </c>
      <c r="CP5" s="35" t="s">
        <v>131</v>
      </c>
      <c r="CQ5" s="35" t="s">
        <v>132</v>
      </c>
      <c r="CR5" s="35" t="s">
        <v>133</v>
      </c>
      <c r="CS5" s="35" t="s">
        <v>134</v>
      </c>
      <c r="CT5" s="35" t="s">
        <v>135</v>
      </c>
      <c r="CU5" s="36" t="s">
        <v>136</v>
      </c>
      <c r="CV5" s="34" t="s">
        <v>126</v>
      </c>
      <c r="CW5" s="35" t="s">
        <v>127</v>
      </c>
      <c r="CX5" s="35" t="s">
        <v>128</v>
      </c>
      <c r="CY5" s="35" t="s">
        <v>129</v>
      </c>
      <c r="CZ5" s="35" t="s">
        <v>87</v>
      </c>
      <c r="DA5" s="35" t="s">
        <v>130</v>
      </c>
      <c r="DB5" s="35" t="s">
        <v>131</v>
      </c>
      <c r="DC5" s="35" t="s">
        <v>132</v>
      </c>
      <c r="DD5" s="35" t="s">
        <v>133</v>
      </c>
      <c r="DE5" s="35" t="s">
        <v>134</v>
      </c>
      <c r="DF5" s="35" t="s">
        <v>135</v>
      </c>
      <c r="DG5" s="36" t="s">
        <v>136</v>
      </c>
      <c r="DH5" s="34" t="s">
        <v>126</v>
      </c>
      <c r="DI5" s="35" t="s">
        <v>127</v>
      </c>
      <c r="DJ5" s="35" t="s">
        <v>128</v>
      </c>
      <c r="DK5" s="35" t="s">
        <v>129</v>
      </c>
      <c r="DL5" s="35" t="s">
        <v>87</v>
      </c>
      <c r="DM5" s="35" t="s">
        <v>130</v>
      </c>
      <c r="DN5" s="35" t="s">
        <v>131</v>
      </c>
      <c r="DO5" s="35" t="s">
        <v>132</v>
      </c>
      <c r="DP5" s="35" t="s">
        <v>133</v>
      </c>
      <c r="DQ5" s="35" t="s">
        <v>134</v>
      </c>
      <c r="DR5" s="35" t="s">
        <v>135</v>
      </c>
      <c r="DS5" s="36" t="s">
        <v>136</v>
      </c>
      <c r="DT5" s="34" t="s">
        <v>126</v>
      </c>
      <c r="DU5" s="35" t="s">
        <v>127</v>
      </c>
      <c r="DV5" s="35" t="s">
        <v>128</v>
      </c>
      <c r="DW5" s="35" t="s">
        <v>129</v>
      </c>
      <c r="DX5" s="35" t="s">
        <v>87</v>
      </c>
      <c r="DY5" s="35" t="s">
        <v>130</v>
      </c>
      <c r="DZ5" s="35" t="s">
        <v>131</v>
      </c>
      <c r="EA5" s="35" t="s">
        <v>132</v>
      </c>
      <c r="EB5" s="35" t="s">
        <v>133</v>
      </c>
      <c r="EC5" s="35" t="s">
        <v>134</v>
      </c>
      <c r="ED5" s="35" t="s">
        <v>135</v>
      </c>
      <c r="EE5" s="36" t="s">
        <v>136</v>
      </c>
    </row>
    <row r="6" spans="1:135" ht="32" customHeight="1" thickBot="1">
      <c r="A6" s="37" t="s">
        <v>137</v>
      </c>
      <c r="B6" s="129" t="s">
        <v>138</v>
      </c>
      <c r="C6" s="130"/>
      <c r="D6" s="38">
        <v>70.599999999999994</v>
      </c>
      <c r="E6" s="39">
        <v>80.900000000000006</v>
      </c>
      <c r="F6" s="39">
        <v>70.099999999999994</v>
      </c>
      <c r="G6" s="39">
        <v>64.599999999999994</v>
      </c>
      <c r="H6" s="39">
        <v>69.8</v>
      </c>
      <c r="I6" s="39">
        <v>74.099999999999994</v>
      </c>
      <c r="J6" s="39">
        <v>59.2</v>
      </c>
      <c r="K6" s="39">
        <v>60.4</v>
      </c>
      <c r="L6" s="39">
        <v>69.2</v>
      </c>
      <c r="M6" s="39">
        <v>65</v>
      </c>
      <c r="N6" s="39">
        <v>69.2</v>
      </c>
      <c r="O6" s="40">
        <v>75.400000000000006</v>
      </c>
      <c r="P6" s="38">
        <v>61.5</v>
      </c>
      <c r="Q6" s="39">
        <v>68.5</v>
      </c>
      <c r="R6" s="39">
        <v>70.5</v>
      </c>
      <c r="S6" s="39">
        <v>70.8</v>
      </c>
      <c r="T6" s="39">
        <v>71.900000000000006</v>
      </c>
      <c r="U6" s="39">
        <v>79.900000000000006</v>
      </c>
      <c r="V6" s="39">
        <v>82.1</v>
      </c>
      <c r="W6" s="39">
        <v>92.3</v>
      </c>
      <c r="X6" s="39">
        <v>96.3</v>
      </c>
      <c r="Y6" s="39">
        <v>91.8</v>
      </c>
      <c r="Z6" s="39">
        <v>104.5</v>
      </c>
      <c r="AA6" s="40">
        <v>108.7</v>
      </c>
      <c r="AB6" s="38">
        <v>148.30000000000001</v>
      </c>
      <c r="AC6" s="39">
        <v>128.19999999999999</v>
      </c>
      <c r="AD6" s="39">
        <v>135.1</v>
      </c>
      <c r="AE6" s="39">
        <v>119.8</v>
      </c>
      <c r="AF6" s="39">
        <v>128.1</v>
      </c>
      <c r="AG6" s="39">
        <v>122.8</v>
      </c>
      <c r="AH6" s="39">
        <v>109.8</v>
      </c>
      <c r="AI6" s="39">
        <v>125.8</v>
      </c>
      <c r="AJ6" s="39">
        <v>121.2</v>
      </c>
      <c r="AK6" s="39">
        <v>127.4</v>
      </c>
      <c r="AL6" s="39">
        <v>126</v>
      </c>
      <c r="AM6" s="40">
        <v>119.2</v>
      </c>
      <c r="AN6" s="38">
        <v>132.19999999999999</v>
      </c>
      <c r="AO6" s="39">
        <v>121.2</v>
      </c>
      <c r="AP6" s="39">
        <v>116.9</v>
      </c>
      <c r="AQ6" s="39">
        <v>138.30000000000001</v>
      </c>
      <c r="AR6" s="39">
        <v>129.4</v>
      </c>
      <c r="AS6" s="39">
        <v>123.1</v>
      </c>
      <c r="AT6" s="39">
        <v>139.5</v>
      </c>
      <c r="AU6" s="39">
        <v>129.1</v>
      </c>
      <c r="AV6" s="39">
        <v>125.8</v>
      </c>
      <c r="AW6" s="39">
        <v>131.19999999999999</v>
      </c>
      <c r="AX6" s="39">
        <v>120.5</v>
      </c>
      <c r="AY6" s="40">
        <v>111</v>
      </c>
      <c r="AZ6" s="38">
        <v>91.7</v>
      </c>
      <c r="BA6" s="39">
        <v>111</v>
      </c>
      <c r="BB6" s="39">
        <v>101.1</v>
      </c>
      <c r="BC6" s="39">
        <v>101.9</v>
      </c>
      <c r="BD6" s="39">
        <v>88.9</v>
      </c>
      <c r="BE6" s="39">
        <v>89.1</v>
      </c>
      <c r="BF6" s="39">
        <v>97.1</v>
      </c>
      <c r="BG6" s="39">
        <v>91.4</v>
      </c>
      <c r="BH6" s="39">
        <v>91.7</v>
      </c>
      <c r="BI6" s="39">
        <v>89.5</v>
      </c>
      <c r="BJ6" s="39">
        <v>88.8</v>
      </c>
      <c r="BK6" s="40">
        <v>96</v>
      </c>
      <c r="BL6" s="38">
        <v>99.2</v>
      </c>
      <c r="BM6" s="39">
        <v>82.6</v>
      </c>
      <c r="BN6" s="39">
        <v>80.900000000000006</v>
      </c>
      <c r="BO6" s="39">
        <v>68.099999999999994</v>
      </c>
      <c r="BP6" s="39">
        <v>64.599999999999994</v>
      </c>
      <c r="BQ6" s="39">
        <v>75.599999999999994</v>
      </c>
      <c r="BR6" s="39">
        <v>73.8</v>
      </c>
      <c r="BS6" s="39">
        <v>67.900000000000006</v>
      </c>
      <c r="BT6" s="39">
        <v>87.4</v>
      </c>
      <c r="BU6" s="39">
        <v>77.3</v>
      </c>
      <c r="BV6" s="39">
        <v>84.3</v>
      </c>
      <c r="BW6" s="40">
        <v>91.3</v>
      </c>
      <c r="BX6" s="38">
        <v>87.2</v>
      </c>
      <c r="BY6" s="39">
        <v>105.7</v>
      </c>
      <c r="BZ6" s="39">
        <v>121.2</v>
      </c>
      <c r="CA6" s="39">
        <v>146.19999999999999</v>
      </c>
      <c r="CB6" s="39">
        <v>166.1</v>
      </c>
      <c r="CC6" s="39">
        <v>176.7</v>
      </c>
      <c r="CD6" s="39">
        <v>176.1</v>
      </c>
      <c r="CE6" s="39">
        <v>185.9</v>
      </c>
      <c r="CF6" s="39">
        <v>146.5</v>
      </c>
      <c r="CG6" s="39">
        <v>164.1</v>
      </c>
      <c r="CH6" s="39">
        <v>162.6</v>
      </c>
      <c r="CI6" s="40">
        <v>160.80000000000001</v>
      </c>
      <c r="CJ6" s="38">
        <v>176.3</v>
      </c>
      <c r="CK6" s="39">
        <v>169.8</v>
      </c>
      <c r="CL6" s="39">
        <v>154.4</v>
      </c>
      <c r="CM6" s="39">
        <v>132.30000000000001</v>
      </c>
      <c r="CN6" s="39">
        <v>142.30000000000001</v>
      </c>
      <c r="CO6" s="39">
        <v>124.6</v>
      </c>
      <c r="CP6" s="39">
        <v>105.9</v>
      </c>
      <c r="CQ6" s="39">
        <v>113.1</v>
      </c>
      <c r="CR6" s="39">
        <v>103</v>
      </c>
      <c r="CS6" s="39">
        <v>93.9</v>
      </c>
      <c r="CT6" s="39">
        <v>91.9</v>
      </c>
      <c r="CU6" s="40">
        <v>94.3</v>
      </c>
      <c r="CV6" s="38">
        <v>69.900000000000006</v>
      </c>
      <c r="CW6" s="39">
        <v>59.4</v>
      </c>
      <c r="CX6" s="39">
        <v>72.8</v>
      </c>
      <c r="CY6" s="39">
        <v>65.400000000000006</v>
      </c>
      <c r="CZ6" s="39">
        <v>75.3</v>
      </c>
      <c r="DA6" s="39">
        <v>64</v>
      </c>
      <c r="DB6" s="39">
        <v>68.900000000000006</v>
      </c>
      <c r="DC6" s="39">
        <v>75.900000000000006</v>
      </c>
      <c r="DD6" s="39">
        <v>86.1</v>
      </c>
      <c r="DE6" s="39">
        <v>77.900000000000006</v>
      </c>
      <c r="DF6" s="39">
        <v>75.7</v>
      </c>
      <c r="DG6" s="40">
        <v>72</v>
      </c>
      <c r="DH6" s="38">
        <v>87</v>
      </c>
      <c r="DI6" s="39">
        <v>103.8</v>
      </c>
      <c r="DJ6" s="39">
        <v>101.8</v>
      </c>
      <c r="DK6" s="39">
        <v>107.9</v>
      </c>
      <c r="DL6" s="39">
        <v>98.1</v>
      </c>
      <c r="DM6" s="39">
        <v>103.5</v>
      </c>
      <c r="DN6" s="39">
        <v>112.7</v>
      </c>
      <c r="DO6" s="39">
        <v>93.2</v>
      </c>
      <c r="DP6" s="39">
        <v>96.4</v>
      </c>
      <c r="DQ6" s="39">
        <v>109</v>
      </c>
      <c r="DR6" s="39">
        <v>115</v>
      </c>
      <c r="DS6" s="40">
        <v>100.2</v>
      </c>
      <c r="DT6" s="38">
        <v>104.5</v>
      </c>
      <c r="DU6" s="39">
        <v>100</v>
      </c>
      <c r="DV6" s="39">
        <v>85.4</v>
      </c>
      <c r="DW6" s="39">
        <v>98.6</v>
      </c>
      <c r="DX6" s="39">
        <v>91.2</v>
      </c>
      <c r="DY6" s="39">
        <v>92.6</v>
      </c>
      <c r="DZ6" s="39">
        <v>107.7</v>
      </c>
      <c r="EA6" s="39">
        <v>94.3</v>
      </c>
      <c r="EB6" s="39">
        <v>100.4</v>
      </c>
      <c r="EC6" s="39">
        <v>99.9</v>
      </c>
      <c r="ED6" s="39">
        <v>85.6</v>
      </c>
      <c r="EE6" s="40">
        <v>110.8</v>
      </c>
    </row>
    <row r="7" spans="1:135">
      <c r="D7" s="55">
        <f>D6-100</f>
        <v>-29.400000000000006</v>
      </c>
      <c r="E7" s="55">
        <f t="shared" ref="E7:BP7" si="0">E6-100</f>
        <v>-19.099999999999994</v>
      </c>
      <c r="F7" s="55">
        <f t="shared" si="0"/>
        <v>-29.900000000000006</v>
      </c>
      <c r="G7" s="55">
        <f t="shared" si="0"/>
        <v>-35.400000000000006</v>
      </c>
      <c r="H7" s="55">
        <f t="shared" si="0"/>
        <v>-30.200000000000003</v>
      </c>
      <c r="I7" s="55">
        <f t="shared" si="0"/>
        <v>-25.900000000000006</v>
      </c>
      <c r="J7" s="55">
        <f t="shared" si="0"/>
        <v>-40.799999999999997</v>
      </c>
      <c r="K7" s="55">
        <f t="shared" si="0"/>
        <v>-39.6</v>
      </c>
      <c r="L7" s="55">
        <f t="shared" si="0"/>
        <v>-30.799999999999997</v>
      </c>
      <c r="M7" s="55">
        <f t="shared" si="0"/>
        <v>-35</v>
      </c>
      <c r="N7" s="55">
        <f t="shared" si="0"/>
        <v>-30.799999999999997</v>
      </c>
      <c r="O7" s="55">
        <f t="shared" si="0"/>
        <v>-24.599999999999994</v>
      </c>
      <c r="P7" s="55">
        <f t="shared" si="0"/>
        <v>-38.5</v>
      </c>
      <c r="Q7" s="55">
        <f t="shared" si="0"/>
        <v>-31.5</v>
      </c>
      <c r="R7" s="55">
        <f t="shared" si="0"/>
        <v>-29.5</v>
      </c>
      <c r="S7" s="55">
        <f t="shared" si="0"/>
        <v>-29.200000000000003</v>
      </c>
      <c r="T7" s="55">
        <f t="shared" si="0"/>
        <v>-28.099999999999994</v>
      </c>
      <c r="U7" s="55">
        <f t="shared" si="0"/>
        <v>-20.099999999999994</v>
      </c>
      <c r="V7" s="55">
        <f t="shared" si="0"/>
        <v>-17.900000000000006</v>
      </c>
      <c r="W7" s="55">
        <f t="shared" si="0"/>
        <v>-7.7000000000000028</v>
      </c>
      <c r="X7" s="55">
        <f t="shared" si="0"/>
        <v>-3.7000000000000028</v>
      </c>
      <c r="Y7" s="55">
        <f t="shared" si="0"/>
        <v>-8.2000000000000028</v>
      </c>
      <c r="Z7" s="55">
        <f t="shared" si="0"/>
        <v>4.5</v>
      </c>
      <c r="AA7" s="55">
        <f t="shared" si="0"/>
        <v>8.7000000000000028</v>
      </c>
      <c r="AB7" s="55">
        <f t="shared" si="0"/>
        <v>48.300000000000011</v>
      </c>
      <c r="AC7" s="55">
        <f t="shared" si="0"/>
        <v>28.199999999999989</v>
      </c>
      <c r="AD7" s="55">
        <f t="shared" si="0"/>
        <v>35.099999999999994</v>
      </c>
      <c r="AE7" s="55">
        <f t="shared" si="0"/>
        <v>19.799999999999997</v>
      </c>
      <c r="AF7" s="55">
        <f t="shared" si="0"/>
        <v>28.099999999999994</v>
      </c>
      <c r="AG7" s="55">
        <f t="shared" si="0"/>
        <v>22.799999999999997</v>
      </c>
      <c r="AH7" s="55">
        <f t="shared" si="0"/>
        <v>9.7999999999999972</v>
      </c>
      <c r="AI7" s="55">
        <f t="shared" si="0"/>
        <v>25.799999999999997</v>
      </c>
      <c r="AJ7" s="55">
        <f t="shared" si="0"/>
        <v>21.200000000000003</v>
      </c>
      <c r="AK7" s="55">
        <f t="shared" si="0"/>
        <v>27.400000000000006</v>
      </c>
      <c r="AL7" s="55">
        <f t="shared" si="0"/>
        <v>26</v>
      </c>
      <c r="AM7" s="55">
        <f t="shared" si="0"/>
        <v>19.200000000000003</v>
      </c>
      <c r="AN7" s="55">
        <f t="shared" si="0"/>
        <v>32.199999999999989</v>
      </c>
      <c r="AO7" s="55">
        <f t="shared" si="0"/>
        <v>21.200000000000003</v>
      </c>
      <c r="AP7" s="55">
        <f t="shared" si="0"/>
        <v>16.900000000000006</v>
      </c>
      <c r="AQ7" s="55">
        <f t="shared" si="0"/>
        <v>38.300000000000011</v>
      </c>
      <c r="AR7" s="55">
        <f t="shared" si="0"/>
        <v>29.400000000000006</v>
      </c>
      <c r="AS7" s="55">
        <f t="shared" si="0"/>
        <v>23.099999999999994</v>
      </c>
      <c r="AT7" s="55">
        <f t="shared" si="0"/>
        <v>39.5</v>
      </c>
      <c r="AU7" s="55">
        <f t="shared" si="0"/>
        <v>29.099999999999994</v>
      </c>
      <c r="AV7" s="55">
        <f t="shared" si="0"/>
        <v>25.799999999999997</v>
      </c>
      <c r="AW7" s="55">
        <f t="shared" si="0"/>
        <v>31.199999999999989</v>
      </c>
      <c r="AX7" s="55">
        <f t="shared" si="0"/>
        <v>20.5</v>
      </c>
      <c r="AY7" s="55">
        <f t="shared" si="0"/>
        <v>11</v>
      </c>
      <c r="AZ7" s="55">
        <f t="shared" si="0"/>
        <v>-8.2999999999999972</v>
      </c>
      <c r="BA7" s="55">
        <f t="shared" si="0"/>
        <v>11</v>
      </c>
      <c r="BB7" s="55">
        <f t="shared" si="0"/>
        <v>1.0999999999999943</v>
      </c>
      <c r="BC7" s="55">
        <f t="shared" si="0"/>
        <v>1.9000000000000057</v>
      </c>
      <c r="BD7" s="55">
        <f t="shared" si="0"/>
        <v>-11.099999999999994</v>
      </c>
      <c r="BE7" s="55">
        <f t="shared" si="0"/>
        <v>-10.900000000000006</v>
      </c>
      <c r="BF7" s="55">
        <f t="shared" si="0"/>
        <v>-2.9000000000000057</v>
      </c>
      <c r="BG7" s="55">
        <f t="shared" si="0"/>
        <v>-8.5999999999999943</v>
      </c>
      <c r="BH7" s="55">
        <f t="shared" si="0"/>
        <v>-8.2999999999999972</v>
      </c>
      <c r="BI7" s="55">
        <f t="shared" si="0"/>
        <v>-10.5</v>
      </c>
      <c r="BJ7" s="55">
        <f t="shared" si="0"/>
        <v>-11.200000000000003</v>
      </c>
      <c r="BK7" s="55">
        <f t="shared" si="0"/>
        <v>-4</v>
      </c>
      <c r="BL7" s="55">
        <f t="shared" si="0"/>
        <v>-0.79999999999999716</v>
      </c>
      <c r="BM7" s="55">
        <f t="shared" si="0"/>
        <v>-17.400000000000006</v>
      </c>
      <c r="BN7" s="55">
        <f t="shared" si="0"/>
        <v>-19.099999999999994</v>
      </c>
      <c r="BO7" s="55">
        <f t="shared" si="0"/>
        <v>-31.900000000000006</v>
      </c>
      <c r="BP7" s="55">
        <f t="shared" si="0"/>
        <v>-35.400000000000006</v>
      </c>
      <c r="BQ7" s="55">
        <f t="shared" ref="BQ7:EB7" si="1">BQ6-100</f>
        <v>-24.400000000000006</v>
      </c>
      <c r="BR7" s="55">
        <f t="shared" si="1"/>
        <v>-26.200000000000003</v>
      </c>
      <c r="BS7" s="55">
        <f t="shared" si="1"/>
        <v>-32.099999999999994</v>
      </c>
      <c r="BT7" s="55">
        <f t="shared" si="1"/>
        <v>-12.599999999999994</v>
      </c>
      <c r="BU7" s="55">
        <f t="shared" si="1"/>
        <v>-22.700000000000003</v>
      </c>
      <c r="BV7" s="55">
        <f t="shared" si="1"/>
        <v>-15.700000000000003</v>
      </c>
      <c r="BW7" s="55">
        <f t="shared" si="1"/>
        <v>-8.7000000000000028</v>
      </c>
      <c r="BX7" s="55">
        <f t="shared" si="1"/>
        <v>-12.799999999999997</v>
      </c>
      <c r="BY7" s="55">
        <f t="shared" si="1"/>
        <v>5.7000000000000028</v>
      </c>
      <c r="BZ7" s="55">
        <f t="shared" si="1"/>
        <v>21.200000000000003</v>
      </c>
      <c r="CA7" s="55">
        <f t="shared" si="1"/>
        <v>46.199999999999989</v>
      </c>
      <c r="CB7" s="55">
        <f t="shared" si="1"/>
        <v>66.099999999999994</v>
      </c>
      <c r="CC7" s="55">
        <f t="shared" si="1"/>
        <v>76.699999999999989</v>
      </c>
      <c r="CD7" s="55">
        <f t="shared" si="1"/>
        <v>76.099999999999994</v>
      </c>
      <c r="CE7" s="55">
        <f t="shared" si="1"/>
        <v>85.9</v>
      </c>
      <c r="CF7" s="55">
        <f t="shared" si="1"/>
        <v>46.5</v>
      </c>
      <c r="CG7" s="55">
        <f t="shared" si="1"/>
        <v>64.099999999999994</v>
      </c>
      <c r="CH7" s="55">
        <f t="shared" si="1"/>
        <v>62.599999999999994</v>
      </c>
      <c r="CI7" s="55">
        <f t="shared" si="1"/>
        <v>60.800000000000011</v>
      </c>
      <c r="CJ7" s="55">
        <f t="shared" si="1"/>
        <v>76.300000000000011</v>
      </c>
      <c r="CK7" s="55">
        <f t="shared" si="1"/>
        <v>69.800000000000011</v>
      </c>
      <c r="CL7" s="55">
        <f t="shared" si="1"/>
        <v>54.400000000000006</v>
      </c>
      <c r="CM7" s="55">
        <f t="shared" si="1"/>
        <v>32.300000000000011</v>
      </c>
      <c r="CN7" s="55">
        <f t="shared" si="1"/>
        <v>42.300000000000011</v>
      </c>
      <c r="CO7" s="55">
        <f t="shared" si="1"/>
        <v>24.599999999999994</v>
      </c>
      <c r="CP7" s="55">
        <f t="shared" si="1"/>
        <v>5.9000000000000057</v>
      </c>
      <c r="CQ7" s="55">
        <f t="shared" si="1"/>
        <v>13.099999999999994</v>
      </c>
      <c r="CR7" s="55">
        <f t="shared" si="1"/>
        <v>3</v>
      </c>
      <c r="CS7" s="55">
        <f t="shared" si="1"/>
        <v>-6.0999999999999943</v>
      </c>
      <c r="CT7" s="55">
        <f t="shared" si="1"/>
        <v>-8.0999999999999943</v>
      </c>
      <c r="CU7" s="55">
        <f t="shared" si="1"/>
        <v>-5.7000000000000028</v>
      </c>
      <c r="CV7" s="55">
        <f t="shared" si="1"/>
        <v>-30.099999999999994</v>
      </c>
      <c r="CW7" s="55">
        <f t="shared" si="1"/>
        <v>-40.6</v>
      </c>
      <c r="CX7" s="55">
        <f t="shared" si="1"/>
        <v>-27.200000000000003</v>
      </c>
      <c r="CY7" s="55">
        <f t="shared" si="1"/>
        <v>-34.599999999999994</v>
      </c>
      <c r="CZ7" s="55">
        <f t="shared" si="1"/>
        <v>-24.700000000000003</v>
      </c>
      <c r="DA7" s="55">
        <f t="shared" si="1"/>
        <v>-36</v>
      </c>
      <c r="DB7" s="55">
        <f t="shared" si="1"/>
        <v>-31.099999999999994</v>
      </c>
      <c r="DC7" s="55">
        <f t="shared" si="1"/>
        <v>-24.099999999999994</v>
      </c>
      <c r="DD7" s="55">
        <f t="shared" si="1"/>
        <v>-13.900000000000006</v>
      </c>
      <c r="DE7" s="55">
        <f t="shared" si="1"/>
        <v>-22.099999999999994</v>
      </c>
      <c r="DF7" s="55">
        <f t="shared" si="1"/>
        <v>-24.299999999999997</v>
      </c>
      <c r="DG7" s="55">
        <f t="shared" si="1"/>
        <v>-28</v>
      </c>
      <c r="DH7" s="55">
        <f t="shared" si="1"/>
        <v>-13</v>
      </c>
      <c r="DI7" s="55">
        <f t="shared" si="1"/>
        <v>3.7999999999999972</v>
      </c>
      <c r="DJ7" s="55">
        <f t="shared" si="1"/>
        <v>1.7999999999999972</v>
      </c>
      <c r="DK7" s="55">
        <f t="shared" si="1"/>
        <v>7.9000000000000057</v>
      </c>
      <c r="DL7" s="55">
        <f t="shared" si="1"/>
        <v>-1.9000000000000057</v>
      </c>
      <c r="DM7" s="55">
        <f t="shared" si="1"/>
        <v>3.5</v>
      </c>
      <c r="DN7" s="55">
        <f t="shared" si="1"/>
        <v>12.700000000000003</v>
      </c>
      <c r="DO7" s="55">
        <f t="shared" si="1"/>
        <v>-6.7999999999999972</v>
      </c>
      <c r="DP7" s="55">
        <f t="shared" si="1"/>
        <v>-3.5999999999999943</v>
      </c>
      <c r="DQ7" s="55">
        <f t="shared" si="1"/>
        <v>9</v>
      </c>
      <c r="DR7" s="55">
        <f t="shared" si="1"/>
        <v>15</v>
      </c>
      <c r="DS7" s="55">
        <f t="shared" si="1"/>
        <v>0.20000000000000284</v>
      </c>
      <c r="DT7" s="55">
        <f t="shared" si="1"/>
        <v>4.5</v>
      </c>
      <c r="DU7" s="55">
        <f t="shared" si="1"/>
        <v>0</v>
      </c>
      <c r="DV7" s="55">
        <f t="shared" si="1"/>
        <v>-14.599999999999994</v>
      </c>
      <c r="DW7" s="55">
        <f t="shared" si="1"/>
        <v>-1.4000000000000057</v>
      </c>
      <c r="DX7" s="55">
        <f t="shared" si="1"/>
        <v>-8.7999999999999972</v>
      </c>
      <c r="DY7" s="55">
        <f t="shared" si="1"/>
        <v>-7.4000000000000057</v>
      </c>
      <c r="DZ7" s="55">
        <f t="shared" si="1"/>
        <v>7.7000000000000028</v>
      </c>
      <c r="EA7" s="55">
        <f t="shared" si="1"/>
        <v>-5.7000000000000028</v>
      </c>
      <c r="EB7" s="55">
        <f t="shared" si="1"/>
        <v>0.40000000000000568</v>
      </c>
      <c r="EC7" s="55">
        <f t="shared" ref="EC7:EE7" si="2">EC6-100</f>
        <v>-9.9999999999994316E-2</v>
      </c>
      <c r="ED7" s="55">
        <f t="shared" si="2"/>
        <v>-14.400000000000006</v>
      </c>
      <c r="EE7" s="55">
        <f t="shared" si="2"/>
        <v>10.799999999999997</v>
      </c>
    </row>
    <row r="8" spans="1:135">
      <c r="D8">
        <v>-29.400000000000006</v>
      </c>
      <c r="E8">
        <v>-19.099999999999994</v>
      </c>
      <c r="F8">
        <v>-29.900000000000006</v>
      </c>
      <c r="G8">
        <v>-35.400000000000006</v>
      </c>
      <c r="H8">
        <v>-30.200000000000003</v>
      </c>
      <c r="I8">
        <v>-25.900000000000006</v>
      </c>
      <c r="J8">
        <v>-40.799999999999997</v>
      </c>
      <c r="K8">
        <v>-39.6</v>
      </c>
      <c r="L8">
        <v>-30.799999999999997</v>
      </c>
      <c r="M8">
        <v>-35</v>
      </c>
      <c r="N8">
        <v>-30.799999999999997</v>
      </c>
      <c r="O8">
        <v>-24.599999999999994</v>
      </c>
      <c r="P8">
        <v>-38.5</v>
      </c>
      <c r="Q8">
        <v>-31.5</v>
      </c>
      <c r="R8">
        <v>-29.5</v>
      </c>
      <c r="S8">
        <v>-29.200000000000003</v>
      </c>
      <c r="T8">
        <v>-28.099999999999994</v>
      </c>
      <c r="U8">
        <v>-20.099999999999994</v>
      </c>
      <c r="V8">
        <v>-17.900000000000006</v>
      </c>
      <c r="W8">
        <v>-7.7000000000000028</v>
      </c>
      <c r="X8">
        <v>-3.7000000000000028</v>
      </c>
      <c r="Y8">
        <v>-8.2000000000000028</v>
      </c>
      <c r="Z8">
        <v>4.5</v>
      </c>
      <c r="AA8">
        <v>8.7000000000000028</v>
      </c>
      <c r="AB8">
        <v>48.300000000000011</v>
      </c>
      <c r="AC8">
        <v>28.199999999999989</v>
      </c>
      <c r="AD8">
        <v>35.099999999999994</v>
      </c>
      <c r="AE8">
        <v>19.799999999999997</v>
      </c>
      <c r="AF8">
        <v>28.099999999999994</v>
      </c>
      <c r="AG8">
        <v>22.799999999999997</v>
      </c>
      <c r="AH8">
        <v>9.7999999999999972</v>
      </c>
      <c r="AI8">
        <v>25.799999999999997</v>
      </c>
      <c r="AJ8">
        <v>21.200000000000003</v>
      </c>
      <c r="AK8">
        <v>27.400000000000006</v>
      </c>
      <c r="AL8">
        <v>26</v>
      </c>
      <c r="AM8">
        <v>19.200000000000003</v>
      </c>
      <c r="AN8">
        <v>32.199999999999989</v>
      </c>
      <c r="AO8">
        <v>21.200000000000003</v>
      </c>
      <c r="AP8">
        <v>16.900000000000006</v>
      </c>
      <c r="AQ8">
        <v>38.300000000000011</v>
      </c>
      <c r="AR8">
        <v>29.400000000000006</v>
      </c>
      <c r="AS8">
        <v>23.099999999999994</v>
      </c>
      <c r="AT8">
        <v>39.5</v>
      </c>
      <c r="AU8">
        <v>29.099999999999994</v>
      </c>
      <c r="AV8">
        <v>25.799999999999997</v>
      </c>
      <c r="AW8">
        <v>31.199999999999989</v>
      </c>
      <c r="AX8">
        <v>20.5</v>
      </c>
      <c r="AY8">
        <v>11</v>
      </c>
      <c r="AZ8">
        <v>-8.2999999999999972</v>
      </c>
      <c r="BA8">
        <v>11</v>
      </c>
      <c r="BB8">
        <v>1.0999999999999943</v>
      </c>
      <c r="BC8">
        <v>1.9000000000000057</v>
      </c>
      <c r="BD8">
        <v>-11.099999999999994</v>
      </c>
      <c r="BE8">
        <v>-10.900000000000006</v>
      </c>
      <c r="BF8">
        <v>-2.9000000000000057</v>
      </c>
      <c r="BG8">
        <v>-8.5999999999999943</v>
      </c>
      <c r="BH8">
        <v>-8.2999999999999972</v>
      </c>
      <c r="BI8">
        <v>-10.5</v>
      </c>
      <c r="BJ8">
        <v>-11.200000000000003</v>
      </c>
      <c r="BK8">
        <v>-4</v>
      </c>
      <c r="BL8">
        <v>-0.79999999999999716</v>
      </c>
      <c r="BM8">
        <v>-17.400000000000006</v>
      </c>
      <c r="BN8">
        <v>-19.099999999999994</v>
      </c>
      <c r="BO8">
        <v>-31.900000000000006</v>
      </c>
      <c r="BP8">
        <v>-35.400000000000006</v>
      </c>
      <c r="BQ8">
        <v>-24.400000000000006</v>
      </c>
      <c r="BR8">
        <v>-26.200000000000003</v>
      </c>
      <c r="BS8">
        <v>-32.099999999999994</v>
      </c>
      <c r="BT8">
        <v>-12.599999999999994</v>
      </c>
      <c r="BU8">
        <v>-22.700000000000003</v>
      </c>
      <c r="BV8">
        <v>-15.700000000000003</v>
      </c>
      <c r="BW8">
        <v>-8.7000000000000028</v>
      </c>
      <c r="BX8">
        <v>-12.799999999999997</v>
      </c>
      <c r="BY8">
        <v>5.7000000000000028</v>
      </c>
      <c r="BZ8">
        <v>21.200000000000003</v>
      </c>
      <c r="CA8">
        <v>46.199999999999989</v>
      </c>
      <c r="CB8">
        <v>66.099999999999994</v>
      </c>
      <c r="CC8">
        <v>76.699999999999989</v>
      </c>
      <c r="CD8">
        <v>76.099999999999994</v>
      </c>
      <c r="CE8">
        <v>85.9</v>
      </c>
      <c r="CF8">
        <v>46.5</v>
      </c>
      <c r="CG8">
        <v>64.099999999999994</v>
      </c>
      <c r="CH8">
        <v>62.599999999999994</v>
      </c>
      <c r="CI8">
        <v>60.800000000000011</v>
      </c>
      <c r="CJ8">
        <v>76.300000000000011</v>
      </c>
      <c r="CK8">
        <v>69.800000000000011</v>
      </c>
      <c r="CL8">
        <v>54.400000000000006</v>
      </c>
      <c r="CM8">
        <v>32.300000000000011</v>
      </c>
      <c r="CN8">
        <v>42.300000000000011</v>
      </c>
      <c r="CO8">
        <v>24.599999999999994</v>
      </c>
      <c r="CP8">
        <v>5.9000000000000057</v>
      </c>
      <c r="CQ8">
        <v>13.099999999999994</v>
      </c>
      <c r="CR8">
        <v>3</v>
      </c>
      <c r="CS8">
        <v>-6.0999999999999943</v>
      </c>
      <c r="CT8">
        <v>-8.0999999999999943</v>
      </c>
      <c r="CU8">
        <v>-5.7000000000000028</v>
      </c>
      <c r="CV8">
        <v>-30.099999999999994</v>
      </c>
      <c r="CW8">
        <v>-40.6</v>
      </c>
      <c r="CX8">
        <v>-27.200000000000003</v>
      </c>
      <c r="CY8">
        <v>-34.599999999999994</v>
      </c>
      <c r="CZ8">
        <v>-24.700000000000003</v>
      </c>
      <c r="DA8">
        <v>-36</v>
      </c>
      <c r="DB8">
        <v>-31.099999999999994</v>
      </c>
      <c r="DC8">
        <v>-24.099999999999994</v>
      </c>
      <c r="DD8">
        <v>-13.900000000000006</v>
      </c>
      <c r="DE8">
        <v>-22.099999999999994</v>
      </c>
      <c r="DF8">
        <v>-24.299999999999997</v>
      </c>
      <c r="DG8">
        <v>-28</v>
      </c>
      <c r="DH8">
        <v>-13</v>
      </c>
      <c r="DI8">
        <v>3.7999999999999972</v>
      </c>
      <c r="DJ8">
        <v>1.7999999999999972</v>
      </c>
      <c r="DK8">
        <v>7.9000000000000057</v>
      </c>
      <c r="DL8">
        <v>-1.9000000000000057</v>
      </c>
      <c r="DM8">
        <v>3.5</v>
      </c>
      <c r="DN8">
        <v>12.700000000000003</v>
      </c>
      <c r="DO8">
        <v>-6.7999999999999972</v>
      </c>
      <c r="DP8">
        <v>-3.5999999999999943</v>
      </c>
      <c r="DQ8">
        <v>9</v>
      </c>
      <c r="DR8">
        <v>15</v>
      </c>
      <c r="DS8">
        <v>0.20000000000000284</v>
      </c>
      <c r="DT8">
        <v>4.5</v>
      </c>
      <c r="DU8">
        <v>0</v>
      </c>
      <c r="DV8">
        <v>-14.599999999999994</v>
      </c>
      <c r="DW8">
        <v>-1.4000000000000057</v>
      </c>
      <c r="DX8">
        <v>-8.7999999999999972</v>
      </c>
      <c r="DY8">
        <v>-7.4000000000000057</v>
      </c>
      <c r="DZ8">
        <v>7.7000000000000028</v>
      </c>
      <c r="EA8">
        <v>-5.7000000000000028</v>
      </c>
      <c r="EB8">
        <v>0.40000000000000568</v>
      </c>
      <c r="EC8">
        <v>-9.9999999999994316E-2</v>
      </c>
      <c r="ED8">
        <v>-14.400000000000006</v>
      </c>
      <c r="EE8">
        <v>10.799999999999997</v>
      </c>
    </row>
  </sheetData>
  <mergeCells count="15">
    <mergeCell ref="A4:A5"/>
    <mergeCell ref="B4:C4"/>
    <mergeCell ref="B5:C5"/>
    <mergeCell ref="B6:C6"/>
    <mergeCell ref="D4:O4"/>
    <mergeCell ref="CJ4:CU4"/>
    <mergeCell ref="CV4:DG4"/>
    <mergeCell ref="DH4:DS4"/>
    <mergeCell ref="DT4:EE4"/>
    <mergeCell ref="P4:AA4"/>
    <mergeCell ref="AB4:AM4"/>
    <mergeCell ref="AN4:AY4"/>
    <mergeCell ref="AZ4:BK4"/>
    <mergeCell ref="BL4:BW4"/>
    <mergeCell ref="BX4:CI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76BF-4892-3146-890C-3C23FB85BC3F}">
  <dimension ref="A3:EE8"/>
  <sheetViews>
    <sheetView zoomScale="158" workbookViewId="0">
      <selection activeCell="D8" sqref="D8:EE8"/>
    </sheetView>
  </sheetViews>
  <sheetFormatPr baseColWidth="10" defaultRowHeight="16"/>
  <cols>
    <col min="1" max="1" width="17.83203125" bestFit="1" customWidth="1"/>
    <col min="4" max="4" width="5.83203125" bestFit="1" customWidth="1"/>
    <col min="5" max="5" width="5.33203125" bestFit="1" customWidth="1"/>
    <col min="6" max="6" width="4.1640625" bestFit="1" customWidth="1"/>
    <col min="7" max="7" width="5.83203125" bestFit="1" customWidth="1"/>
    <col min="8" max="8" width="4.33203125" bestFit="1" customWidth="1"/>
    <col min="9" max="10" width="4.5" bestFit="1" customWidth="1"/>
    <col min="11" max="19" width="4.1640625" bestFit="1" customWidth="1"/>
    <col min="20" max="20" width="4.33203125" bestFit="1" customWidth="1"/>
    <col min="21" max="135" width="5.83203125" bestFit="1" customWidth="1"/>
  </cols>
  <sheetData>
    <row r="3" spans="1:135" ht="17" thickBot="1"/>
    <row r="4" spans="1:135" ht="17" thickBot="1">
      <c r="A4" s="123" t="s">
        <v>125</v>
      </c>
      <c r="B4" s="125" t="s">
        <v>75</v>
      </c>
      <c r="C4" s="126"/>
      <c r="D4" s="119">
        <v>2015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1"/>
      <c r="P4" s="119">
        <v>2016</v>
      </c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1"/>
      <c r="AB4" s="119">
        <v>2017</v>
      </c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1"/>
      <c r="AN4" s="119">
        <v>2018</v>
      </c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1"/>
      <c r="AZ4" s="119">
        <v>2019</v>
      </c>
      <c r="BA4" s="120"/>
      <c r="BB4" s="120"/>
      <c r="BC4" s="120"/>
      <c r="BD4" s="120"/>
      <c r="BE4" s="120"/>
      <c r="BF4" s="120"/>
      <c r="BG4" s="120"/>
      <c r="BH4" s="120"/>
      <c r="BI4" s="120"/>
      <c r="BJ4" s="120"/>
      <c r="BK4" s="121"/>
      <c r="BL4" s="119">
        <v>2020</v>
      </c>
      <c r="BM4" s="120"/>
      <c r="BN4" s="120"/>
      <c r="BO4" s="120"/>
      <c r="BP4" s="120"/>
      <c r="BQ4" s="120"/>
      <c r="BR4" s="120"/>
      <c r="BS4" s="120"/>
      <c r="BT4" s="120"/>
      <c r="BU4" s="120"/>
      <c r="BV4" s="120"/>
      <c r="BW4" s="121"/>
      <c r="BX4" s="119">
        <v>2021</v>
      </c>
      <c r="BY4" s="120"/>
      <c r="BZ4" s="120"/>
      <c r="CA4" s="120"/>
      <c r="CB4" s="120"/>
      <c r="CC4" s="120"/>
      <c r="CD4" s="120"/>
      <c r="CE4" s="120"/>
      <c r="CF4" s="120"/>
      <c r="CG4" s="120"/>
      <c r="CH4" s="120"/>
      <c r="CI4" s="121"/>
      <c r="CJ4" s="119">
        <v>2022</v>
      </c>
      <c r="CK4" s="120"/>
      <c r="CL4" s="120"/>
      <c r="CM4" s="120"/>
      <c r="CN4" s="120"/>
      <c r="CO4" s="120"/>
      <c r="CP4" s="120"/>
      <c r="CQ4" s="120"/>
      <c r="CR4" s="120"/>
      <c r="CS4" s="120"/>
      <c r="CT4" s="120"/>
      <c r="CU4" s="121"/>
      <c r="CV4" s="119">
        <v>2023</v>
      </c>
      <c r="CW4" s="120"/>
      <c r="CX4" s="120"/>
      <c r="CY4" s="120"/>
      <c r="CZ4" s="120"/>
      <c r="DA4" s="120"/>
      <c r="DB4" s="120"/>
      <c r="DC4" s="120"/>
      <c r="DD4" s="120"/>
      <c r="DE4" s="120"/>
      <c r="DF4" s="120"/>
      <c r="DG4" s="121"/>
      <c r="DH4" s="119">
        <v>2024</v>
      </c>
      <c r="DI4" s="120"/>
      <c r="DJ4" s="120"/>
      <c r="DK4" s="120"/>
      <c r="DL4" s="120"/>
      <c r="DM4" s="120"/>
      <c r="DN4" s="120"/>
      <c r="DO4" s="120"/>
      <c r="DP4" s="120"/>
      <c r="DQ4" s="120"/>
      <c r="DR4" s="120"/>
      <c r="DS4" s="121"/>
      <c r="DT4" s="119">
        <v>2025</v>
      </c>
      <c r="DU4" s="120"/>
      <c r="DV4" s="120"/>
      <c r="DW4" s="120"/>
      <c r="DX4" s="120"/>
      <c r="DY4" s="120"/>
      <c r="DZ4" s="120"/>
      <c r="EA4" s="120"/>
      <c r="EB4" s="120"/>
      <c r="EC4" s="120"/>
      <c r="ED4" s="120"/>
      <c r="EE4" s="122"/>
    </row>
    <row r="5" spans="1:135" ht="22" customHeight="1" thickBot="1">
      <c r="A5" s="124"/>
      <c r="B5" s="127" t="s">
        <v>76</v>
      </c>
      <c r="C5" s="128" t="s">
        <v>92</v>
      </c>
      <c r="D5" s="34" t="s">
        <v>126</v>
      </c>
      <c r="E5" s="35" t="s">
        <v>127</v>
      </c>
      <c r="F5" s="35" t="s">
        <v>128</v>
      </c>
      <c r="G5" s="35" t="s">
        <v>129</v>
      </c>
      <c r="H5" s="35" t="s">
        <v>87</v>
      </c>
      <c r="I5" s="35" t="s">
        <v>130</v>
      </c>
      <c r="J5" s="35" t="s">
        <v>131</v>
      </c>
      <c r="K5" s="35" t="s">
        <v>132</v>
      </c>
      <c r="L5" s="35" t="s">
        <v>133</v>
      </c>
      <c r="M5" s="35" t="s">
        <v>134</v>
      </c>
      <c r="N5" s="35" t="s">
        <v>135</v>
      </c>
      <c r="O5" s="36" t="s">
        <v>136</v>
      </c>
      <c r="P5" s="34" t="s">
        <v>126</v>
      </c>
      <c r="Q5" s="35" t="s">
        <v>127</v>
      </c>
      <c r="R5" s="35" t="s">
        <v>128</v>
      </c>
      <c r="S5" s="35" t="s">
        <v>129</v>
      </c>
      <c r="T5" s="35" t="s">
        <v>87</v>
      </c>
      <c r="U5" s="35" t="s">
        <v>130</v>
      </c>
      <c r="V5" s="35" t="s">
        <v>131</v>
      </c>
      <c r="W5" s="35" t="s">
        <v>132</v>
      </c>
      <c r="X5" s="35" t="s">
        <v>133</v>
      </c>
      <c r="Y5" s="35" t="s">
        <v>134</v>
      </c>
      <c r="Z5" s="35" t="s">
        <v>135</v>
      </c>
      <c r="AA5" s="36" t="s">
        <v>136</v>
      </c>
      <c r="AB5" s="34" t="s">
        <v>126</v>
      </c>
      <c r="AC5" s="35" t="s">
        <v>127</v>
      </c>
      <c r="AD5" s="35" t="s">
        <v>128</v>
      </c>
      <c r="AE5" s="35" t="s">
        <v>129</v>
      </c>
      <c r="AF5" s="35" t="s">
        <v>87</v>
      </c>
      <c r="AG5" s="35" t="s">
        <v>130</v>
      </c>
      <c r="AH5" s="35" t="s">
        <v>131</v>
      </c>
      <c r="AI5" s="35" t="s">
        <v>132</v>
      </c>
      <c r="AJ5" s="35" t="s">
        <v>133</v>
      </c>
      <c r="AK5" s="35" t="s">
        <v>134</v>
      </c>
      <c r="AL5" s="35" t="s">
        <v>135</v>
      </c>
      <c r="AM5" s="36" t="s">
        <v>136</v>
      </c>
      <c r="AN5" s="34" t="s">
        <v>126</v>
      </c>
      <c r="AO5" s="35" t="s">
        <v>127</v>
      </c>
      <c r="AP5" s="35" t="s">
        <v>128</v>
      </c>
      <c r="AQ5" s="35" t="s">
        <v>129</v>
      </c>
      <c r="AR5" s="35" t="s">
        <v>87</v>
      </c>
      <c r="AS5" s="35" t="s">
        <v>130</v>
      </c>
      <c r="AT5" s="35" t="s">
        <v>131</v>
      </c>
      <c r="AU5" s="35" t="s">
        <v>132</v>
      </c>
      <c r="AV5" s="35" t="s">
        <v>133</v>
      </c>
      <c r="AW5" s="35" t="s">
        <v>134</v>
      </c>
      <c r="AX5" s="35" t="s">
        <v>135</v>
      </c>
      <c r="AY5" s="36" t="s">
        <v>136</v>
      </c>
      <c r="AZ5" s="34" t="s">
        <v>126</v>
      </c>
      <c r="BA5" s="35" t="s">
        <v>127</v>
      </c>
      <c r="BB5" s="35" t="s">
        <v>128</v>
      </c>
      <c r="BC5" s="35" t="s">
        <v>129</v>
      </c>
      <c r="BD5" s="35" t="s">
        <v>87</v>
      </c>
      <c r="BE5" s="35" t="s">
        <v>130</v>
      </c>
      <c r="BF5" s="35" t="s">
        <v>131</v>
      </c>
      <c r="BG5" s="35" t="s">
        <v>132</v>
      </c>
      <c r="BH5" s="35" t="s">
        <v>133</v>
      </c>
      <c r="BI5" s="35" t="s">
        <v>134</v>
      </c>
      <c r="BJ5" s="35" t="s">
        <v>135</v>
      </c>
      <c r="BK5" s="36" t="s">
        <v>136</v>
      </c>
      <c r="BL5" s="34" t="s">
        <v>126</v>
      </c>
      <c r="BM5" s="35" t="s">
        <v>127</v>
      </c>
      <c r="BN5" s="35" t="s">
        <v>128</v>
      </c>
      <c r="BO5" s="35" t="s">
        <v>129</v>
      </c>
      <c r="BP5" s="35" t="s">
        <v>87</v>
      </c>
      <c r="BQ5" s="35" t="s">
        <v>130</v>
      </c>
      <c r="BR5" s="35" t="s">
        <v>131</v>
      </c>
      <c r="BS5" s="35" t="s">
        <v>132</v>
      </c>
      <c r="BT5" s="35" t="s">
        <v>133</v>
      </c>
      <c r="BU5" s="35" t="s">
        <v>134</v>
      </c>
      <c r="BV5" s="35" t="s">
        <v>135</v>
      </c>
      <c r="BW5" s="36" t="s">
        <v>136</v>
      </c>
      <c r="BX5" s="34" t="s">
        <v>126</v>
      </c>
      <c r="BY5" s="35" t="s">
        <v>127</v>
      </c>
      <c r="BZ5" s="35" t="s">
        <v>128</v>
      </c>
      <c r="CA5" s="35" t="s">
        <v>129</v>
      </c>
      <c r="CB5" s="35" t="s">
        <v>87</v>
      </c>
      <c r="CC5" s="35" t="s">
        <v>130</v>
      </c>
      <c r="CD5" s="35" t="s">
        <v>131</v>
      </c>
      <c r="CE5" s="35" t="s">
        <v>132</v>
      </c>
      <c r="CF5" s="35" t="s">
        <v>133</v>
      </c>
      <c r="CG5" s="35" t="s">
        <v>134</v>
      </c>
      <c r="CH5" s="35" t="s">
        <v>135</v>
      </c>
      <c r="CI5" s="36" t="s">
        <v>136</v>
      </c>
      <c r="CJ5" s="34" t="s">
        <v>126</v>
      </c>
      <c r="CK5" s="35" t="s">
        <v>127</v>
      </c>
      <c r="CL5" s="35" t="s">
        <v>128</v>
      </c>
      <c r="CM5" s="35" t="s">
        <v>129</v>
      </c>
      <c r="CN5" s="35" t="s">
        <v>87</v>
      </c>
      <c r="CO5" s="35" t="s">
        <v>130</v>
      </c>
      <c r="CP5" s="35" t="s">
        <v>131</v>
      </c>
      <c r="CQ5" s="35" t="s">
        <v>132</v>
      </c>
      <c r="CR5" s="35" t="s">
        <v>133</v>
      </c>
      <c r="CS5" s="35" t="s">
        <v>134</v>
      </c>
      <c r="CT5" s="35" t="s">
        <v>135</v>
      </c>
      <c r="CU5" s="36" t="s">
        <v>136</v>
      </c>
      <c r="CV5" s="34" t="s">
        <v>126</v>
      </c>
      <c r="CW5" s="35" t="s">
        <v>127</v>
      </c>
      <c r="CX5" s="35" t="s">
        <v>128</v>
      </c>
      <c r="CY5" s="35" t="s">
        <v>129</v>
      </c>
      <c r="CZ5" s="35" t="s">
        <v>87</v>
      </c>
      <c r="DA5" s="35" t="s">
        <v>130</v>
      </c>
      <c r="DB5" s="35" t="s">
        <v>131</v>
      </c>
      <c r="DC5" s="35" t="s">
        <v>132</v>
      </c>
      <c r="DD5" s="35" t="s">
        <v>133</v>
      </c>
      <c r="DE5" s="35" t="s">
        <v>134</v>
      </c>
      <c r="DF5" s="35" t="s">
        <v>135</v>
      </c>
      <c r="DG5" s="36" t="s">
        <v>136</v>
      </c>
      <c r="DH5" s="34" t="s">
        <v>126</v>
      </c>
      <c r="DI5" s="35" t="s">
        <v>127</v>
      </c>
      <c r="DJ5" s="35" t="s">
        <v>128</v>
      </c>
      <c r="DK5" s="35" t="s">
        <v>129</v>
      </c>
      <c r="DL5" s="35" t="s">
        <v>87</v>
      </c>
      <c r="DM5" s="35" t="s">
        <v>130</v>
      </c>
      <c r="DN5" s="35" t="s">
        <v>131</v>
      </c>
      <c r="DO5" s="35" t="s">
        <v>132</v>
      </c>
      <c r="DP5" s="35" t="s">
        <v>133</v>
      </c>
      <c r="DQ5" s="35" t="s">
        <v>134</v>
      </c>
      <c r="DR5" s="35" t="s">
        <v>135</v>
      </c>
      <c r="DS5" s="36" t="s">
        <v>136</v>
      </c>
      <c r="DT5" s="34" t="s">
        <v>126</v>
      </c>
      <c r="DU5" s="35" t="s">
        <v>127</v>
      </c>
      <c r="DV5" s="35" t="s">
        <v>128</v>
      </c>
      <c r="DW5" s="35" t="s">
        <v>129</v>
      </c>
      <c r="DX5" s="35" t="s">
        <v>87</v>
      </c>
      <c r="DY5" s="35" t="s">
        <v>130</v>
      </c>
      <c r="DZ5" s="35" t="s">
        <v>131</v>
      </c>
      <c r="EA5" s="35" t="s">
        <v>132</v>
      </c>
      <c r="EB5" s="35" t="s">
        <v>133</v>
      </c>
      <c r="EC5" s="35" t="s">
        <v>134</v>
      </c>
      <c r="ED5" s="35" t="s">
        <v>135</v>
      </c>
      <c r="EE5" s="36" t="s">
        <v>136</v>
      </c>
    </row>
    <row r="6" spans="1:135" ht="36" customHeight="1" thickBot="1">
      <c r="A6" s="41" t="s">
        <v>139</v>
      </c>
      <c r="B6" s="129" t="s">
        <v>138</v>
      </c>
      <c r="C6" s="130"/>
      <c r="D6" s="38">
        <v>57.9</v>
      </c>
      <c r="E6" s="39">
        <v>64</v>
      </c>
      <c r="F6" s="39">
        <v>62.4</v>
      </c>
      <c r="G6" s="39">
        <v>58.3</v>
      </c>
      <c r="H6" s="39">
        <v>58.5</v>
      </c>
      <c r="I6" s="39">
        <v>60.7</v>
      </c>
      <c r="J6" s="39">
        <v>57.5</v>
      </c>
      <c r="K6" s="39">
        <v>64.2</v>
      </c>
      <c r="L6" s="39">
        <v>64.599999999999994</v>
      </c>
      <c r="M6" s="39">
        <v>63.2</v>
      </c>
      <c r="N6" s="39">
        <v>71.2</v>
      </c>
      <c r="O6" s="40">
        <v>71.599999999999994</v>
      </c>
      <c r="P6" s="38">
        <v>81</v>
      </c>
      <c r="Q6" s="39">
        <v>83.4</v>
      </c>
      <c r="R6" s="39">
        <v>89.9</v>
      </c>
      <c r="S6" s="39">
        <v>93.5</v>
      </c>
      <c r="T6" s="39">
        <v>94.4</v>
      </c>
      <c r="U6" s="39">
        <v>98.5</v>
      </c>
      <c r="V6" s="39">
        <v>96.3</v>
      </c>
      <c r="W6" s="39">
        <v>113.7</v>
      </c>
      <c r="X6" s="39">
        <v>106.7</v>
      </c>
      <c r="Y6" s="39">
        <v>107.5</v>
      </c>
      <c r="Z6" s="39">
        <v>107.2</v>
      </c>
      <c r="AA6" s="40">
        <v>111.7</v>
      </c>
      <c r="AB6" s="38">
        <v>138.30000000000001</v>
      </c>
      <c r="AC6" s="39">
        <v>120.3</v>
      </c>
      <c r="AD6" s="39">
        <v>123.8</v>
      </c>
      <c r="AE6" s="39">
        <v>120.8</v>
      </c>
      <c r="AF6" s="39">
        <v>136</v>
      </c>
      <c r="AG6" s="39">
        <v>130.30000000000001</v>
      </c>
      <c r="AH6" s="39">
        <v>129.1</v>
      </c>
      <c r="AI6" s="39">
        <v>121.7</v>
      </c>
      <c r="AJ6" s="39">
        <v>114.5</v>
      </c>
      <c r="AK6" s="39">
        <v>118.4</v>
      </c>
      <c r="AL6" s="39">
        <v>125</v>
      </c>
      <c r="AM6" s="40">
        <v>123.6</v>
      </c>
      <c r="AN6" s="38">
        <v>122.8</v>
      </c>
      <c r="AO6" s="39">
        <v>123.6</v>
      </c>
      <c r="AP6" s="39">
        <v>114</v>
      </c>
      <c r="AQ6" s="39">
        <v>114.9</v>
      </c>
      <c r="AR6" s="39">
        <v>108.7</v>
      </c>
      <c r="AS6" s="39">
        <v>101.2</v>
      </c>
      <c r="AT6" s="39">
        <v>101.9</v>
      </c>
      <c r="AU6" s="39">
        <v>96.5</v>
      </c>
      <c r="AV6" s="39">
        <v>96.4</v>
      </c>
      <c r="AW6" s="39">
        <v>99.9</v>
      </c>
      <c r="AX6" s="39">
        <v>96.7</v>
      </c>
      <c r="AY6" s="40">
        <v>92.8</v>
      </c>
      <c r="AZ6" s="38">
        <v>97.9</v>
      </c>
      <c r="BA6" s="39">
        <v>95</v>
      </c>
      <c r="BB6" s="39">
        <v>96.5</v>
      </c>
      <c r="BC6" s="39">
        <v>104.9</v>
      </c>
      <c r="BD6" s="39">
        <v>93</v>
      </c>
      <c r="BE6" s="39">
        <v>94.8</v>
      </c>
      <c r="BF6" s="39">
        <v>105</v>
      </c>
      <c r="BG6" s="39">
        <v>101.2</v>
      </c>
      <c r="BH6" s="39">
        <v>105.7</v>
      </c>
      <c r="BI6" s="39">
        <v>110.9</v>
      </c>
      <c r="BJ6" s="39">
        <v>109.1</v>
      </c>
      <c r="BK6" s="40">
        <v>108.5</v>
      </c>
      <c r="BL6" s="38">
        <v>104.4</v>
      </c>
      <c r="BM6" s="39">
        <v>101.5</v>
      </c>
      <c r="BN6" s="39">
        <v>98</v>
      </c>
      <c r="BO6" s="39">
        <v>79.7</v>
      </c>
      <c r="BP6" s="39">
        <v>86.7</v>
      </c>
      <c r="BQ6" s="39">
        <v>95.8</v>
      </c>
      <c r="BR6" s="39">
        <v>88.5</v>
      </c>
      <c r="BS6" s="39">
        <v>91</v>
      </c>
      <c r="BT6" s="39">
        <v>98.1</v>
      </c>
      <c r="BU6" s="39">
        <v>91.9</v>
      </c>
      <c r="BV6" s="39">
        <v>98.1</v>
      </c>
      <c r="BW6" s="40">
        <v>103.7</v>
      </c>
      <c r="BX6" s="38">
        <v>101.4</v>
      </c>
      <c r="BY6" s="39">
        <v>111.9</v>
      </c>
      <c r="BZ6" s="39">
        <v>121.6</v>
      </c>
      <c r="CA6" s="39">
        <v>146</v>
      </c>
      <c r="CB6" s="39">
        <v>142.4</v>
      </c>
      <c r="CC6" s="39">
        <v>132.30000000000001</v>
      </c>
      <c r="CD6" s="39">
        <v>132.1</v>
      </c>
      <c r="CE6" s="39">
        <v>130.4</v>
      </c>
      <c r="CF6" s="39">
        <v>124.3</v>
      </c>
      <c r="CG6" s="39">
        <v>121.8</v>
      </c>
      <c r="CH6" s="39">
        <v>121</v>
      </c>
      <c r="CI6" s="40">
        <v>122.1</v>
      </c>
      <c r="CJ6" s="38">
        <v>139</v>
      </c>
      <c r="CK6" s="39">
        <v>131.19999999999999</v>
      </c>
      <c r="CL6" s="39">
        <v>74.599999999999994</v>
      </c>
      <c r="CM6" s="39">
        <v>65.2</v>
      </c>
      <c r="CN6" s="39">
        <v>76.900000000000006</v>
      </c>
      <c r="CO6" s="39">
        <v>83.6</v>
      </c>
      <c r="CP6" s="39">
        <v>83.1</v>
      </c>
      <c r="CQ6" s="39">
        <v>90.3</v>
      </c>
      <c r="CR6" s="39">
        <v>92.7</v>
      </c>
      <c r="CS6" s="39">
        <v>94.3</v>
      </c>
      <c r="CT6" s="39">
        <v>95.4</v>
      </c>
      <c r="CU6" s="40">
        <v>96.5</v>
      </c>
      <c r="CV6" s="38">
        <v>100.1</v>
      </c>
      <c r="CW6" s="39">
        <v>83.2</v>
      </c>
      <c r="CX6" s="39">
        <v>150.5</v>
      </c>
      <c r="CY6" s="39">
        <v>148.4</v>
      </c>
      <c r="CZ6" s="39">
        <v>142.80000000000001</v>
      </c>
      <c r="DA6" s="39">
        <v>120.1</v>
      </c>
      <c r="DB6" s="39">
        <v>117.6</v>
      </c>
      <c r="DC6" s="39">
        <v>108.2</v>
      </c>
      <c r="DD6" s="39">
        <v>104.8</v>
      </c>
      <c r="DE6" s="39">
        <v>92.9</v>
      </c>
      <c r="DF6" s="39">
        <v>92.6</v>
      </c>
      <c r="DG6" s="40">
        <v>93.8</v>
      </c>
      <c r="DH6" s="38">
        <v>89</v>
      </c>
      <c r="DI6" s="39">
        <v>101.3</v>
      </c>
      <c r="DJ6" s="39">
        <v>81.3</v>
      </c>
      <c r="DK6" s="39">
        <v>90.7</v>
      </c>
      <c r="DL6" s="39">
        <v>91.6</v>
      </c>
      <c r="DM6" s="39">
        <v>94.6</v>
      </c>
      <c r="DN6" s="39">
        <v>100.9</v>
      </c>
      <c r="DO6" s="39">
        <v>102.1</v>
      </c>
      <c r="DP6" s="39">
        <v>108.7</v>
      </c>
      <c r="DQ6" s="39">
        <v>121.2</v>
      </c>
      <c r="DR6" s="39">
        <v>110.7</v>
      </c>
      <c r="DS6" s="40">
        <v>105.4</v>
      </c>
      <c r="DT6" s="38">
        <v>105.2</v>
      </c>
      <c r="DU6" s="39">
        <v>90.5</v>
      </c>
      <c r="DV6" s="39">
        <v>101.9</v>
      </c>
      <c r="DW6" s="39">
        <v>113.4</v>
      </c>
      <c r="DX6" s="39">
        <v>101</v>
      </c>
      <c r="DY6" s="39">
        <v>100.9</v>
      </c>
      <c r="DZ6" s="39">
        <v>100.2</v>
      </c>
      <c r="EA6" s="39">
        <v>94.9</v>
      </c>
      <c r="EB6" s="39">
        <v>95.3</v>
      </c>
      <c r="EC6" s="39">
        <v>93.3</v>
      </c>
      <c r="ED6" s="39">
        <v>101.5</v>
      </c>
      <c r="EE6" s="40">
        <v>115.7</v>
      </c>
    </row>
    <row r="7" spans="1:135">
      <c r="D7" s="55">
        <f>D6-100</f>
        <v>-42.1</v>
      </c>
      <c r="E7" s="55">
        <f t="shared" ref="E7:BP7" si="0">E6-100</f>
        <v>-36</v>
      </c>
      <c r="F7" s="55">
        <f t="shared" si="0"/>
        <v>-37.6</v>
      </c>
      <c r="G7" s="55">
        <f t="shared" si="0"/>
        <v>-41.7</v>
      </c>
      <c r="H7" s="55">
        <f t="shared" si="0"/>
        <v>-41.5</v>
      </c>
      <c r="I7" s="55">
        <f t="shared" si="0"/>
        <v>-39.299999999999997</v>
      </c>
      <c r="J7" s="55">
        <f t="shared" si="0"/>
        <v>-42.5</v>
      </c>
      <c r="K7" s="55">
        <f t="shared" si="0"/>
        <v>-35.799999999999997</v>
      </c>
      <c r="L7" s="55">
        <f t="shared" si="0"/>
        <v>-35.400000000000006</v>
      </c>
      <c r="M7" s="55">
        <f t="shared" si="0"/>
        <v>-36.799999999999997</v>
      </c>
      <c r="N7" s="55">
        <f t="shared" si="0"/>
        <v>-28.799999999999997</v>
      </c>
      <c r="O7" s="55">
        <f t="shared" si="0"/>
        <v>-28.400000000000006</v>
      </c>
      <c r="P7" s="55">
        <f t="shared" si="0"/>
        <v>-19</v>
      </c>
      <c r="Q7" s="55">
        <f t="shared" si="0"/>
        <v>-16.599999999999994</v>
      </c>
      <c r="R7" s="55">
        <f t="shared" si="0"/>
        <v>-10.099999999999994</v>
      </c>
      <c r="S7" s="55">
        <f t="shared" si="0"/>
        <v>-6.5</v>
      </c>
      <c r="T7" s="55">
        <f t="shared" si="0"/>
        <v>-5.5999999999999943</v>
      </c>
      <c r="U7" s="55">
        <f t="shared" si="0"/>
        <v>-1.5</v>
      </c>
      <c r="V7" s="55">
        <f t="shared" si="0"/>
        <v>-3.7000000000000028</v>
      </c>
      <c r="W7" s="55">
        <f t="shared" si="0"/>
        <v>13.700000000000003</v>
      </c>
      <c r="X7" s="55">
        <f t="shared" si="0"/>
        <v>6.7000000000000028</v>
      </c>
      <c r="Y7" s="55">
        <f t="shared" si="0"/>
        <v>7.5</v>
      </c>
      <c r="Z7" s="55">
        <f t="shared" si="0"/>
        <v>7.2000000000000028</v>
      </c>
      <c r="AA7" s="55">
        <f t="shared" si="0"/>
        <v>11.700000000000003</v>
      </c>
      <c r="AB7" s="55">
        <f t="shared" si="0"/>
        <v>38.300000000000011</v>
      </c>
      <c r="AC7" s="55">
        <f t="shared" si="0"/>
        <v>20.299999999999997</v>
      </c>
      <c r="AD7" s="55">
        <f t="shared" si="0"/>
        <v>23.799999999999997</v>
      </c>
      <c r="AE7" s="55">
        <f t="shared" si="0"/>
        <v>20.799999999999997</v>
      </c>
      <c r="AF7" s="55">
        <f t="shared" si="0"/>
        <v>36</v>
      </c>
      <c r="AG7" s="55">
        <f t="shared" si="0"/>
        <v>30.300000000000011</v>
      </c>
      <c r="AH7" s="55">
        <f t="shared" si="0"/>
        <v>29.099999999999994</v>
      </c>
      <c r="AI7" s="55">
        <f t="shared" si="0"/>
        <v>21.700000000000003</v>
      </c>
      <c r="AJ7" s="55">
        <f t="shared" si="0"/>
        <v>14.5</v>
      </c>
      <c r="AK7" s="55">
        <f t="shared" si="0"/>
        <v>18.400000000000006</v>
      </c>
      <c r="AL7" s="55">
        <f t="shared" si="0"/>
        <v>25</v>
      </c>
      <c r="AM7" s="55">
        <f t="shared" si="0"/>
        <v>23.599999999999994</v>
      </c>
      <c r="AN7" s="55">
        <f t="shared" si="0"/>
        <v>22.799999999999997</v>
      </c>
      <c r="AO7" s="55">
        <f t="shared" si="0"/>
        <v>23.599999999999994</v>
      </c>
      <c r="AP7" s="55">
        <f t="shared" si="0"/>
        <v>14</v>
      </c>
      <c r="AQ7" s="55">
        <f t="shared" si="0"/>
        <v>14.900000000000006</v>
      </c>
      <c r="AR7" s="55">
        <f t="shared" si="0"/>
        <v>8.7000000000000028</v>
      </c>
      <c r="AS7" s="55">
        <f t="shared" si="0"/>
        <v>1.2000000000000028</v>
      </c>
      <c r="AT7" s="55">
        <f t="shared" si="0"/>
        <v>1.9000000000000057</v>
      </c>
      <c r="AU7" s="55">
        <f t="shared" si="0"/>
        <v>-3.5</v>
      </c>
      <c r="AV7" s="55">
        <f t="shared" si="0"/>
        <v>-3.5999999999999943</v>
      </c>
      <c r="AW7" s="55">
        <f t="shared" si="0"/>
        <v>-9.9999999999994316E-2</v>
      </c>
      <c r="AX7" s="55">
        <f t="shared" si="0"/>
        <v>-3.2999999999999972</v>
      </c>
      <c r="AY7" s="55">
        <f t="shared" si="0"/>
        <v>-7.2000000000000028</v>
      </c>
      <c r="AZ7" s="55">
        <f t="shared" si="0"/>
        <v>-2.0999999999999943</v>
      </c>
      <c r="BA7" s="55">
        <f t="shared" si="0"/>
        <v>-5</v>
      </c>
      <c r="BB7" s="55">
        <f t="shared" si="0"/>
        <v>-3.5</v>
      </c>
      <c r="BC7" s="55">
        <f t="shared" si="0"/>
        <v>4.9000000000000057</v>
      </c>
      <c r="BD7" s="55">
        <f t="shared" si="0"/>
        <v>-7</v>
      </c>
      <c r="BE7" s="55">
        <f t="shared" si="0"/>
        <v>-5.2000000000000028</v>
      </c>
      <c r="BF7" s="55">
        <f t="shared" si="0"/>
        <v>5</v>
      </c>
      <c r="BG7" s="55">
        <f t="shared" si="0"/>
        <v>1.2000000000000028</v>
      </c>
      <c r="BH7" s="55">
        <f t="shared" si="0"/>
        <v>5.7000000000000028</v>
      </c>
      <c r="BI7" s="55">
        <f t="shared" si="0"/>
        <v>10.900000000000006</v>
      </c>
      <c r="BJ7" s="55">
        <f t="shared" si="0"/>
        <v>9.0999999999999943</v>
      </c>
      <c r="BK7" s="55">
        <f t="shared" si="0"/>
        <v>8.5</v>
      </c>
      <c r="BL7" s="55">
        <f t="shared" si="0"/>
        <v>4.4000000000000057</v>
      </c>
      <c r="BM7" s="55">
        <f t="shared" si="0"/>
        <v>1.5</v>
      </c>
      <c r="BN7" s="55">
        <f t="shared" si="0"/>
        <v>-2</v>
      </c>
      <c r="BO7" s="55">
        <f t="shared" si="0"/>
        <v>-20.299999999999997</v>
      </c>
      <c r="BP7" s="55">
        <f t="shared" si="0"/>
        <v>-13.299999999999997</v>
      </c>
      <c r="BQ7" s="55">
        <f t="shared" ref="BQ7:EB7" si="1">BQ6-100</f>
        <v>-4.2000000000000028</v>
      </c>
      <c r="BR7" s="55">
        <f t="shared" si="1"/>
        <v>-11.5</v>
      </c>
      <c r="BS7" s="55">
        <f t="shared" si="1"/>
        <v>-9</v>
      </c>
      <c r="BT7" s="55">
        <f t="shared" si="1"/>
        <v>-1.9000000000000057</v>
      </c>
      <c r="BU7" s="55">
        <f t="shared" si="1"/>
        <v>-8.0999999999999943</v>
      </c>
      <c r="BV7" s="55">
        <f t="shared" si="1"/>
        <v>-1.9000000000000057</v>
      </c>
      <c r="BW7" s="55">
        <f t="shared" si="1"/>
        <v>3.7000000000000028</v>
      </c>
      <c r="BX7" s="55">
        <f t="shared" si="1"/>
        <v>1.4000000000000057</v>
      </c>
      <c r="BY7" s="55">
        <f t="shared" si="1"/>
        <v>11.900000000000006</v>
      </c>
      <c r="BZ7" s="55">
        <f t="shared" si="1"/>
        <v>21.599999999999994</v>
      </c>
      <c r="CA7" s="55">
        <f t="shared" si="1"/>
        <v>46</v>
      </c>
      <c r="CB7" s="55">
        <f t="shared" si="1"/>
        <v>42.400000000000006</v>
      </c>
      <c r="CC7" s="55">
        <f t="shared" si="1"/>
        <v>32.300000000000011</v>
      </c>
      <c r="CD7" s="55">
        <f t="shared" si="1"/>
        <v>32.099999999999994</v>
      </c>
      <c r="CE7" s="55">
        <f t="shared" si="1"/>
        <v>30.400000000000006</v>
      </c>
      <c r="CF7" s="55">
        <f t="shared" si="1"/>
        <v>24.299999999999997</v>
      </c>
      <c r="CG7" s="55">
        <f t="shared" si="1"/>
        <v>21.799999999999997</v>
      </c>
      <c r="CH7" s="55">
        <f t="shared" si="1"/>
        <v>21</v>
      </c>
      <c r="CI7" s="55">
        <f t="shared" si="1"/>
        <v>22.099999999999994</v>
      </c>
      <c r="CJ7" s="55">
        <f t="shared" si="1"/>
        <v>39</v>
      </c>
      <c r="CK7" s="55">
        <f t="shared" si="1"/>
        <v>31.199999999999989</v>
      </c>
      <c r="CL7" s="55">
        <f t="shared" si="1"/>
        <v>-25.400000000000006</v>
      </c>
      <c r="CM7" s="55">
        <f t="shared" si="1"/>
        <v>-34.799999999999997</v>
      </c>
      <c r="CN7" s="55">
        <f t="shared" si="1"/>
        <v>-23.099999999999994</v>
      </c>
      <c r="CO7" s="55">
        <f t="shared" si="1"/>
        <v>-16.400000000000006</v>
      </c>
      <c r="CP7" s="55">
        <f t="shared" si="1"/>
        <v>-16.900000000000006</v>
      </c>
      <c r="CQ7" s="55">
        <f t="shared" si="1"/>
        <v>-9.7000000000000028</v>
      </c>
      <c r="CR7" s="55">
        <f t="shared" si="1"/>
        <v>-7.2999999999999972</v>
      </c>
      <c r="CS7" s="55">
        <f t="shared" si="1"/>
        <v>-5.7000000000000028</v>
      </c>
      <c r="CT7" s="55">
        <f t="shared" si="1"/>
        <v>-4.5999999999999943</v>
      </c>
      <c r="CU7" s="55">
        <f t="shared" si="1"/>
        <v>-3.5</v>
      </c>
      <c r="CV7" s="55">
        <f t="shared" si="1"/>
        <v>9.9999999999994316E-2</v>
      </c>
      <c r="CW7" s="55">
        <f t="shared" si="1"/>
        <v>-16.799999999999997</v>
      </c>
      <c r="CX7" s="55">
        <f t="shared" si="1"/>
        <v>50.5</v>
      </c>
      <c r="CY7" s="55">
        <f t="shared" si="1"/>
        <v>48.400000000000006</v>
      </c>
      <c r="CZ7" s="55">
        <f t="shared" si="1"/>
        <v>42.800000000000011</v>
      </c>
      <c r="DA7" s="55">
        <f t="shared" si="1"/>
        <v>20.099999999999994</v>
      </c>
      <c r="DB7" s="55">
        <f t="shared" si="1"/>
        <v>17.599999999999994</v>
      </c>
      <c r="DC7" s="55">
        <f t="shared" si="1"/>
        <v>8.2000000000000028</v>
      </c>
      <c r="DD7" s="55">
        <f t="shared" si="1"/>
        <v>4.7999999999999972</v>
      </c>
      <c r="DE7" s="55">
        <f t="shared" si="1"/>
        <v>-7.0999999999999943</v>
      </c>
      <c r="DF7" s="55">
        <f t="shared" si="1"/>
        <v>-7.4000000000000057</v>
      </c>
      <c r="DG7" s="55">
        <f t="shared" si="1"/>
        <v>-6.2000000000000028</v>
      </c>
      <c r="DH7" s="55">
        <f t="shared" si="1"/>
        <v>-11</v>
      </c>
      <c r="DI7" s="55">
        <f t="shared" si="1"/>
        <v>1.2999999999999972</v>
      </c>
      <c r="DJ7" s="55">
        <f t="shared" si="1"/>
        <v>-18.700000000000003</v>
      </c>
      <c r="DK7" s="55">
        <f t="shared" si="1"/>
        <v>-9.2999999999999972</v>
      </c>
      <c r="DL7" s="55">
        <f t="shared" si="1"/>
        <v>-8.4000000000000057</v>
      </c>
      <c r="DM7" s="55">
        <f t="shared" si="1"/>
        <v>-5.4000000000000057</v>
      </c>
      <c r="DN7" s="55">
        <f t="shared" si="1"/>
        <v>0.90000000000000568</v>
      </c>
      <c r="DO7" s="55">
        <f t="shared" si="1"/>
        <v>2.0999999999999943</v>
      </c>
      <c r="DP7" s="55">
        <f t="shared" si="1"/>
        <v>8.7000000000000028</v>
      </c>
      <c r="DQ7" s="55">
        <f t="shared" si="1"/>
        <v>21.200000000000003</v>
      </c>
      <c r="DR7" s="55">
        <f t="shared" si="1"/>
        <v>10.700000000000003</v>
      </c>
      <c r="DS7" s="55">
        <f t="shared" si="1"/>
        <v>5.4000000000000057</v>
      </c>
      <c r="DT7" s="55">
        <f t="shared" si="1"/>
        <v>5.2000000000000028</v>
      </c>
      <c r="DU7" s="55">
        <f t="shared" si="1"/>
        <v>-9.5</v>
      </c>
      <c r="DV7" s="55">
        <f t="shared" si="1"/>
        <v>1.9000000000000057</v>
      </c>
      <c r="DW7" s="55">
        <f t="shared" si="1"/>
        <v>13.400000000000006</v>
      </c>
      <c r="DX7" s="55">
        <f t="shared" si="1"/>
        <v>1</v>
      </c>
      <c r="DY7" s="55">
        <f t="shared" si="1"/>
        <v>0.90000000000000568</v>
      </c>
      <c r="DZ7" s="55">
        <f t="shared" si="1"/>
        <v>0.20000000000000284</v>
      </c>
      <c r="EA7" s="55">
        <f t="shared" si="1"/>
        <v>-5.0999999999999943</v>
      </c>
      <c r="EB7" s="55">
        <f t="shared" si="1"/>
        <v>-4.7000000000000028</v>
      </c>
      <c r="EC7" s="55">
        <f t="shared" ref="EC7:EE7" si="2">EC6-100</f>
        <v>-6.7000000000000028</v>
      </c>
      <c r="ED7" s="55">
        <f t="shared" si="2"/>
        <v>1.5</v>
      </c>
      <c r="EE7" s="55">
        <f t="shared" si="2"/>
        <v>15.700000000000003</v>
      </c>
    </row>
    <row r="8" spans="1:135">
      <c r="D8">
        <v>-42.1</v>
      </c>
      <c r="E8">
        <v>-36</v>
      </c>
      <c r="F8">
        <v>-37.6</v>
      </c>
      <c r="G8">
        <v>-41.7</v>
      </c>
      <c r="H8">
        <v>-41.5</v>
      </c>
      <c r="I8">
        <v>-39.299999999999997</v>
      </c>
      <c r="J8">
        <v>-42.5</v>
      </c>
      <c r="K8">
        <v>-35.799999999999997</v>
      </c>
      <c r="L8">
        <v>-35.400000000000006</v>
      </c>
      <c r="M8">
        <v>-36.799999999999997</v>
      </c>
      <c r="N8">
        <v>-28.799999999999997</v>
      </c>
      <c r="O8">
        <v>-28.400000000000006</v>
      </c>
      <c r="P8">
        <v>-19</v>
      </c>
      <c r="Q8">
        <v>-16.599999999999994</v>
      </c>
      <c r="R8">
        <v>-10.099999999999994</v>
      </c>
      <c r="S8">
        <v>-6.5</v>
      </c>
      <c r="T8">
        <v>-5.5999999999999943</v>
      </c>
      <c r="U8">
        <v>-1.5</v>
      </c>
      <c r="V8">
        <v>-3.7000000000000028</v>
      </c>
      <c r="W8">
        <v>13.700000000000003</v>
      </c>
      <c r="X8">
        <v>6.7000000000000028</v>
      </c>
      <c r="Y8">
        <v>7.5</v>
      </c>
      <c r="Z8">
        <v>7.2000000000000028</v>
      </c>
      <c r="AA8">
        <v>11.700000000000003</v>
      </c>
      <c r="AB8">
        <v>38.300000000000011</v>
      </c>
      <c r="AC8">
        <v>20.299999999999997</v>
      </c>
      <c r="AD8">
        <v>23.799999999999997</v>
      </c>
      <c r="AE8">
        <v>20.799999999999997</v>
      </c>
      <c r="AF8">
        <v>36</v>
      </c>
      <c r="AG8">
        <v>30.300000000000011</v>
      </c>
      <c r="AH8">
        <v>29.099999999999994</v>
      </c>
      <c r="AI8">
        <v>21.700000000000003</v>
      </c>
      <c r="AJ8">
        <v>14.5</v>
      </c>
      <c r="AK8">
        <v>18.400000000000006</v>
      </c>
      <c r="AL8">
        <v>25</v>
      </c>
      <c r="AM8">
        <v>23.599999999999994</v>
      </c>
      <c r="AN8">
        <v>22.799999999999997</v>
      </c>
      <c r="AO8">
        <v>23.599999999999994</v>
      </c>
      <c r="AP8">
        <v>14</v>
      </c>
      <c r="AQ8">
        <v>14.900000000000006</v>
      </c>
      <c r="AR8">
        <v>8.7000000000000028</v>
      </c>
      <c r="AS8">
        <v>1.2000000000000028</v>
      </c>
      <c r="AT8">
        <v>1.9000000000000057</v>
      </c>
      <c r="AU8">
        <v>-3.5</v>
      </c>
      <c r="AV8">
        <v>-3.5999999999999943</v>
      </c>
      <c r="AW8">
        <v>-9.9999999999994316E-2</v>
      </c>
      <c r="AX8">
        <v>-3.2999999999999972</v>
      </c>
      <c r="AY8">
        <v>-7.2000000000000028</v>
      </c>
      <c r="AZ8">
        <v>-2.0999999999999943</v>
      </c>
      <c r="BA8">
        <v>-5</v>
      </c>
      <c r="BB8">
        <v>-3.5</v>
      </c>
      <c r="BC8">
        <v>4.9000000000000057</v>
      </c>
      <c r="BD8">
        <v>-7</v>
      </c>
      <c r="BE8">
        <v>-5.2000000000000028</v>
      </c>
      <c r="BF8">
        <v>5</v>
      </c>
      <c r="BG8">
        <v>1.2000000000000028</v>
      </c>
      <c r="BH8">
        <v>5.7000000000000028</v>
      </c>
      <c r="BI8">
        <v>10.900000000000006</v>
      </c>
      <c r="BJ8">
        <v>9.0999999999999943</v>
      </c>
      <c r="BK8">
        <v>8.5</v>
      </c>
      <c r="BL8">
        <v>4.4000000000000057</v>
      </c>
      <c r="BM8">
        <v>1.5</v>
      </c>
      <c r="BN8">
        <v>-2</v>
      </c>
      <c r="BO8">
        <v>-20.299999999999997</v>
      </c>
      <c r="BP8">
        <v>-13.299999999999997</v>
      </c>
      <c r="BQ8">
        <v>-4.2000000000000028</v>
      </c>
      <c r="BR8">
        <v>-11.5</v>
      </c>
      <c r="BS8">
        <v>-9</v>
      </c>
      <c r="BT8">
        <v>-1.9000000000000057</v>
      </c>
      <c r="BU8">
        <v>-8.0999999999999943</v>
      </c>
      <c r="BV8">
        <v>-1.9000000000000057</v>
      </c>
      <c r="BW8">
        <v>3.7000000000000028</v>
      </c>
      <c r="BX8">
        <v>1.4000000000000057</v>
      </c>
      <c r="BY8">
        <v>11.900000000000006</v>
      </c>
      <c r="BZ8">
        <v>21.599999999999994</v>
      </c>
      <c r="CA8">
        <v>46</v>
      </c>
      <c r="CB8">
        <v>42.400000000000006</v>
      </c>
      <c r="CC8">
        <v>32.300000000000011</v>
      </c>
      <c r="CD8">
        <v>32.099999999999994</v>
      </c>
      <c r="CE8">
        <v>30.400000000000006</v>
      </c>
      <c r="CF8">
        <v>24.299999999999997</v>
      </c>
      <c r="CG8">
        <v>21.799999999999997</v>
      </c>
      <c r="CH8">
        <v>21</v>
      </c>
      <c r="CI8">
        <v>22.099999999999994</v>
      </c>
      <c r="CJ8">
        <v>39</v>
      </c>
      <c r="CK8">
        <v>31.199999999999989</v>
      </c>
      <c r="CL8">
        <v>-25.400000000000006</v>
      </c>
      <c r="CM8">
        <v>-34.799999999999997</v>
      </c>
      <c r="CN8">
        <v>-23.099999999999994</v>
      </c>
      <c r="CO8">
        <v>-16.400000000000006</v>
      </c>
      <c r="CP8">
        <v>-16.900000000000006</v>
      </c>
      <c r="CQ8">
        <v>-9.7000000000000028</v>
      </c>
      <c r="CR8">
        <v>-7.2999999999999972</v>
      </c>
      <c r="CS8">
        <v>-5.7000000000000028</v>
      </c>
      <c r="CT8">
        <v>-4.5999999999999943</v>
      </c>
      <c r="CU8">
        <v>-3.5</v>
      </c>
      <c r="CV8">
        <v>9.9999999999994316E-2</v>
      </c>
      <c r="CW8">
        <v>-16.799999999999997</v>
      </c>
      <c r="CX8">
        <v>50.5</v>
      </c>
      <c r="CY8">
        <v>48.400000000000006</v>
      </c>
      <c r="CZ8">
        <v>42.800000000000011</v>
      </c>
      <c r="DA8">
        <v>20.099999999999994</v>
      </c>
      <c r="DB8">
        <v>17.599999999999994</v>
      </c>
      <c r="DC8">
        <v>8.2000000000000028</v>
      </c>
      <c r="DD8">
        <v>4.7999999999999972</v>
      </c>
      <c r="DE8">
        <v>-7.0999999999999943</v>
      </c>
      <c r="DF8">
        <v>-7.4000000000000057</v>
      </c>
      <c r="DG8">
        <v>-6.2000000000000028</v>
      </c>
      <c r="DH8">
        <v>-11</v>
      </c>
      <c r="DI8">
        <v>1.2999999999999972</v>
      </c>
      <c r="DJ8">
        <v>-18.700000000000003</v>
      </c>
      <c r="DK8">
        <v>-9.2999999999999972</v>
      </c>
      <c r="DL8">
        <v>-8.4000000000000057</v>
      </c>
      <c r="DM8">
        <v>-5.4000000000000057</v>
      </c>
      <c r="DN8">
        <v>0.90000000000000568</v>
      </c>
      <c r="DO8">
        <v>2.0999999999999943</v>
      </c>
      <c r="DP8">
        <v>8.7000000000000028</v>
      </c>
      <c r="DQ8">
        <v>21.200000000000003</v>
      </c>
      <c r="DR8">
        <v>10.700000000000003</v>
      </c>
      <c r="DS8">
        <v>5.4000000000000057</v>
      </c>
      <c r="DT8">
        <v>5.2000000000000028</v>
      </c>
      <c r="DU8">
        <v>-9.5</v>
      </c>
      <c r="DV8">
        <v>1.9000000000000057</v>
      </c>
      <c r="DW8">
        <v>13.400000000000006</v>
      </c>
      <c r="DX8">
        <v>1</v>
      </c>
      <c r="DY8">
        <v>0.90000000000000568</v>
      </c>
      <c r="DZ8">
        <v>0.20000000000000284</v>
      </c>
      <c r="EA8">
        <v>-5.0999999999999943</v>
      </c>
      <c r="EB8">
        <v>-4.7000000000000028</v>
      </c>
      <c r="EC8">
        <v>-6.7000000000000028</v>
      </c>
      <c r="ED8">
        <v>1.5</v>
      </c>
      <c r="EE8">
        <v>15.700000000000003</v>
      </c>
    </row>
  </sheetData>
  <mergeCells count="15">
    <mergeCell ref="A4:A5"/>
    <mergeCell ref="B4:C4"/>
    <mergeCell ref="B5:C5"/>
    <mergeCell ref="B6:C6"/>
    <mergeCell ref="D4:O4"/>
    <mergeCell ref="CJ4:CU4"/>
    <mergeCell ref="CV4:DG4"/>
    <mergeCell ref="DH4:DS4"/>
    <mergeCell ref="DT4:EE4"/>
    <mergeCell ref="P4:AA4"/>
    <mergeCell ref="AB4:AM4"/>
    <mergeCell ref="AN4:AY4"/>
    <mergeCell ref="AZ4:BK4"/>
    <mergeCell ref="BL4:BW4"/>
    <mergeCell ref="BX4:CI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0184-49F3-7646-B1A1-FEB381D048E3}">
  <dimension ref="A1:J2716"/>
  <sheetViews>
    <sheetView zoomScale="150" workbookViewId="0">
      <selection activeCell="J2" sqref="J2:J133"/>
    </sheetView>
  </sheetViews>
  <sheetFormatPr baseColWidth="10" defaultRowHeight="16"/>
  <cols>
    <col min="3" max="3" width="10.1640625" bestFit="1" customWidth="1"/>
    <col min="4" max="4" width="11.5" customWidth="1"/>
  </cols>
  <sheetData>
    <row r="1" spans="1:10">
      <c r="A1" t="s">
        <v>116</v>
      </c>
      <c r="B1" t="s">
        <v>117</v>
      </c>
      <c r="C1" t="s">
        <v>196</v>
      </c>
      <c r="F1">
        <v>55.770400000000002</v>
      </c>
      <c r="G1">
        <v>55.770400000000002</v>
      </c>
      <c r="H1">
        <f>LN(G1)</f>
        <v>4.0212432626906063</v>
      </c>
    </row>
    <row r="2" spans="1:10">
      <c r="A2" s="28">
        <v>46022</v>
      </c>
      <c r="B2" s="29">
        <v>78.226699999999994</v>
      </c>
      <c r="C2" s="28">
        <f>DATE(YEAR(A2),MONTH(A2),1)</f>
        <v>45992</v>
      </c>
      <c r="E2" s="28">
        <v>42005</v>
      </c>
      <c r="F2">
        <f>AVERAGEIFS($B:$B,$C:$C,E2)</f>
        <v>65.153087499999998</v>
      </c>
      <c r="G2">
        <v>65.153087499999998</v>
      </c>
      <c r="H2">
        <f t="shared" ref="H2:H65" si="0">LN(G2)</f>
        <v>4.1767396930849445</v>
      </c>
      <c r="I2">
        <f>H2-H1</f>
        <v>0.15549643039433825</v>
      </c>
      <c r="J2">
        <v>0.15549643039433825</v>
      </c>
    </row>
    <row r="3" spans="1:10">
      <c r="A3" s="28">
        <v>46021</v>
      </c>
      <c r="B3" s="29">
        <v>77.446600000000004</v>
      </c>
      <c r="C3" s="28">
        <f t="shared" ref="C3:C66" si="1">DATE(YEAR(A3),MONTH(A3),1)</f>
        <v>45992</v>
      </c>
      <c r="E3" s="28">
        <v>42036</v>
      </c>
      <c r="F3">
        <f t="shared" ref="F3:F66" si="2">AVERAGEIFS($B:$B,$C:$C,E3)</f>
        <v>64.518173684210524</v>
      </c>
      <c r="G3">
        <v>64.518173684210524</v>
      </c>
      <c r="H3">
        <f t="shared" si="0"/>
        <v>4.1669469466600146</v>
      </c>
      <c r="I3">
        <f t="shared" ref="I3:I66" si="3">H3-H2</f>
        <v>-9.7927464249298879E-3</v>
      </c>
      <c r="J3">
        <v>-9.7927464249298879E-3</v>
      </c>
    </row>
    <row r="4" spans="1:10">
      <c r="A4" s="28">
        <v>46018</v>
      </c>
      <c r="B4" s="29">
        <v>77.692300000000003</v>
      </c>
      <c r="C4" s="28">
        <f t="shared" si="1"/>
        <v>45992</v>
      </c>
      <c r="E4" s="28">
        <v>42064</v>
      </c>
      <c r="F4">
        <f t="shared" si="2"/>
        <v>60.36309</v>
      </c>
      <c r="G4">
        <v>60.36309</v>
      </c>
      <c r="H4">
        <f t="shared" si="0"/>
        <v>4.1003778254322816</v>
      </c>
      <c r="I4">
        <f t="shared" si="3"/>
        <v>-6.6569121227733064E-2</v>
      </c>
      <c r="J4">
        <v>-6.6569121227733064E-2</v>
      </c>
    </row>
    <row r="5" spans="1:10">
      <c r="A5" s="28">
        <v>46017</v>
      </c>
      <c r="B5" s="29">
        <v>77.884399999999999</v>
      </c>
      <c r="C5" s="28">
        <f t="shared" si="1"/>
        <v>45992</v>
      </c>
      <c r="E5" s="28">
        <v>42095</v>
      </c>
      <c r="F5">
        <f t="shared" si="2"/>
        <v>53.218695454545461</v>
      </c>
      <c r="G5">
        <v>53.218695454545461</v>
      </c>
      <c r="H5">
        <f t="shared" si="0"/>
        <v>3.9744097529331675</v>
      </c>
      <c r="I5">
        <f t="shared" si="3"/>
        <v>-0.12596807249911413</v>
      </c>
      <c r="J5">
        <v>-0.12596807249911413</v>
      </c>
    </row>
    <row r="6" spans="1:10">
      <c r="A6" s="28">
        <v>46016</v>
      </c>
      <c r="B6" s="29">
        <v>78.436800000000005</v>
      </c>
      <c r="C6" s="28">
        <f t="shared" si="1"/>
        <v>45992</v>
      </c>
      <c r="E6" s="28">
        <v>42125</v>
      </c>
      <c r="F6">
        <f t="shared" si="2"/>
        <v>50.467957894736834</v>
      </c>
      <c r="G6">
        <v>50.467957894736834</v>
      </c>
      <c r="H6">
        <f t="shared" si="0"/>
        <v>3.9213386377688964</v>
      </c>
      <c r="I6">
        <f t="shared" si="3"/>
        <v>-5.3071115164271099E-2</v>
      </c>
      <c r="J6">
        <v>-5.3071115164271099E-2</v>
      </c>
    </row>
    <row r="7" spans="1:10">
      <c r="A7" s="28">
        <v>46015</v>
      </c>
      <c r="B7" s="29">
        <v>78.584999999999994</v>
      </c>
      <c r="C7" s="28">
        <f t="shared" si="1"/>
        <v>45992</v>
      </c>
      <c r="E7" s="28">
        <v>42156</v>
      </c>
      <c r="F7">
        <f t="shared" si="2"/>
        <v>54.449040000000004</v>
      </c>
      <c r="G7">
        <v>54.449040000000004</v>
      </c>
      <c r="H7">
        <f t="shared" si="0"/>
        <v>3.9972652183695496</v>
      </c>
      <c r="I7">
        <f t="shared" si="3"/>
        <v>7.5926580600653271E-2</v>
      </c>
      <c r="J7">
        <v>7.5926580600653271E-2</v>
      </c>
    </row>
    <row r="8" spans="1:10">
      <c r="A8" s="28">
        <v>46014</v>
      </c>
      <c r="B8" s="29">
        <v>79.314599999999999</v>
      </c>
      <c r="C8" s="28">
        <f t="shared" si="1"/>
        <v>45992</v>
      </c>
      <c r="E8" s="28">
        <v>42186</v>
      </c>
      <c r="F8">
        <f t="shared" si="2"/>
        <v>57.179669565217402</v>
      </c>
      <c r="G8">
        <v>57.179669565217402</v>
      </c>
      <c r="H8">
        <f t="shared" si="0"/>
        <v>4.0461984080250266</v>
      </c>
      <c r="I8">
        <f t="shared" si="3"/>
        <v>4.8933189655476994E-2</v>
      </c>
      <c r="J8">
        <v>4.8933189655476994E-2</v>
      </c>
    </row>
    <row r="9" spans="1:10">
      <c r="A9" s="28">
        <v>46011</v>
      </c>
      <c r="B9" s="29">
        <v>80.721999999999994</v>
      </c>
      <c r="C9" s="28">
        <f t="shared" si="1"/>
        <v>45992</v>
      </c>
      <c r="E9" s="28">
        <v>42217</v>
      </c>
      <c r="F9">
        <f t="shared" si="2"/>
        <v>65.422990476190463</v>
      </c>
      <c r="G9">
        <v>65.422990476190463</v>
      </c>
      <c r="H9">
        <f t="shared" si="0"/>
        <v>4.1808737330219206</v>
      </c>
      <c r="I9">
        <f t="shared" si="3"/>
        <v>0.13467532499689394</v>
      </c>
      <c r="J9">
        <v>0.13467532499689394</v>
      </c>
    </row>
    <row r="10" spans="1:10">
      <c r="A10" s="28">
        <v>46010</v>
      </c>
      <c r="B10" s="29">
        <v>80.030100000000004</v>
      </c>
      <c r="C10" s="28">
        <f t="shared" si="1"/>
        <v>45992</v>
      </c>
      <c r="E10" s="28">
        <v>42248</v>
      </c>
      <c r="F10">
        <f t="shared" si="2"/>
        <v>66.782895454545468</v>
      </c>
      <c r="G10">
        <v>66.782895454545468</v>
      </c>
      <c r="H10">
        <f t="shared" si="0"/>
        <v>4.2014469916849686</v>
      </c>
      <c r="I10">
        <f t="shared" si="3"/>
        <v>2.0573258663048044E-2</v>
      </c>
      <c r="J10">
        <v>2.0573258663048044E-2</v>
      </c>
    </row>
    <row r="11" spans="1:10">
      <c r="A11" s="28">
        <v>46009</v>
      </c>
      <c r="B11" s="29">
        <v>80.380700000000004</v>
      </c>
      <c r="C11" s="28">
        <f t="shared" si="1"/>
        <v>45992</v>
      </c>
      <c r="E11" s="28">
        <v>42278</v>
      </c>
      <c r="F11">
        <f t="shared" si="2"/>
        <v>63.245586956521741</v>
      </c>
      <c r="G11">
        <v>63.245586956521741</v>
      </c>
      <c r="H11">
        <f t="shared" si="0"/>
        <v>4.1470253537350983</v>
      </c>
      <c r="I11">
        <f t="shared" si="3"/>
        <v>-5.4421637949870316E-2</v>
      </c>
      <c r="J11">
        <v>-5.4421637949870316E-2</v>
      </c>
    </row>
    <row r="12" spans="1:10">
      <c r="A12" s="28">
        <v>46008</v>
      </c>
      <c r="B12" s="29">
        <v>79.430199999999999</v>
      </c>
      <c r="C12" s="28">
        <f t="shared" si="1"/>
        <v>45992</v>
      </c>
      <c r="E12" s="28">
        <v>42309</v>
      </c>
      <c r="F12">
        <f t="shared" si="2"/>
        <v>65.029563157894742</v>
      </c>
      <c r="G12">
        <v>65.029563157894742</v>
      </c>
      <c r="H12">
        <f t="shared" si="0"/>
        <v>4.1748419843111311</v>
      </c>
      <c r="I12">
        <f t="shared" si="3"/>
        <v>2.7816630576032786E-2</v>
      </c>
      <c r="J12">
        <v>2.7816630576032786E-2</v>
      </c>
    </row>
    <row r="13" spans="1:10">
      <c r="A13" s="28">
        <v>46007</v>
      </c>
      <c r="B13" s="29">
        <v>79.4495</v>
      </c>
      <c r="C13" s="28">
        <f t="shared" si="1"/>
        <v>45992</v>
      </c>
      <c r="E13" s="28">
        <v>42339</v>
      </c>
      <c r="F13">
        <f t="shared" si="2"/>
        <v>69.704847826086962</v>
      </c>
      <c r="G13">
        <v>69.704847826086962</v>
      </c>
      <c r="H13">
        <f t="shared" si="0"/>
        <v>4.2442698680893614</v>
      </c>
      <c r="I13">
        <f t="shared" si="3"/>
        <v>6.9427883778230282E-2</v>
      </c>
      <c r="J13">
        <v>6.9427883778230282E-2</v>
      </c>
    </row>
    <row r="14" spans="1:10">
      <c r="A14" s="28">
        <v>46004</v>
      </c>
      <c r="B14" s="29">
        <v>79.729600000000005</v>
      </c>
      <c r="C14" s="28">
        <f t="shared" si="1"/>
        <v>45992</v>
      </c>
      <c r="E14" s="28">
        <v>42370</v>
      </c>
      <c r="F14">
        <f t="shared" si="2"/>
        <v>77.934425000000005</v>
      </c>
      <c r="G14">
        <v>77.934425000000005</v>
      </c>
      <c r="H14">
        <f t="shared" si="0"/>
        <v>4.355867767970639</v>
      </c>
      <c r="I14">
        <f t="shared" si="3"/>
        <v>0.11159789988127766</v>
      </c>
      <c r="J14">
        <v>0.11159789988127766</v>
      </c>
    </row>
    <row r="15" spans="1:10">
      <c r="A15" s="28">
        <v>46003</v>
      </c>
      <c r="B15" s="29">
        <v>79.339799999999997</v>
      </c>
      <c r="C15" s="28">
        <f t="shared" si="1"/>
        <v>45992</v>
      </c>
      <c r="E15" s="28">
        <v>42401</v>
      </c>
      <c r="F15">
        <f t="shared" si="2"/>
        <v>77.328494736842103</v>
      </c>
      <c r="G15">
        <v>77.328494736842103</v>
      </c>
      <c r="H15">
        <f t="shared" si="0"/>
        <v>4.3480625129826613</v>
      </c>
      <c r="I15">
        <f t="shared" si="3"/>
        <v>-7.8052549879776834E-3</v>
      </c>
      <c r="J15">
        <v>-7.8052549879776834E-3</v>
      </c>
    </row>
    <row r="16" spans="1:10">
      <c r="A16" s="28">
        <v>46002</v>
      </c>
      <c r="B16" s="29">
        <v>77.899799999999999</v>
      </c>
      <c r="C16" s="28">
        <f t="shared" si="1"/>
        <v>45992</v>
      </c>
      <c r="E16" s="28">
        <v>42430</v>
      </c>
      <c r="F16">
        <f t="shared" si="2"/>
        <v>70.41831904761905</v>
      </c>
      <c r="G16">
        <v>70.41831904761905</v>
      </c>
      <c r="H16">
        <f t="shared" si="0"/>
        <v>4.2544534430588614</v>
      </c>
      <c r="I16">
        <f t="shared" si="3"/>
        <v>-9.3609069923799915E-2</v>
      </c>
      <c r="J16">
        <v>-9.3609069923799915E-2</v>
      </c>
    </row>
    <row r="17" spans="1:10">
      <c r="A17" s="28">
        <v>46001</v>
      </c>
      <c r="B17" s="29">
        <v>76.808400000000006</v>
      </c>
      <c r="C17" s="28">
        <f t="shared" si="1"/>
        <v>45992</v>
      </c>
      <c r="E17" s="28">
        <v>42461</v>
      </c>
      <c r="F17">
        <f t="shared" si="2"/>
        <v>66.682636363636391</v>
      </c>
      <c r="G17">
        <v>66.682636363636391</v>
      </c>
      <c r="H17">
        <f t="shared" si="0"/>
        <v>4.1999445946480414</v>
      </c>
      <c r="I17">
        <f t="shared" si="3"/>
        <v>-5.4508848410820043E-2</v>
      </c>
      <c r="J17">
        <v>-5.4508848410820043E-2</v>
      </c>
    </row>
    <row r="18" spans="1:10">
      <c r="A18" s="28">
        <v>46000</v>
      </c>
      <c r="B18" s="29">
        <v>77.273300000000006</v>
      </c>
      <c r="C18" s="28">
        <f t="shared" si="1"/>
        <v>45992</v>
      </c>
      <c r="E18" s="28">
        <v>42491</v>
      </c>
      <c r="F18">
        <f t="shared" si="2"/>
        <v>65.838655555555576</v>
      </c>
      <c r="G18">
        <v>65.838655555555576</v>
      </c>
      <c r="H18">
        <f t="shared" si="0"/>
        <v>4.187207136287233</v>
      </c>
      <c r="I18">
        <f t="shared" si="3"/>
        <v>-1.2737458360808418E-2</v>
      </c>
      <c r="J18">
        <v>-1.2737458360808418E-2</v>
      </c>
    </row>
    <row r="19" spans="1:10">
      <c r="A19" s="28">
        <v>45997</v>
      </c>
      <c r="B19" s="29">
        <v>76.093699999999998</v>
      </c>
      <c r="C19" s="28">
        <f t="shared" si="1"/>
        <v>45992</v>
      </c>
      <c r="E19" s="28">
        <v>42522</v>
      </c>
      <c r="F19">
        <f t="shared" si="2"/>
        <v>65.219266666666684</v>
      </c>
      <c r="G19">
        <v>65.219266666666684</v>
      </c>
      <c r="H19">
        <f t="shared" si="0"/>
        <v>4.1777549263032743</v>
      </c>
      <c r="I19">
        <f t="shared" si="3"/>
        <v>-9.4522099839586815E-3</v>
      </c>
      <c r="J19">
        <v>-9.4522099839586815E-3</v>
      </c>
    </row>
    <row r="20" spans="1:10">
      <c r="A20" s="28">
        <v>45996</v>
      </c>
      <c r="B20" s="29">
        <v>76.970799999999997</v>
      </c>
      <c r="C20" s="28">
        <f t="shared" si="1"/>
        <v>45992</v>
      </c>
      <c r="E20" s="28">
        <v>42552</v>
      </c>
      <c r="F20">
        <f t="shared" si="2"/>
        <v>64.337968181818198</v>
      </c>
      <c r="G20">
        <v>64.337968181818198</v>
      </c>
      <c r="H20">
        <f t="shared" si="0"/>
        <v>4.1641499419186783</v>
      </c>
      <c r="I20">
        <f t="shared" si="3"/>
        <v>-1.3604984384596008E-2</v>
      </c>
      <c r="J20">
        <v>-1.3604984384596008E-2</v>
      </c>
    </row>
    <row r="21" spans="1:10">
      <c r="A21" s="28">
        <v>45995</v>
      </c>
      <c r="B21" s="29">
        <v>77.955600000000004</v>
      </c>
      <c r="C21" s="28">
        <f t="shared" si="1"/>
        <v>45992</v>
      </c>
      <c r="E21" s="28">
        <v>42583</v>
      </c>
      <c r="F21">
        <f t="shared" si="2"/>
        <v>64.936527272727275</v>
      </c>
      <c r="G21">
        <v>64.936527272727275</v>
      </c>
      <c r="H21">
        <f t="shared" si="0"/>
        <v>4.1734102893089826</v>
      </c>
      <c r="I21">
        <f t="shared" si="3"/>
        <v>9.2603473903043465E-3</v>
      </c>
      <c r="J21">
        <v>9.2603473903043465E-3</v>
      </c>
    </row>
    <row r="22" spans="1:10">
      <c r="A22" s="28">
        <v>45994</v>
      </c>
      <c r="B22" s="29">
        <v>77.463099999999997</v>
      </c>
      <c r="C22" s="28">
        <f t="shared" si="1"/>
        <v>45992</v>
      </c>
      <c r="E22" s="28">
        <v>42614</v>
      </c>
      <c r="F22">
        <f t="shared" si="2"/>
        <v>64.557204545454553</v>
      </c>
      <c r="G22">
        <v>64.557204545454553</v>
      </c>
      <c r="H22">
        <f t="shared" si="0"/>
        <v>4.1675517229228314</v>
      </c>
      <c r="I22">
        <f t="shared" si="3"/>
        <v>-5.8585663861512316E-3</v>
      </c>
      <c r="J22">
        <v>-5.8585663861512316E-3</v>
      </c>
    </row>
    <row r="23" spans="1:10">
      <c r="A23" s="28">
        <v>45993</v>
      </c>
      <c r="B23" s="29">
        <v>77.702699999999993</v>
      </c>
      <c r="C23" s="28">
        <f t="shared" si="1"/>
        <v>45992</v>
      </c>
      <c r="E23" s="28">
        <v>42644</v>
      </c>
      <c r="F23">
        <f t="shared" si="2"/>
        <v>62.62000476190476</v>
      </c>
      <c r="G23">
        <v>62.62000476190476</v>
      </c>
      <c r="H23">
        <f t="shared" si="0"/>
        <v>4.1370847919427272</v>
      </c>
      <c r="I23">
        <f t="shared" si="3"/>
        <v>-3.0466930980104223E-2</v>
      </c>
      <c r="J23">
        <v>-3.0466930980104223E-2</v>
      </c>
    </row>
    <row r="24" spans="1:10">
      <c r="A24" s="28">
        <v>45990</v>
      </c>
      <c r="B24" s="29">
        <v>78.228399999999993</v>
      </c>
      <c r="C24" s="28">
        <f t="shared" si="1"/>
        <v>45962</v>
      </c>
      <c r="E24" s="28">
        <v>42675</v>
      </c>
      <c r="F24">
        <f t="shared" si="2"/>
        <v>64.313738095238094</v>
      </c>
      <c r="G24">
        <v>64.313738095238094</v>
      </c>
      <c r="H24">
        <f t="shared" si="0"/>
        <v>4.1637732646468759</v>
      </c>
      <c r="I24">
        <f t="shared" si="3"/>
        <v>2.6688472704148758E-2</v>
      </c>
      <c r="J24">
        <v>2.6688472704148758E-2</v>
      </c>
    </row>
    <row r="25" spans="1:10">
      <c r="A25" s="28">
        <v>45989</v>
      </c>
      <c r="B25" s="29">
        <v>78.250299999999996</v>
      </c>
      <c r="C25" s="28">
        <f t="shared" si="1"/>
        <v>45962</v>
      </c>
      <c r="E25" s="28">
        <v>42705</v>
      </c>
      <c r="F25">
        <f t="shared" si="2"/>
        <v>62.091291304347827</v>
      </c>
      <c r="G25">
        <v>62.091291304347827</v>
      </c>
      <c r="H25">
        <f t="shared" si="0"/>
        <v>4.128605742460393</v>
      </c>
      <c r="I25">
        <f t="shared" si="3"/>
        <v>-3.5167522186482891E-2</v>
      </c>
      <c r="J25">
        <v>-3.5167522186482891E-2</v>
      </c>
    </row>
    <row r="26" spans="1:10">
      <c r="A26" s="28">
        <v>45988</v>
      </c>
      <c r="B26" s="29">
        <v>78.594099999999997</v>
      </c>
      <c r="C26" s="28">
        <f t="shared" si="1"/>
        <v>45962</v>
      </c>
      <c r="E26" s="28">
        <v>42736</v>
      </c>
      <c r="F26">
        <f t="shared" si="2"/>
        <v>59.629856250000003</v>
      </c>
      <c r="G26">
        <v>59.629856250000003</v>
      </c>
      <c r="H26">
        <f t="shared" si="0"/>
        <v>4.0881563924327962</v>
      </c>
      <c r="I26">
        <f t="shared" si="3"/>
        <v>-4.0449350027596864E-2</v>
      </c>
      <c r="J26">
        <v>-4.0449350027596864E-2</v>
      </c>
    </row>
    <row r="27" spans="1:10">
      <c r="A27" s="28">
        <v>45987</v>
      </c>
      <c r="B27" s="29">
        <v>78.961500000000001</v>
      </c>
      <c r="C27" s="28">
        <f t="shared" si="1"/>
        <v>45962</v>
      </c>
      <c r="E27" s="28">
        <v>42767</v>
      </c>
      <c r="F27">
        <f t="shared" si="2"/>
        <v>58.539361111111106</v>
      </c>
      <c r="G27">
        <v>58.539361111111106</v>
      </c>
      <c r="H27">
        <f t="shared" si="0"/>
        <v>4.0696993674889663</v>
      </c>
      <c r="I27">
        <f t="shared" si="3"/>
        <v>-1.8457024943829836E-2</v>
      </c>
      <c r="J27">
        <v>-1.8457024943829836E-2</v>
      </c>
    </row>
    <row r="28" spans="1:10">
      <c r="A28" s="28">
        <v>45986</v>
      </c>
      <c r="B28" s="29">
        <v>78.920199999999994</v>
      </c>
      <c r="C28" s="28">
        <f t="shared" si="1"/>
        <v>45962</v>
      </c>
      <c r="E28" s="28">
        <v>42795</v>
      </c>
      <c r="F28">
        <f t="shared" si="2"/>
        <v>58.00663181818183</v>
      </c>
      <c r="G28">
        <v>58.00663181818183</v>
      </c>
      <c r="H28">
        <f t="shared" si="0"/>
        <v>4.060557345702696</v>
      </c>
      <c r="I28">
        <f t="shared" si="3"/>
        <v>-9.1420217862703268E-3</v>
      </c>
      <c r="J28">
        <v>-9.1420217862703268E-3</v>
      </c>
    </row>
    <row r="29" spans="1:10">
      <c r="A29" s="28">
        <v>45983</v>
      </c>
      <c r="B29" s="29">
        <v>79.024600000000007</v>
      </c>
      <c r="C29" s="28">
        <f t="shared" si="1"/>
        <v>45962</v>
      </c>
      <c r="E29" s="28">
        <v>42826</v>
      </c>
      <c r="F29">
        <f t="shared" si="2"/>
        <v>56.43561428571428</v>
      </c>
      <c r="G29">
        <v>56.43561428571428</v>
      </c>
      <c r="H29">
        <f t="shared" si="0"/>
        <v>4.0331004181842554</v>
      </c>
      <c r="I29">
        <f t="shared" si="3"/>
        <v>-2.7456927518440644E-2</v>
      </c>
      <c r="J29">
        <v>-2.7456927518440644E-2</v>
      </c>
    </row>
    <row r="30" spans="1:10">
      <c r="A30" s="28">
        <v>45982</v>
      </c>
      <c r="B30" s="29">
        <v>80.732100000000003</v>
      </c>
      <c r="C30" s="28">
        <f t="shared" si="1"/>
        <v>45962</v>
      </c>
      <c r="E30" s="28">
        <v>42856</v>
      </c>
      <c r="F30">
        <f t="shared" si="2"/>
        <v>56.950068421052634</v>
      </c>
      <c r="G30">
        <v>56.950068421052634</v>
      </c>
      <c r="H30">
        <f t="shared" si="0"/>
        <v>4.0421748913156943</v>
      </c>
      <c r="I30">
        <f t="shared" si="3"/>
        <v>9.0744731314389426E-3</v>
      </c>
      <c r="J30">
        <v>9.0744731314389426E-3</v>
      </c>
    </row>
    <row r="31" spans="1:10">
      <c r="A31" s="28">
        <v>45981</v>
      </c>
      <c r="B31" s="29">
        <v>80.944800000000001</v>
      </c>
      <c r="C31" s="28">
        <f t="shared" si="1"/>
        <v>45962</v>
      </c>
      <c r="E31" s="28">
        <v>42887</v>
      </c>
      <c r="F31">
        <f t="shared" si="2"/>
        <v>57.893176190476183</v>
      </c>
      <c r="G31">
        <v>57.893176190476183</v>
      </c>
      <c r="H31">
        <f t="shared" si="0"/>
        <v>4.058599522546726</v>
      </c>
      <c r="I31">
        <f t="shared" si="3"/>
        <v>1.6424631231031661E-2</v>
      </c>
      <c r="J31">
        <v>1.6424631231031661E-2</v>
      </c>
    </row>
    <row r="32" spans="1:10">
      <c r="A32" s="28">
        <v>45980</v>
      </c>
      <c r="B32" s="29">
        <v>81.054699999999997</v>
      </c>
      <c r="C32" s="28">
        <f t="shared" si="1"/>
        <v>45962</v>
      </c>
      <c r="E32" s="28">
        <v>42917</v>
      </c>
      <c r="F32">
        <f t="shared" si="2"/>
        <v>59.69267619047617</v>
      </c>
      <c r="G32">
        <v>59.69267619047617</v>
      </c>
      <c r="H32">
        <f t="shared" si="0"/>
        <v>4.0892093359966868</v>
      </c>
      <c r="I32">
        <f t="shared" si="3"/>
        <v>3.0609813449960832E-2</v>
      </c>
      <c r="J32">
        <v>3.0609813449960832E-2</v>
      </c>
    </row>
    <row r="33" spans="1:10">
      <c r="A33" s="28">
        <v>45979</v>
      </c>
      <c r="B33" s="29">
        <v>81.130200000000002</v>
      </c>
      <c r="C33" s="28">
        <f t="shared" si="1"/>
        <v>45962</v>
      </c>
      <c r="E33" s="28">
        <v>42948</v>
      </c>
      <c r="F33">
        <f t="shared" si="2"/>
        <v>59.612726086956506</v>
      </c>
      <c r="G33">
        <v>59.612726086956506</v>
      </c>
      <c r="H33">
        <f t="shared" si="0"/>
        <v>4.0878690762270313</v>
      </c>
      <c r="I33">
        <f t="shared" si="3"/>
        <v>-1.3402597696554608E-3</v>
      </c>
      <c r="J33">
        <v>-1.3402597696554608E-3</v>
      </c>
    </row>
    <row r="34" spans="1:10">
      <c r="A34" s="28">
        <v>45976</v>
      </c>
      <c r="B34" s="29">
        <v>81.127600000000001</v>
      </c>
      <c r="C34" s="28">
        <f t="shared" si="1"/>
        <v>45962</v>
      </c>
      <c r="E34" s="28">
        <v>42979</v>
      </c>
      <c r="F34">
        <f t="shared" si="2"/>
        <v>57.74469090909092</v>
      </c>
      <c r="G34">
        <v>57.74469090909092</v>
      </c>
      <c r="H34">
        <f t="shared" si="0"/>
        <v>4.0560314128657549</v>
      </c>
      <c r="I34">
        <f t="shared" si="3"/>
        <v>-3.1837663361276469E-2</v>
      </c>
      <c r="J34">
        <v>-3.1837663361276469E-2</v>
      </c>
    </row>
    <row r="35" spans="1:10">
      <c r="A35" s="28">
        <v>45975</v>
      </c>
      <c r="B35" s="29">
        <v>80.600999999999999</v>
      </c>
      <c r="C35" s="28">
        <f t="shared" si="1"/>
        <v>45962</v>
      </c>
      <c r="E35" s="28">
        <v>43009</v>
      </c>
      <c r="F35">
        <f t="shared" si="2"/>
        <v>57.698052380952397</v>
      </c>
      <c r="G35">
        <v>57.698052380952397</v>
      </c>
      <c r="H35">
        <f t="shared" si="0"/>
        <v>4.0552234187147729</v>
      </c>
      <c r="I35">
        <f t="shared" si="3"/>
        <v>-8.0799415098198324E-4</v>
      </c>
      <c r="J35">
        <v>-8.0799415098198324E-4</v>
      </c>
    </row>
    <row r="36" spans="1:10">
      <c r="A36" s="28">
        <v>45974</v>
      </c>
      <c r="B36" s="29">
        <v>81.285200000000003</v>
      </c>
      <c r="C36" s="28">
        <f t="shared" si="1"/>
        <v>45962</v>
      </c>
      <c r="E36" s="28">
        <v>43040</v>
      </c>
      <c r="F36">
        <f t="shared" si="2"/>
        <v>58.92655238095238</v>
      </c>
      <c r="G36">
        <v>58.92655238095238</v>
      </c>
      <c r="H36">
        <f t="shared" si="0"/>
        <v>4.0762917935061829</v>
      </c>
      <c r="I36">
        <f t="shared" si="3"/>
        <v>2.1068374791409994E-2</v>
      </c>
      <c r="J36">
        <v>2.1068374791409994E-2</v>
      </c>
    </row>
    <row r="37" spans="1:10">
      <c r="A37" s="28">
        <v>45973</v>
      </c>
      <c r="B37" s="29">
        <v>81.356200000000001</v>
      </c>
      <c r="C37" s="28">
        <f t="shared" si="1"/>
        <v>45962</v>
      </c>
      <c r="E37" s="28">
        <v>43070</v>
      </c>
      <c r="F37">
        <f t="shared" si="2"/>
        <v>58.573854545454537</v>
      </c>
      <c r="G37">
        <v>58.573854545454537</v>
      </c>
      <c r="H37">
        <f t="shared" si="0"/>
        <v>4.0702884288540302</v>
      </c>
      <c r="I37">
        <f t="shared" si="3"/>
        <v>-6.0033646521526762E-3</v>
      </c>
      <c r="J37">
        <v>-6.0033646521526762E-3</v>
      </c>
    </row>
    <row r="38" spans="1:10">
      <c r="A38" s="28">
        <v>45972</v>
      </c>
      <c r="B38" s="29">
        <v>81.013199999999998</v>
      </c>
      <c r="C38" s="28">
        <f t="shared" si="1"/>
        <v>45962</v>
      </c>
      <c r="E38" s="28">
        <v>43101</v>
      </c>
      <c r="F38">
        <f t="shared" si="2"/>
        <v>56.498099999999994</v>
      </c>
      <c r="G38">
        <v>56.498099999999994</v>
      </c>
      <c r="H38">
        <f t="shared" si="0"/>
        <v>4.0342070092683668</v>
      </c>
      <c r="I38">
        <f t="shared" si="3"/>
        <v>-3.6081419585663355E-2</v>
      </c>
      <c r="J38">
        <v>-3.6081419585663355E-2</v>
      </c>
    </row>
    <row r="39" spans="1:10">
      <c r="A39" s="28">
        <v>45969</v>
      </c>
      <c r="B39" s="29">
        <v>81.225700000000003</v>
      </c>
      <c r="C39" s="28">
        <f t="shared" si="1"/>
        <v>45962</v>
      </c>
      <c r="E39" s="28">
        <v>43132</v>
      </c>
      <c r="F39">
        <f t="shared" si="2"/>
        <v>56.806705263157887</v>
      </c>
      <c r="G39">
        <v>56.806705263157887</v>
      </c>
      <c r="H39">
        <f t="shared" si="0"/>
        <v>4.0396543691674136</v>
      </c>
      <c r="I39">
        <f t="shared" si="3"/>
        <v>5.4473598990467664E-3</v>
      </c>
      <c r="J39">
        <v>5.4473598990467664E-3</v>
      </c>
    </row>
    <row r="40" spans="1:10">
      <c r="A40" s="28">
        <v>45968</v>
      </c>
      <c r="B40" s="29">
        <v>81.376499999999993</v>
      </c>
      <c r="C40" s="28">
        <f t="shared" si="1"/>
        <v>45962</v>
      </c>
      <c r="E40" s="28">
        <v>43160</v>
      </c>
      <c r="F40">
        <f t="shared" si="2"/>
        <v>57.063604761904742</v>
      </c>
      <c r="G40">
        <v>57.063604761904742</v>
      </c>
      <c r="H40">
        <f t="shared" si="0"/>
        <v>4.0441665187268931</v>
      </c>
      <c r="I40">
        <f t="shared" si="3"/>
        <v>4.5121495594795391E-3</v>
      </c>
      <c r="J40">
        <v>4.5121495594795391E-3</v>
      </c>
    </row>
    <row r="41" spans="1:10">
      <c r="A41" s="28">
        <v>45967</v>
      </c>
      <c r="B41" s="29">
        <v>81.188500000000005</v>
      </c>
      <c r="C41" s="28">
        <f t="shared" si="1"/>
        <v>45962</v>
      </c>
      <c r="E41" s="28">
        <v>43191</v>
      </c>
      <c r="F41">
        <f t="shared" si="2"/>
        <v>60.769890476190476</v>
      </c>
      <c r="G41">
        <v>60.769890476190476</v>
      </c>
      <c r="H41">
        <f t="shared" si="0"/>
        <v>4.1070944438779167</v>
      </c>
      <c r="I41">
        <f t="shared" si="3"/>
        <v>6.2927925151023523E-2</v>
      </c>
      <c r="J41">
        <v>6.2927925151023523E-2</v>
      </c>
    </row>
    <row r="42" spans="1:10">
      <c r="A42" s="28">
        <v>45963</v>
      </c>
      <c r="B42" s="29">
        <v>80.886099999999999</v>
      </c>
      <c r="C42" s="28">
        <f t="shared" si="1"/>
        <v>45962</v>
      </c>
      <c r="E42" s="28">
        <v>43221</v>
      </c>
      <c r="F42">
        <f t="shared" si="2"/>
        <v>62.23090000000002</v>
      </c>
      <c r="G42">
        <v>62.23090000000002</v>
      </c>
      <c r="H42">
        <f t="shared" si="0"/>
        <v>4.130851660954451</v>
      </c>
      <c r="I42">
        <f t="shared" si="3"/>
        <v>2.3757217076534332E-2</v>
      </c>
      <c r="J42">
        <v>2.3757217076534332E-2</v>
      </c>
    </row>
    <row r="43" spans="1:10">
      <c r="A43" s="28">
        <v>45962</v>
      </c>
      <c r="B43" s="29">
        <v>80.9756</v>
      </c>
      <c r="C43" s="28">
        <f t="shared" si="1"/>
        <v>45962</v>
      </c>
      <c r="E43" s="28">
        <v>43252</v>
      </c>
      <c r="F43">
        <f t="shared" si="2"/>
        <v>62.768504761904772</v>
      </c>
      <c r="G43">
        <v>62.768504761904772</v>
      </c>
      <c r="H43">
        <f t="shared" si="0"/>
        <v>4.1394534311424964</v>
      </c>
      <c r="I43">
        <f t="shared" si="3"/>
        <v>8.6017701880454212E-3</v>
      </c>
      <c r="J43">
        <v>8.6017701880454212E-3</v>
      </c>
    </row>
    <row r="44" spans="1:10">
      <c r="A44" s="28">
        <v>45961</v>
      </c>
      <c r="B44" s="29">
        <v>80.503699999999995</v>
      </c>
      <c r="C44" s="28">
        <f t="shared" si="1"/>
        <v>45931</v>
      </c>
      <c r="E44" s="28">
        <v>43282</v>
      </c>
      <c r="F44">
        <f t="shared" si="2"/>
        <v>62.861947619047605</v>
      </c>
      <c r="G44">
        <v>62.861947619047605</v>
      </c>
      <c r="H44">
        <f t="shared" si="0"/>
        <v>4.1409410143295915</v>
      </c>
      <c r="I44">
        <f t="shared" si="3"/>
        <v>1.4875831870950762E-3</v>
      </c>
      <c r="J44">
        <v>1.4875831870950762E-3</v>
      </c>
    </row>
    <row r="45" spans="1:10">
      <c r="A45" s="28">
        <v>45960</v>
      </c>
      <c r="B45" s="29">
        <v>79.471500000000006</v>
      </c>
      <c r="C45" s="28">
        <f t="shared" si="1"/>
        <v>45931</v>
      </c>
      <c r="E45" s="28">
        <v>43313</v>
      </c>
      <c r="F45">
        <f t="shared" si="2"/>
        <v>66.076408695652177</v>
      </c>
      <c r="G45">
        <v>66.076408695652177</v>
      </c>
      <c r="H45">
        <f t="shared" si="0"/>
        <v>4.1908117799097395</v>
      </c>
      <c r="I45">
        <f t="shared" si="3"/>
        <v>4.9870765580148024E-2</v>
      </c>
      <c r="J45">
        <v>4.9870765580148024E-2</v>
      </c>
    </row>
    <row r="46" spans="1:10">
      <c r="A46" s="28">
        <v>45959</v>
      </c>
      <c r="B46" s="29">
        <v>79.817400000000006</v>
      </c>
      <c r="C46" s="28">
        <f t="shared" si="1"/>
        <v>45931</v>
      </c>
      <c r="E46" s="28">
        <v>43344</v>
      </c>
      <c r="F46">
        <f t="shared" si="2"/>
        <v>67.666095238095252</v>
      </c>
      <c r="G46">
        <v>67.666095238095252</v>
      </c>
      <c r="H46">
        <f t="shared" si="0"/>
        <v>4.2145852455808077</v>
      </c>
      <c r="I46">
        <f t="shared" si="3"/>
        <v>2.3773465671068195E-2</v>
      </c>
      <c r="J46">
        <v>2.3773465671068195E-2</v>
      </c>
    </row>
    <row r="47" spans="1:10">
      <c r="A47" s="28">
        <v>45958</v>
      </c>
      <c r="B47" s="29">
        <v>78.984800000000007</v>
      </c>
      <c r="C47" s="28">
        <f t="shared" si="1"/>
        <v>45931</v>
      </c>
      <c r="E47" s="28">
        <v>43374</v>
      </c>
      <c r="F47">
        <f t="shared" si="2"/>
        <v>65.854527272727267</v>
      </c>
      <c r="G47">
        <v>65.854527272727267</v>
      </c>
      <c r="H47">
        <f t="shared" si="0"/>
        <v>4.1874481771202916</v>
      </c>
      <c r="I47">
        <f t="shared" si="3"/>
        <v>-2.7137068460516112E-2</v>
      </c>
      <c r="J47">
        <v>-2.7137068460516112E-2</v>
      </c>
    </row>
    <row r="48" spans="1:10">
      <c r="A48" s="28">
        <v>45955</v>
      </c>
      <c r="B48" s="29">
        <v>80.971299999999999</v>
      </c>
      <c r="C48" s="28">
        <f t="shared" si="1"/>
        <v>45931</v>
      </c>
      <c r="E48" s="28">
        <v>43405</v>
      </c>
      <c r="F48">
        <f t="shared" si="2"/>
        <v>66.355680952380936</v>
      </c>
      <c r="G48">
        <v>66.355680952380936</v>
      </c>
      <c r="H48">
        <f t="shared" si="0"/>
        <v>4.1950293780983436</v>
      </c>
      <c r="I48">
        <f t="shared" si="3"/>
        <v>7.5812009780520384E-3</v>
      </c>
      <c r="J48">
        <v>7.5812009780520384E-3</v>
      </c>
    </row>
    <row r="49" spans="1:10">
      <c r="A49" s="28">
        <v>45954</v>
      </c>
      <c r="B49" s="29">
        <v>81.269000000000005</v>
      </c>
      <c r="C49" s="28">
        <f t="shared" si="1"/>
        <v>45931</v>
      </c>
      <c r="E49" s="28">
        <v>43435</v>
      </c>
      <c r="F49">
        <f t="shared" si="2"/>
        <v>67.335313636363651</v>
      </c>
      <c r="G49">
        <v>67.335313636363651</v>
      </c>
      <c r="H49">
        <f t="shared" si="0"/>
        <v>4.2096848187416605</v>
      </c>
      <c r="I49">
        <f t="shared" si="3"/>
        <v>1.4655440643316808E-2</v>
      </c>
      <c r="J49">
        <v>1.4655440643316808E-2</v>
      </c>
    </row>
    <row r="50" spans="1:10">
      <c r="A50" s="28">
        <v>45953</v>
      </c>
      <c r="B50" s="29">
        <v>81.654899999999998</v>
      </c>
      <c r="C50" s="28">
        <f t="shared" si="1"/>
        <v>45931</v>
      </c>
      <c r="E50" s="28">
        <v>43466</v>
      </c>
      <c r="F50">
        <f t="shared" si="2"/>
        <v>66.512543750000006</v>
      </c>
      <c r="G50">
        <v>66.512543750000006</v>
      </c>
      <c r="H50">
        <f t="shared" si="0"/>
        <v>4.1973905576933674</v>
      </c>
      <c r="I50">
        <f t="shared" si="3"/>
        <v>-1.2294261048293009E-2</v>
      </c>
      <c r="J50">
        <v>-1.2294261048293009E-2</v>
      </c>
    </row>
    <row r="51" spans="1:10">
      <c r="A51" s="28">
        <v>45952</v>
      </c>
      <c r="B51" s="29">
        <v>81.347499999999997</v>
      </c>
      <c r="C51" s="28">
        <f t="shared" si="1"/>
        <v>45931</v>
      </c>
      <c r="E51" s="28">
        <v>43497</v>
      </c>
      <c r="F51">
        <f t="shared" si="2"/>
        <v>65.810525000000013</v>
      </c>
      <c r="G51">
        <v>65.810525000000013</v>
      </c>
      <c r="H51">
        <f t="shared" si="0"/>
        <v>4.1867797799472246</v>
      </c>
      <c r="I51">
        <f t="shared" si="3"/>
        <v>-1.061077774614283E-2</v>
      </c>
      <c r="J51">
        <v>-1.061077774614283E-2</v>
      </c>
    </row>
    <row r="52" spans="1:10">
      <c r="A52" s="28">
        <v>45951</v>
      </c>
      <c r="B52" s="29">
        <v>81.358199999999997</v>
      </c>
      <c r="C52" s="28">
        <f t="shared" si="1"/>
        <v>45931</v>
      </c>
      <c r="E52" s="28">
        <v>43525</v>
      </c>
      <c r="F52">
        <f t="shared" si="2"/>
        <v>65.09225714285715</v>
      </c>
      <c r="G52">
        <v>65.09225714285715</v>
      </c>
      <c r="H52">
        <f t="shared" si="0"/>
        <v>4.1758056042431111</v>
      </c>
      <c r="I52">
        <f t="shared" si="3"/>
        <v>-1.097417570411352E-2</v>
      </c>
      <c r="J52">
        <v>-1.097417570411352E-2</v>
      </c>
    </row>
    <row r="53" spans="1:10">
      <c r="A53" s="28">
        <v>45948</v>
      </c>
      <c r="B53" s="29">
        <v>80.983400000000003</v>
      </c>
      <c r="C53" s="28">
        <f t="shared" si="1"/>
        <v>45931</v>
      </c>
      <c r="E53" s="28">
        <v>43556</v>
      </c>
      <c r="F53">
        <f t="shared" si="2"/>
        <v>64.603104761904774</v>
      </c>
      <c r="G53">
        <v>64.603104761904774</v>
      </c>
      <c r="H53">
        <f t="shared" si="0"/>
        <v>4.1682624709634428</v>
      </c>
      <c r="I53">
        <f t="shared" si="3"/>
        <v>-7.5431332796682682E-3</v>
      </c>
      <c r="J53">
        <v>-7.5431332796682682E-3</v>
      </c>
    </row>
    <row r="54" spans="1:10">
      <c r="A54" s="28">
        <v>45947</v>
      </c>
      <c r="B54" s="29">
        <v>79.0839</v>
      </c>
      <c r="C54" s="28">
        <f t="shared" si="1"/>
        <v>45931</v>
      </c>
      <c r="E54" s="28">
        <v>43586</v>
      </c>
      <c r="F54">
        <f t="shared" si="2"/>
        <v>64.818705555555553</v>
      </c>
      <c r="G54">
        <v>64.818705555555553</v>
      </c>
      <c r="H54">
        <f t="shared" si="0"/>
        <v>4.1715942276830162</v>
      </c>
      <c r="I54">
        <f t="shared" si="3"/>
        <v>3.3317567195734199E-3</v>
      </c>
      <c r="J54">
        <v>3.3317567195734199E-3</v>
      </c>
    </row>
    <row r="55" spans="1:10">
      <c r="A55" s="28">
        <v>45946</v>
      </c>
      <c r="B55" s="29">
        <v>78.838999999999999</v>
      </c>
      <c r="C55" s="28">
        <f t="shared" si="1"/>
        <v>45931</v>
      </c>
      <c r="E55" s="28">
        <v>43617</v>
      </c>
      <c r="F55">
        <f t="shared" si="2"/>
        <v>64.169049999999999</v>
      </c>
      <c r="G55">
        <v>64.169049999999999</v>
      </c>
      <c r="H55">
        <f t="shared" si="0"/>
        <v>4.1615210072270932</v>
      </c>
      <c r="I55">
        <f t="shared" si="3"/>
        <v>-1.0073220455923071E-2</v>
      </c>
      <c r="J55">
        <v>-1.0073220455923071E-2</v>
      </c>
    </row>
    <row r="56" spans="1:10">
      <c r="A56" s="28">
        <v>45945</v>
      </c>
      <c r="B56" s="29">
        <v>79.9589</v>
      </c>
      <c r="C56" s="28">
        <f t="shared" si="1"/>
        <v>45931</v>
      </c>
      <c r="E56" s="28">
        <v>43647</v>
      </c>
      <c r="F56">
        <f t="shared" si="2"/>
        <v>63.222681818181826</v>
      </c>
      <c r="G56">
        <v>63.222681818181826</v>
      </c>
      <c r="H56">
        <f t="shared" si="0"/>
        <v>4.1466631262955627</v>
      </c>
      <c r="I56">
        <f t="shared" si="3"/>
        <v>-1.4857880931530509E-2</v>
      </c>
      <c r="J56">
        <v>-1.4857880931530509E-2</v>
      </c>
    </row>
    <row r="57" spans="1:10">
      <c r="A57" s="28">
        <v>45944</v>
      </c>
      <c r="B57" s="29">
        <v>80.854799999999997</v>
      </c>
      <c r="C57" s="28">
        <f t="shared" si="1"/>
        <v>45931</v>
      </c>
      <c r="E57" s="28">
        <v>43678</v>
      </c>
      <c r="F57">
        <f t="shared" si="2"/>
        <v>65.587482608695652</v>
      </c>
      <c r="G57">
        <v>65.587482608695652</v>
      </c>
      <c r="H57">
        <f t="shared" si="0"/>
        <v>4.1833848638509217</v>
      </c>
      <c r="I57">
        <f t="shared" si="3"/>
        <v>3.6721737555359013E-2</v>
      </c>
      <c r="J57">
        <v>3.6721737555359013E-2</v>
      </c>
    </row>
    <row r="58" spans="1:10">
      <c r="A58" s="28">
        <v>45941</v>
      </c>
      <c r="B58" s="29">
        <v>81.189800000000005</v>
      </c>
      <c r="C58" s="28">
        <f t="shared" si="1"/>
        <v>45931</v>
      </c>
      <c r="E58" s="28">
        <v>43709</v>
      </c>
      <c r="F58">
        <f t="shared" si="2"/>
        <v>64.958704999999995</v>
      </c>
      <c r="G58">
        <v>64.958704999999995</v>
      </c>
      <c r="H58">
        <f t="shared" si="0"/>
        <v>4.1737517603098828</v>
      </c>
      <c r="I58">
        <f t="shared" si="3"/>
        <v>-9.6331035410388566E-3</v>
      </c>
      <c r="J58">
        <v>-9.6331035410388566E-3</v>
      </c>
    </row>
    <row r="59" spans="1:10">
      <c r="A59" s="28">
        <v>45940</v>
      </c>
      <c r="B59" s="29">
        <v>81.410300000000007</v>
      </c>
      <c r="C59" s="28">
        <f t="shared" si="1"/>
        <v>45931</v>
      </c>
      <c r="E59" s="28">
        <v>43739</v>
      </c>
      <c r="F59">
        <f t="shared" si="2"/>
        <v>64.37499130434783</v>
      </c>
      <c r="G59">
        <v>64.37499130434783</v>
      </c>
      <c r="H59">
        <f t="shared" si="0"/>
        <v>4.1647252239057995</v>
      </c>
      <c r="I59">
        <f t="shared" si="3"/>
        <v>-9.0265364040833518E-3</v>
      </c>
      <c r="J59">
        <v>-9.0265364040833518E-3</v>
      </c>
    </row>
    <row r="60" spans="1:10">
      <c r="A60" s="28">
        <v>45939</v>
      </c>
      <c r="B60" s="29">
        <v>81.547799999999995</v>
      </c>
      <c r="C60" s="28">
        <f t="shared" si="1"/>
        <v>45931</v>
      </c>
      <c r="E60" s="28">
        <v>43770</v>
      </c>
      <c r="F60">
        <f t="shared" si="2"/>
        <v>63.867119047619042</v>
      </c>
      <c r="G60">
        <v>63.867119047619042</v>
      </c>
      <c r="H60">
        <f t="shared" si="0"/>
        <v>4.1568046600526314</v>
      </c>
      <c r="I60">
        <f t="shared" si="3"/>
        <v>-7.9205638531680833E-3</v>
      </c>
      <c r="J60">
        <v>-7.9205638531680833E-3</v>
      </c>
    </row>
    <row r="61" spans="1:10">
      <c r="A61" s="28">
        <v>45938</v>
      </c>
      <c r="B61" s="29">
        <v>81.934899999999999</v>
      </c>
      <c r="C61" s="28">
        <f t="shared" si="1"/>
        <v>45931</v>
      </c>
      <c r="E61" s="28">
        <v>43800</v>
      </c>
      <c r="F61">
        <f t="shared" si="2"/>
        <v>62.932538095238087</v>
      </c>
      <c r="G61">
        <v>62.932538095238087</v>
      </c>
      <c r="H61">
        <f t="shared" si="0"/>
        <v>4.1420633287649062</v>
      </c>
      <c r="I61">
        <f t="shared" si="3"/>
        <v>-1.4741331287725146E-2</v>
      </c>
      <c r="J61">
        <v>-1.4741331287725146E-2</v>
      </c>
    </row>
    <row r="62" spans="1:10">
      <c r="A62" s="28">
        <v>45937</v>
      </c>
      <c r="B62" s="29">
        <v>83</v>
      </c>
      <c r="C62" s="28">
        <f t="shared" si="1"/>
        <v>45931</v>
      </c>
      <c r="E62" s="28">
        <v>43831</v>
      </c>
      <c r="F62">
        <f t="shared" si="2"/>
        <v>61.812147058823527</v>
      </c>
      <c r="G62">
        <v>61.812147058823527</v>
      </c>
      <c r="H62">
        <f t="shared" si="0"/>
        <v>4.1240998994992646</v>
      </c>
      <c r="I62">
        <f t="shared" si="3"/>
        <v>-1.7963429265641651E-2</v>
      </c>
      <c r="J62">
        <v>-1.7963429265641651E-2</v>
      </c>
    </row>
    <row r="63" spans="1:10">
      <c r="A63" s="28">
        <v>45934</v>
      </c>
      <c r="B63" s="29">
        <v>81.896900000000002</v>
      </c>
      <c r="C63" s="28">
        <f t="shared" si="1"/>
        <v>45931</v>
      </c>
      <c r="E63" s="28">
        <v>43862</v>
      </c>
      <c r="F63">
        <f t="shared" si="2"/>
        <v>63.979749999999989</v>
      </c>
      <c r="G63">
        <v>63.979749999999989</v>
      </c>
      <c r="H63">
        <f t="shared" si="0"/>
        <v>4.1585666270426529</v>
      </c>
      <c r="I63">
        <f t="shared" si="3"/>
        <v>3.4466727543388309E-2</v>
      </c>
      <c r="J63">
        <v>3.4466727543388309E-2</v>
      </c>
    </row>
    <row r="64" spans="1:10">
      <c r="A64" s="28">
        <v>45933</v>
      </c>
      <c r="B64" s="29">
        <v>81.008499999999998</v>
      </c>
      <c r="C64" s="28">
        <f t="shared" si="1"/>
        <v>45931</v>
      </c>
      <c r="E64" s="28">
        <v>43891</v>
      </c>
      <c r="F64">
        <f t="shared" si="2"/>
        <v>73.719442105263155</v>
      </c>
      <c r="G64">
        <v>73.719442105263155</v>
      </c>
      <c r="H64">
        <f t="shared" si="0"/>
        <v>4.3002665650201815</v>
      </c>
      <c r="I64">
        <f t="shared" si="3"/>
        <v>0.14169993797752856</v>
      </c>
      <c r="J64">
        <v>0.14169993797752856</v>
      </c>
    </row>
    <row r="65" spans="1:10">
      <c r="A65" s="28">
        <v>45932</v>
      </c>
      <c r="B65" s="29">
        <v>81.496700000000004</v>
      </c>
      <c r="C65" s="28">
        <f t="shared" si="1"/>
        <v>45931</v>
      </c>
      <c r="E65" s="28">
        <v>43922</v>
      </c>
      <c r="F65">
        <f t="shared" si="2"/>
        <v>74.763533333333342</v>
      </c>
      <c r="G65">
        <v>74.763533333333342</v>
      </c>
      <c r="H65">
        <f t="shared" si="0"/>
        <v>4.3143302438211659</v>
      </c>
      <c r="I65">
        <f t="shared" si="3"/>
        <v>1.4063678800984469E-2</v>
      </c>
      <c r="J65">
        <v>1.4063678800984469E-2</v>
      </c>
    </row>
    <row r="66" spans="1:10">
      <c r="A66" s="28">
        <v>45931</v>
      </c>
      <c r="B66" s="29">
        <v>82.608400000000003</v>
      </c>
      <c r="C66" s="28">
        <f t="shared" si="1"/>
        <v>45931</v>
      </c>
      <c r="E66" s="28">
        <v>43952</v>
      </c>
      <c r="F66">
        <f t="shared" si="2"/>
        <v>72.500294444444449</v>
      </c>
      <c r="G66">
        <v>72.500294444444449</v>
      </c>
      <c r="H66">
        <f t="shared" ref="H66:H129" si="4">LN(G66)</f>
        <v>4.2835906231550638</v>
      </c>
      <c r="I66">
        <f t="shared" si="3"/>
        <v>-3.0739620666102141E-2</v>
      </c>
      <c r="J66">
        <v>-3.0739620666102141E-2</v>
      </c>
    </row>
    <row r="67" spans="1:10">
      <c r="A67" s="28">
        <v>45930</v>
      </c>
      <c r="B67" s="29">
        <v>82.867599999999996</v>
      </c>
      <c r="C67" s="28">
        <f t="shared" ref="C67:C130" si="5">DATE(YEAR(A67),MONTH(A67),1)</f>
        <v>45901</v>
      </c>
      <c r="E67" s="28">
        <v>43983</v>
      </c>
      <c r="F67">
        <f t="shared" ref="F67:F130" si="6">AVERAGEIFS($B:$B,$C:$C,E67)</f>
        <v>69.196714999999998</v>
      </c>
      <c r="G67">
        <v>69.196714999999998</v>
      </c>
      <c r="H67">
        <f t="shared" si="4"/>
        <v>4.2369533903985701</v>
      </c>
      <c r="I67">
        <f t="shared" ref="I67:I130" si="7">H67-H66</f>
        <v>-4.6637232756493674E-2</v>
      </c>
      <c r="J67">
        <v>-4.6637232756493674E-2</v>
      </c>
    </row>
    <row r="68" spans="1:10">
      <c r="A68" s="28">
        <v>45927</v>
      </c>
      <c r="B68" s="29">
        <v>83.611800000000002</v>
      </c>
      <c r="C68" s="28">
        <f t="shared" si="5"/>
        <v>45901</v>
      </c>
      <c r="E68" s="28">
        <v>44013</v>
      </c>
      <c r="F68">
        <f t="shared" si="6"/>
        <v>71.294073913043462</v>
      </c>
      <c r="G68">
        <v>71.294073913043462</v>
      </c>
      <c r="H68">
        <f t="shared" si="4"/>
        <v>4.2668132091419473</v>
      </c>
      <c r="I68">
        <f t="shared" si="7"/>
        <v>2.9859818743377176E-2</v>
      </c>
      <c r="J68">
        <v>2.9859818743377176E-2</v>
      </c>
    </row>
    <row r="69" spans="1:10">
      <c r="A69" s="28">
        <v>45926</v>
      </c>
      <c r="B69" s="29">
        <v>83.606899999999996</v>
      </c>
      <c r="C69" s="28">
        <f t="shared" si="5"/>
        <v>45901</v>
      </c>
      <c r="E69" s="28">
        <v>44044</v>
      </c>
      <c r="F69">
        <f t="shared" si="6"/>
        <v>73.798109523809529</v>
      </c>
      <c r="G69">
        <v>73.798109523809529</v>
      </c>
      <c r="H69">
        <f t="shared" si="4"/>
        <v>4.3013331150697836</v>
      </c>
      <c r="I69">
        <f t="shared" si="7"/>
        <v>3.451990592783627E-2</v>
      </c>
      <c r="J69">
        <v>3.451990592783627E-2</v>
      </c>
    </row>
    <row r="70" spans="1:10">
      <c r="A70" s="28">
        <v>45925</v>
      </c>
      <c r="B70" s="29">
        <v>83.991399999999999</v>
      </c>
      <c r="C70" s="28">
        <f t="shared" si="5"/>
        <v>45901</v>
      </c>
      <c r="E70" s="28">
        <v>44075</v>
      </c>
      <c r="F70">
        <f t="shared" si="6"/>
        <v>75.727986363636361</v>
      </c>
      <c r="G70">
        <v>75.727986363636361</v>
      </c>
      <c r="H70">
        <f t="shared" si="4"/>
        <v>4.3271477930935767</v>
      </c>
      <c r="I70">
        <f t="shared" si="7"/>
        <v>2.5814678023793114E-2</v>
      </c>
      <c r="J70">
        <v>2.5814678023793114E-2</v>
      </c>
    </row>
    <row r="71" spans="1:10">
      <c r="A71" s="28">
        <v>45924</v>
      </c>
      <c r="B71" s="29">
        <v>83.3506</v>
      </c>
      <c r="C71" s="28">
        <f t="shared" si="5"/>
        <v>45901</v>
      </c>
      <c r="E71" s="28">
        <v>44105</v>
      </c>
      <c r="F71">
        <f t="shared" si="6"/>
        <v>77.663547826086941</v>
      </c>
      <c r="G71">
        <v>77.663547826086941</v>
      </c>
      <c r="H71">
        <f t="shared" si="4"/>
        <v>4.3523860073456255</v>
      </c>
      <c r="I71">
        <f t="shared" si="7"/>
        <v>2.5238214252048863E-2</v>
      </c>
      <c r="J71">
        <v>2.5238214252048863E-2</v>
      </c>
    </row>
    <row r="72" spans="1:10">
      <c r="A72" s="28">
        <v>45923</v>
      </c>
      <c r="B72" s="29">
        <v>84.018600000000006</v>
      </c>
      <c r="C72" s="28">
        <f t="shared" si="5"/>
        <v>45901</v>
      </c>
      <c r="E72" s="28">
        <v>44136</v>
      </c>
      <c r="F72">
        <f t="shared" si="6"/>
        <v>76.839468421052629</v>
      </c>
      <c r="G72">
        <v>76.839468421052629</v>
      </c>
      <c r="H72">
        <f t="shared" si="4"/>
        <v>4.3417184198786734</v>
      </c>
      <c r="I72">
        <f t="shared" si="7"/>
        <v>-1.0667587466952178E-2</v>
      </c>
      <c r="J72">
        <v>-1.0667587466952178E-2</v>
      </c>
    </row>
    <row r="73" spans="1:10">
      <c r="A73" s="28">
        <v>45920</v>
      </c>
      <c r="B73" s="29">
        <v>83.590400000000002</v>
      </c>
      <c r="C73" s="28">
        <f t="shared" si="5"/>
        <v>45901</v>
      </c>
      <c r="E73" s="28">
        <v>44166</v>
      </c>
      <c r="F73">
        <f t="shared" si="6"/>
        <v>74.216704347826095</v>
      </c>
      <c r="G73">
        <v>74.216704347826095</v>
      </c>
      <c r="H73">
        <f t="shared" si="4"/>
        <v>4.3069892508177672</v>
      </c>
      <c r="I73">
        <f t="shared" si="7"/>
        <v>-3.4729169060906173E-2</v>
      </c>
      <c r="J73">
        <v>-3.4729169060906173E-2</v>
      </c>
    </row>
    <row r="74" spans="1:10">
      <c r="A74" s="28">
        <v>45919</v>
      </c>
      <c r="B74" s="29">
        <v>83.172499999999999</v>
      </c>
      <c r="C74" s="28">
        <f t="shared" si="5"/>
        <v>45901</v>
      </c>
      <c r="E74" s="28">
        <v>44197</v>
      </c>
      <c r="F74">
        <f t="shared" si="6"/>
        <v>74.392475000000005</v>
      </c>
      <c r="G74">
        <v>74.392475000000005</v>
      </c>
      <c r="H74">
        <f t="shared" si="4"/>
        <v>4.3093547942506829</v>
      </c>
      <c r="I74">
        <f t="shared" si="7"/>
        <v>2.3655434329157288E-3</v>
      </c>
      <c r="J74">
        <v>2.3655434329157288E-3</v>
      </c>
    </row>
    <row r="75" spans="1:10">
      <c r="A75" s="28">
        <v>45918</v>
      </c>
      <c r="B75" s="29">
        <v>82.998699999999999</v>
      </c>
      <c r="C75" s="28">
        <f t="shared" si="5"/>
        <v>45901</v>
      </c>
      <c r="E75" s="28">
        <v>44228</v>
      </c>
      <c r="F75">
        <f t="shared" si="6"/>
        <v>74.316815789473665</v>
      </c>
      <c r="G75">
        <v>74.316815789473665</v>
      </c>
      <c r="H75">
        <f t="shared" si="4"/>
        <v>4.3083372489896874</v>
      </c>
      <c r="I75">
        <f t="shared" si="7"/>
        <v>-1.0175452609955116E-3</v>
      </c>
      <c r="J75">
        <v>-1.0175452609955116E-3</v>
      </c>
    </row>
    <row r="76" spans="1:10">
      <c r="A76" s="28">
        <v>45917</v>
      </c>
      <c r="B76" s="29">
        <v>82.835899999999995</v>
      </c>
      <c r="C76" s="28">
        <f t="shared" si="5"/>
        <v>45901</v>
      </c>
      <c r="E76" s="28">
        <v>44256</v>
      </c>
      <c r="F76">
        <f t="shared" si="6"/>
        <v>74.397133333333315</v>
      </c>
      <c r="G76">
        <v>74.397133333333315</v>
      </c>
      <c r="H76">
        <f t="shared" si="4"/>
        <v>4.309417410630779</v>
      </c>
      <c r="I76">
        <f t="shared" si="7"/>
        <v>1.0801616410915926E-3</v>
      </c>
      <c r="J76">
        <v>1.0801616410915926E-3</v>
      </c>
    </row>
    <row r="77" spans="1:10">
      <c r="A77" s="28">
        <v>45916</v>
      </c>
      <c r="B77" s="29">
        <v>83.071799999999996</v>
      </c>
      <c r="C77" s="28">
        <f t="shared" si="5"/>
        <v>45901</v>
      </c>
      <c r="E77" s="28">
        <v>44287</v>
      </c>
      <c r="F77">
        <f t="shared" si="6"/>
        <v>76.143931818181827</v>
      </c>
      <c r="G77">
        <v>76.143931818181827</v>
      </c>
      <c r="H77">
        <f t="shared" si="4"/>
        <v>4.3326253889457762</v>
      </c>
      <c r="I77">
        <f t="shared" si="7"/>
        <v>2.3207978314997213E-2</v>
      </c>
      <c r="J77">
        <v>2.3207978314997213E-2</v>
      </c>
    </row>
    <row r="78" spans="1:10">
      <c r="A78" s="28">
        <v>45913</v>
      </c>
      <c r="B78" s="29">
        <v>84.379800000000003</v>
      </c>
      <c r="C78" s="28">
        <f t="shared" si="5"/>
        <v>45901</v>
      </c>
      <c r="E78" s="28">
        <v>44317</v>
      </c>
      <c r="F78">
        <f t="shared" si="6"/>
        <v>74.004273684210517</v>
      </c>
      <c r="G78">
        <v>74.004273684210517</v>
      </c>
      <c r="H78">
        <f t="shared" si="4"/>
        <v>4.3041228440258905</v>
      </c>
      <c r="I78">
        <f t="shared" si="7"/>
        <v>-2.8502544919885686E-2</v>
      </c>
      <c r="J78">
        <v>-2.8502544919885686E-2</v>
      </c>
    </row>
    <row r="79" spans="1:10">
      <c r="A79" s="28">
        <v>45912</v>
      </c>
      <c r="B79" s="29">
        <v>85.664699999999996</v>
      </c>
      <c r="C79" s="28">
        <f t="shared" si="5"/>
        <v>45901</v>
      </c>
      <c r="E79" s="28">
        <v>44348</v>
      </c>
      <c r="F79">
        <f t="shared" si="6"/>
        <v>72.616857142857143</v>
      </c>
      <c r="G79">
        <v>72.616857142857143</v>
      </c>
      <c r="H79">
        <f t="shared" si="4"/>
        <v>4.2851970869287221</v>
      </c>
      <c r="I79">
        <f t="shared" si="7"/>
        <v>-1.8925757097168372E-2</v>
      </c>
      <c r="J79">
        <v>-1.8925757097168372E-2</v>
      </c>
    </row>
    <row r="80" spans="1:10">
      <c r="A80" s="28">
        <v>45911</v>
      </c>
      <c r="B80" s="29">
        <v>84.921099999999996</v>
      </c>
      <c r="C80" s="28">
        <f t="shared" si="5"/>
        <v>45901</v>
      </c>
      <c r="E80" s="28">
        <v>44378</v>
      </c>
      <c r="F80">
        <f t="shared" si="6"/>
        <v>73.889891304347842</v>
      </c>
      <c r="G80">
        <v>73.889891304347842</v>
      </c>
      <c r="H80">
        <f t="shared" si="4"/>
        <v>4.3025760297526183</v>
      </c>
      <c r="I80">
        <f t="shared" si="7"/>
        <v>1.7378942823896182E-2</v>
      </c>
      <c r="J80">
        <v>1.7378942823896182E-2</v>
      </c>
    </row>
    <row r="81" spans="1:10">
      <c r="A81" s="28">
        <v>45910</v>
      </c>
      <c r="B81" s="29">
        <v>83.242500000000007</v>
      </c>
      <c r="C81" s="28">
        <f t="shared" si="5"/>
        <v>45901</v>
      </c>
      <c r="E81" s="28">
        <v>44409</v>
      </c>
      <c r="F81">
        <f t="shared" si="6"/>
        <v>73.582733333333337</v>
      </c>
      <c r="G81">
        <v>73.582733333333337</v>
      </c>
      <c r="H81">
        <f t="shared" si="4"/>
        <v>4.2984103967623302</v>
      </c>
      <c r="I81">
        <f t="shared" si="7"/>
        <v>-4.1656329902881595E-3</v>
      </c>
      <c r="J81">
        <v>-4.1656329902881595E-3</v>
      </c>
    </row>
    <row r="82" spans="1:10">
      <c r="A82" s="28">
        <v>45909</v>
      </c>
      <c r="B82" s="29">
        <v>82.339699999999993</v>
      </c>
      <c r="C82" s="28">
        <f t="shared" si="5"/>
        <v>45901</v>
      </c>
      <c r="E82" s="28">
        <v>44440</v>
      </c>
      <c r="F82">
        <f t="shared" si="6"/>
        <v>72.926218181818172</v>
      </c>
      <c r="G82">
        <v>72.926218181818172</v>
      </c>
      <c r="H82">
        <f t="shared" si="4"/>
        <v>4.2894482201986763</v>
      </c>
      <c r="I82">
        <f t="shared" si="7"/>
        <v>-8.9621765636538342E-3</v>
      </c>
      <c r="J82">
        <v>-8.9621765636538342E-3</v>
      </c>
    </row>
    <row r="83" spans="1:10">
      <c r="A83" s="28">
        <v>45906</v>
      </c>
      <c r="B83" s="29">
        <v>81.555599999999998</v>
      </c>
      <c r="C83" s="28">
        <f t="shared" si="5"/>
        <v>45901</v>
      </c>
      <c r="E83" s="28">
        <v>44470</v>
      </c>
      <c r="F83">
        <f t="shared" si="6"/>
        <v>71.450090909090903</v>
      </c>
      <c r="G83">
        <v>71.450090909090903</v>
      </c>
      <c r="H83">
        <f t="shared" si="4"/>
        <v>4.2689991767206363</v>
      </c>
      <c r="I83">
        <f t="shared" si="7"/>
        <v>-2.0449043478039997E-2</v>
      </c>
      <c r="J83">
        <v>-2.0449043478039997E-2</v>
      </c>
    </row>
    <row r="84" spans="1:10">
      <c r="A84" s="28">
        <v>45905</v>
      </c>
      <c r="B84" s="29">
        <v>81.297700000000006</v>
      </c>
      <c r="C84" s="28">
        <f t="shared" si="5"/>
        <v>45901</v>
      </c>
      <c r="E84" s="28">
        <v>44501</v>
      </c>
      <c r="F84">
        <f t="shared" si="6"/>
        <v>72.698910526315771</v>
      </c>
      <c r="G84">
        <v>72.698910526315771</v>
      </c>
      <c r="H84">
        <f t="shared" si="4"/>
        <v>4.2863263985443201</v>
      </c>
      <c r="I84">
        <f t="shared" si="7"/>
        <v>1.7327221823683736E-2</v>
      </c>
      <c r="J84">
        <v>1.7327221823683736E-2</v>
      </c>
    </row>
    <row r="85" spans="1:10">
      <c r="A85" s="28">
        <v>45904</v>
      </c>
      <c r="B85" s="29">
        <v>80.848799999999997</v>
      </c>
      <c r="C85" s="28">
        <f t="shared" si="5"/>
        <v>45901</v>
      </c>
      <c r="E85" s="28">
        <v>44531</v>
      </c>
      <c r="F85">
        <f t="shared" si="6"/>
        <v>73.769313043478249</v>
      </c>
      <c r="G85">
        <v>73.769313043478249</v>
      </c>
      <c r="H85">
        <f t="shared" si="4"/>
        <v>4.3009428327134769</v>
      </c>
      <c r="I85">
        <f t="shared" si="7"/>
        <v>1.4616434169156811E-2</v>
      </c>
      <c r="J85">
        <v>1.4616434169156811E-2</v>
      </c>
    </row>
    <row r="86" spans="1:10">
      <c r="A86" s="28">
        <v>45903</v>
      </c>
      <c r="B86" s="29">
        <v>80.594700000000003</v>
      </c>
      <c r="C86" s="28">
        <f t="shared" si="5"/>
        <v>45901</v>
      </c>
      <c r="E86" s="28">
        <v>44562</v>
      </c>
      <c r="F86">
        <f t="shared" si="6"/>
        <v>76.594746666666666</v>
      </c>
      <c r="G86">
        <v>76.594746666666666</v>
      </c>
      <c r="H86">
        <f t="shared" si="4"/>
        <v>4.3385284930196271</v>
      </c>
      <c r="I86">
        <f t="shared" si="7"/>
        <v>3.7585660306150181E-2</v>
      </c>
      <c r="J86">
        <v>3.7585660306150181E-2</v>
      </c>
    </row>
    <row r="87" spans="1:10">
      <c r="A87" s="28">
        <v>45902</v>
      </c>
      <c r="B87" s="29">
        <v>80.426100000000005</v>
      </c>
      <c r="C87" s="28">
        <f t="shared" si="5"/>
        <v>45901</v>
      </c>
      <c r="E87" s="28">
        <v>44593</v>
      </c>
      <c r="F87">
        <f t="shared" si="6"/>
        <v>77.169373684210527</v>
      </c>
      <c r="G87">
        <v>77.169373684210527</v>
      </c>
      <c r="H87">
        <f t="shared" si="4"/>
        <v>4.3460026643838425</v>
      </c>
      <c r="I87">
        <f t="shared" si="7"/>
        <v>7.474171364215465E-3</v>
      </c>
      <c r="J87">
        <v>7.474171364215465E-3</v>
      </c>
    </row>
    <row r="88" spans="1:10">
      <c r="A88" s="28">
        <v>45899</v>
      </c>
      <c r="B88" s="29">
        <v>80.331599999999995</v>
      </c>
      <c r="C88" s="28">
        <f t="shared" si="5"/>
        <v>45870</v>
      </c>
      <c r="E88" s="28">
        <v>44621</v>
      </c>
      <c r="F88">
        <f t="shared" si="6"/>
        <v>103.47004545454546</v>
      </c>
      <c r="G88">
        <v>103.47004545454546</v>
      </c>
      <c r="H88">
        <f t="shared" si="4"/>
        <v>4.6392821549184484</v>
      </c>
      <c r="I88">
        <f t="shared" si="7"/>
        <v>0.29327949053460589</v>
      </c>
      <c r="J88">
        <v>0.29327949053460589</v>
      </c>
    </row>
    <row r="89" spans="1:10">
      <c r="A89" s="28">
        <v>45898</v>
      </c>
      <c r="B89" s="29">
        <v>80.291799999999995</v>
      </c>
      <c r="C89" s="28">
        <f t="shared" si="5"/>
        <v>45870</v>
      </c>
      <c r="E89" s="28">
        <v>44652</v>
      </c>
      <c r="F89">
        <f t="shared" si="6"/>
        <v>77.899186363636375</v>
      </c>
      <c r="G89">
        <v>77.899186363636375</v>
      </c>
      <c r="H89">
        <f t="shared" si="4"/>
        <v>4.3554155081961801</v>
      </c>
      <c r="I89">
        <f t="shared" si="7"/>
        <v>-0.28386664672226836</v>
      </c>
      <c r="J89">
        <v>-0.28386664672226836</v>
      </c>
    </row>
    <row r="90" spans="1:10">
      <c r="A90" s="28">
        <v>45897</v>
      </c>
      <c r="B90" s="29">
        <v>80.442099999999996</v>
      </c>
      <c r="C90" s="28">
        <f t="shared" si="5"/>
        <v>45870</v>
      </c>
      <c r="E90" s="28">
        <v>44682</v>
      </c>
      <c r="F90">
        <f t="shared" si="6"/>
        <v>63.312741176470595</v>
      </c>
      <c r="G90">
        <v>63.312741176470595</v>
      </c>
      <c r="H90">
        <f t="shared" si="4"/>
        <v>4.1480865913042422</v>
      </c>
      <c r="I90">
        <f t="shared" si="7"/>
        <v>-0.20732891689193789</v>
      </c>
      <c r="J90">
        <v>-0.20732891689193789</v>
      </c>
    </row>
    <row r="91" spans="1:10">
      <c r="A91" s="28">
        <v>45896</v>
      </c>
      <c r="B91" s="29">
        <v>80.526799999999994</v>
      </c>
      <c r="C91" s="28">
        <f t="shared" si="5"/>
        <v>45870</v>
      </c>
      <c r="E91" s="28">
        <v>44713</v>
      </c>
      <c r="F91">
        <f t="shared" si="6"/>
        <v>57.178557142857159</v>
      </c>
      <c r="G91">
        <v>57.178557142857159</v>
      </c>
      <c r="H91">
        <f t="shared" si="4"/>
        <v>4.0461789529776322</v>
      </c>
      <c r="I91">
        <f t="shared" si="7"/>
        <v>-0.10190763832660998</v>
      </c>
      <c r="J91">
        <v>-0.10190763832660998</v>
      </c>
    </row>
    <row r="92" spans="1:10">
      <c r="A92" s="28">
        <v>45895</v>
      </c>
      <c r="B92" s="29">
        <v>80.684200000000004</v>
      </c>
      <c r="C92" s="28">
        <f t="shared" si="5"/>
        <v>45870</v>
      </c>
      <c r="E92" s="28">
        <v>44743</v>
      </c>
      <c r="F92">
        <f t="shared" si="6"/>
        <v>58.22140000000001</v>
      </c>
      <c r="G92">
        <v>58.22140000000001</v>
      </c>
      <c r="H92">
        <f t="shared" si="4"/>
        <v>4.0642529847477</v>
      </c>
      <c r="I92">
        <f t="shared" si="7"/>
        <v>1.8074031770067833E-2</v>
      </c>
      <c r="J92">
        <v>1.8074031770067833E-2</v>
      </c>
    </row>
    <row r="93" spans="1:10">
      <c r="A93" s="28">
        <v>45892</v>
      </c>
      <c r="B93" s="29">
        <v>80.749799999999993</v>
      </c>
      <c r="C93" s="28">
        <f t="shared" si="5"/>
        <v>45870</v>
      </c>
      <c r="E93" s="28">
        <v>44774</v>
      </c>
      <c r="F93">
        <f t="shared" si="6"/>
        <v>60.391918181818184</v>
      </c>
      <c r="G93">
        <v>60.391918181818184</v>
      </c>
      <c r="H93">
        <f t="shared" si="4"/>
        <v>4.100855291051305</v>
      </c>
      <c r="I93">
        <f t="shared" si="7"/>
        <v>3.6602306303604948E-2</v>
      </c>
      <c r="J93">
        <v>3.6602306303604948E-2</v>
      </c>
    </row>
    <row r="94" spans="1:10">
      <c r="A94" s="28">
        <v>45891</v>
      </c>
      <c r="B94" s="29">
        <v>80.254800000000003</v>
      </c>
      <c r="C94" s="28">
        <f t="shared" si="5"/>
        <v>45870</v>
      </c>
      <c r="E94" s="28">
        <v>44805</v>
      </c>
      <c r="F94">
        <f t="shared" si="6"/>
        <v>59.821499999999993</v>
      </c>
      <c r="G94">
        <v>59.821499999999993</v>
      </c>
      <c r="H94">
        <f t="shared" si="4"/>
        <v>4.0913651281131003</v>
      </c>
      <c r="I94">
        <f t="shared" si="7"/>
        <v>-9.4901629382047048E-3</v>
      </c>
      <c r="J94">
        <v>-9.4901629382047048E-3</v>
      </c>
    </row>
    <row r="95" spans="1:10">
      <c r="A95" s="28">
        <v>45890</v>
      </c>
      <c r="B95" s="29">
        <v>80.104500000000002</v>
      </c>
      <c r="C95" s="28">
        <f t="shared" si="5"/>
        <v>45870</v>
      </c>
      <c r="E95" s="28">
        <v>44835</v>
      </c>
      <c r="F95">
        <f t="shared" si="6"/>
        <v>61.115842857142859</v>
      </c>
      <c r="G95">
        <v>61.115842857142859</v>
      </c>
      <c r="H95">
        <f t="shared" si="4"/>
        <v>4.1127711264642883</v>
      </c>
      <c r="I95">
        <f t="shared" si="7"/>
        <v>2.140599835118806E-2</v>
      </c>
      <c r="J95">
        <v>2.140599835118806E-2</v>
      </c>
    </row>
    <row r="96" spans="1:10">
      <c r="A96" s="28">
        <v>45889</v>
      </c>
      <c r="B96" s="29">
        <v>80.346599999999995</v>
      </c>
      <c r="C96" s="28">
        <f t="shared" si="5"/>
        <v>45870</v>
      </c>
      <c r="E96" s="28">
        <v>44866</v>
      </c>
      <c r="F96">
        <f t="shared" si="6"/>
        <v>60.852995238095232</v>
      </c>
      <c r="G96">
        <v>60.852995238095232</v>
      </c>
      <c r="H96">
        <f t="shared" si="4"/>
        <v>4.108461041526879</v>
      </c>
      <c r="I96">
        <f t="shared" si="7"/>
        <v>-4.3100849374093642E-3</v>
      </c>
      <c r="J96">
        <v>-4.3100849374093642E-3</v>
      </c>
    </row>
    <row r="97" spans="1:10">
      <c r="A97" s="28">
        <v>45888</v>
      </c>
      <c r="B97" s="29">
        <v>80.425600000000003</v>
      </c>
      <c r="C97" s="28">
        <f t="shared" si="5"/>
        <v>45870</v>
      </c>
      <c r="E97" s="28">
        <v>44896</v>
      </c>
      <c r="F97">
        <f t="shared" si="6"/>
        <v>65.814986956521736</v>
      </c>
      <c r="G97">
        <v>65.814986956521736</v>
      </c>
      <c r="H97">
        <f t="shared" si="4"/>
        <v>4.1868475776933769</v>
      </c>
      <c r="I97">
        <f t="shared" si="7"/>
        <v>7.8386536166497933E-2</v>
      </c>
      <c r="J97">
        <v>7.8386536166497933E-2</v>
      </c>
    </row>
    <row r="98" spans="1:10">
      <c r="A98" s="28">
        <v>45885</v>
      </c>
      <c r="B98" s="29">
        <v>80.022400000000005</v>
      </c>
      <c r="C98" s="28">
        <f t="shared" si="5"/>
        <v>45870</v>
      </c>
      <c r="E98" s="28">
        <v>44927</v>
      </c>
      <c r="F98">
        <f t="shared" si="6"/>
        <v>68.875974999999997</v>
      </c>
      <c r="G98">
        <v>68.875974999999997</v>
      </c>
      <c r="H98">
        <f t="shared" si="4"/>
        <v>4.2323074234527374</v>
      </c>
      <c r="I98">
        <f t="shared" si="7"/>
        <v>4.5459845759360462E-2</v>
      </c>
      <c r="J98">
        <v>4.5459845759360462E-2</v>
      </c>
    </row>
    <row r="99" spans="1:10">
      <c r="A99" s="28">
        <v>45884</v>
      </c>
      <c r="B99" s="29">
        <v>79.765299999999996</v>
      </c>
      <c r="C99" s="28">
        <f t="shared" si="5"/>
        <v>45870</v>
      </c>
      <c r="E99" s="28">
        <v>44958</v>
      </c>
      <c r="F99">
        <f t="shared" si="6"/>
        <v>72.782749999999993</v>
      </c>
      <c r="G99">
        <v>72.782749999999993</v>
      </c>
      <c r="H99">
        <f t="shared" si="4"/>
        <v>4.2874789765759731</v>
      </c>
      <c r="I99">
        <f t="shared" si="7"/>
        <v>5.5171553123235739E-2</v>
      </c>
      <c r="J99">
        <v>5.5171553123235739E-2</v>
      </c>
    </row>
    <row r="100" spans="1:10">
      <c r="A100" s="28">
        <v>45883</v>
      </c>
      <c r="B100" s="29">
        <v>79.603200000000001</v>
      </c>
      <c r="C100" s="28">
        <f t="shared" si="5"/>
        <v>45870</v>
      </c>
      <c r="E100" s="28">
        <v>44986</v>
      </c>
      <c r="F100">
        <f t="shared" si="6"/>
        <v>76.103586363636353</v>
      </c>
      <c r="G100">
        <v>76.103586363636353</v>
      </c>
      <c r="H100">
        <f t="shared" si="4"/>
        <v>4.3320953907432216</v>
      </c>
      <c r="I100">
        <f t="shared" si="7"/>
        <v>4.4616414167248486E-2</v>
      </c>
      <c r="J100">
        <v>4.4616414167248486E-2</v>
      </c>
    </row>
    <row r="101" spans="1:10">
      <c r="A101" s="28">
        <v>45882</v>
      </c>
      <c r="B101" s="29">
        <v>79.871399999999994</v>
      </c>
      <c r="C101" s="28">
        <f t="shared" si="5"/>
        <v>45870</v>
      </c>
      <c r="E101" s="28">
        <v>45017</v>
      </c>
      <c r="F101">
        <f t="shared" si="6"/>
        <v>80.995542857142866</v>
      </c>
      <c r="G101">
        <v>80.995542857142866</v>
      </c>
      <c r="H101">
        <f t="shared" si="4"/>
        <v>4.3943941267034017</v>
      </c>
      <c r="I101">
        <f t="shared" si="7"/>
        <v>6.2298735960180096E-2</v>
      </c>
      <c r="J101">
        <v>6.2298735960180096E-2</v>
      </c>
    </row>
    <row r="102" spans="1:10">
      <c r="A102" s="28">
        <v>45881</v>
      </c>
      <c r="B102" s="29">
        <v>79.667699999999996</v>
      </c>
      <c r="C102" s="28">
        <f t="shared" si="5"/>
        <v>45870</v>
      </c>
      <c r="E102" s="28">
        <v>45047</v>
      </c>
      <c r="F102">
        <f t="shared" si="6"/>
        <v>79.212594736842107</v>
      </c>
      <c r="G102">
        <v>79.212594736842107</v>
      </c>
      <c r="H102">
        <f t="shared" si="4"/>
        <v>4.3721353106324088</v>
      </c>
      <c r="I102">
        <f t="shared" si="7"/>
        <v>-2.2258816070992893E-2</v>
      </c>
      <c r="J102">
        <v>-2.2258816070992893E-2</v>
      </c>
    </row>
    <row r="103" spans="1:10">
      <c r="A103" s="28">
        <v>45878</v>
      </c>
      <c r="B103" s="29">
        <v>79.779600000000002</v>
      </c>
      <c r="C103" s="28">
        <f t="shared" si="5"/>
        <v>45870</v>
      </c>
      <c r="E103" s="28">
        <v>45078</v>
      </c>
      <c r="F103">
        <f t="shared" si="6"/>
        <v>83.319333333333333</v>
      </c>
      <c r="G103">
        <v>83.319333333333333</v>
      </c>
      <c r="H103">
        <f t="shared" si="4"/>
        <v>4.422680615080556</v>
      </c>
      <c r="I103">
        <f t="shared" si="7"/>
        <v>5.0545304448147199E-2</v>
      </c>
      <c r="J103">
        <v>5.0545304448147199E-2</v>
      </c>
    </row>
    <row r="104" spans="1:10">
      <c r="A104" s="28">
        <v>45877</v>
      </c>
      <c r="B104" s="29">
        <v>79.384699999999995</v>
      </c>
      <c r="C104" s="28">
        <f t="shared" si="5"/>
        <v>45870</v>
      </c>
      <c r="E104" s="28">
        <v>45108</v>
      </c>
      <c r="F104">
        <f t="shared" si="6"/>
        <v>90.47404761904761</v>
      </c>
      <c r="G104">
        <v>90.47404761904761</v>
      </c>
      <c r="H104">
        <f t="shared" si="4"/>
        <v>4.5050630429401073</v>
      </c>
      <c r="I104">
        <f t="shared" si="7"/>
        <v>8.2382427859551299E-2</v>
      </c>
      <c r="J104">
        <v>8.2382427859551299E-2</v>
      </c>
    </row>
    <row r="105" spans="1:10">
      <c r="A105" s="28">
        <v>45876</v>
      </c>
      <c r="B105" s="29">
        <v>80.191400000000002</v>
      </c>
      <c r="C105" s="28">
        <f t="shared" si="5"/>
        <v>45870</v>
      </c>
      <c r="E105" s="28">
        <v>45139</v>
      </c>
      <c r="F105">
        <f t="shared" si="6"/>
        <v>95.285347826086948</v>
      </c>
      <c r="G105">
        <v>95.285347826086948</v>
      </c>
      <c r="H105">
        <f t="shared" si="4"/>
        <v>4.5568760509497794</v>
      </c>
      <c r="I105">
        <f t="shared" si="7"/>
        <v>5.1813008009672146E-2</v>
      </c>
      <c r="J105">
        <v>5.1813008009672146E-2</v>
      </c>
    </row>
    <row r="106" spans="1:10">
      <c r="A106" s="28">
        <v>45875</v>
      </c>
      <c r="B106" s="29">
        <v>80.049000000000007</v>
      </c>
      <c r="C106" s="28">
        <f t="shared" si="5"/>
        <v>45870</v>
      </c>
      <c r="E106" s="28">
        <v>45170</v>
      </c>
      <c r="F106">
        <f t="shared" si="6"/>
        <v>96.622259090909083</v>
      </c>
      <c r="G106">
        <v>96.622259090909083</v>
      </c>
      <c r="H106">
        <f t="shared" si="4"/>
        <v>4.5708091400463537</v>
      </c>
      <c r="I106">
        <f t="shared" si="7"/>
        <v>1.3933089096574314E-2</v>
      </c>
      <c r="J106">
        <v>1.3933089096574314E-2</v>
      </c>
    </row>
    <row r="107" spans="1:10">
      <c r="A107" s="28">
        <v>45874</v>
      </c>
      <c r="B107" s="29">
        <v>79.673599999999993</v>
      </c>
      <c r="C107" s="28">
        <f t="shared" si="5"/>
        <v>45870</v>
      </c>
      <c r="E107" s="28">
        <v>45200</v>
      </c>
      <c r="F107">
        <f t="shared" si="6"/>
        <v>97.122280952380933</v>
      </c>
      <c r="G107">
        <v>97.122280952380933</v>
      </c>
      <c r="H107">
        <f t="shared" si="4"/>
        <v>4.5759708129536536</v>
      </c>
      <c r="I107">
        <f t="shared" si="7"/>
        <v>5.1616729072998524E-3</v>
      </c>
      <c r="J107">
        <v>5.1616729072998524E-3</v>
      </c>
    </row>
    <row r="108" spans="1:10">
      <c r="A108" s="28">
        <v>45871</v>
      </c>
      <c r="B108" s="29">
        <v>80.328900000000004</v>
      </c>
      <c r="C108" s="28">
        <f t="shared" si="5"/>
        <v>45870</v>
      </c>
      <c r="E108" s="28">
        <v>45231</v>
      </c>
      <c r="F108">
        <f t="shared" si="6"/>
        <v>90.41279047619048</v>
      </c>
      <c r="G108">
        <v>90.41279047619048</v>
      </c>
      <c r="H108">
        <f t="shared" si="4"/>
        <v>4.5043857449581877</v>
      </c>
      <c r="I108">
        <f t="shared" si="7"/>
        <v>-7.1585067995465934E-2</v>
      </c>
      <c r="J108">
        <v>-7.1585067995465934E-2</v>
      </c>
    </row>
    <row r="109" spans="1:10">
      <c r="A109" s="28">
        <v>45870</v>
      </c>
      <c r="B109" s="29">
        <v>80.316299999999998</v>
      </c>
      <c r="C109" s="28">
        <f t="shared" si="5"/>
        <v>45870</v>
      </c>
      <c r="E109" s="28">
        <v>45261</v>
      </c>
      <c r="F109">
        <f t="shared" si="6"/>
        <v>90.817186363636353</v>
      </c>
      <c r="G109">
        <v>90.817186363636353</v>
      </c>
      <c r="H109">
        <f t="shared" si="4"/>
        <v>4.5088485448291502</v>
      </c>
      <c r="I109">
        <f t="shared" si="7"/>
        <v>4.4627998709625416E-3</v>
      </c>
      <c r="J109">
        <v>4.4627998709625416E-3</v>
      </c>
    </row>
    <row r="110" spans="1:10">
      <c r="A110" s="28">
        <v>45869</v>
      </c>
      <c r="B110" s="29">
        <v>81.834699999999998</v>
      </c>
      <c r="C110" s="28">
        <f t="shared" si="5"/>
        <v>45839</v>
      </c>
      <c r="E110" s="28">
        <v>45292</v>
      </c>
      <c r="F110">
        <f t="shared" si="6"/>
        <v>88.680287500000006</v>
      </c>
      <c r="G110">
        <v>88.680287500000006</v>
      </c>
      <c r="H110">
        <f t="shared" si="4"/>
        <v>4.485037626736541</v>
      </c>
      <c r="I110">
        <f t="shared" si="7"/>
        <v>-2.3810918092609157E-2</v>
      </c>
      <c r="J110">
        <v>-2.3810918092609157E-2</v>
      </c>
    </row>
    <row r="111" spans="1:10">
      <c r="A111" s="28">
        <v>45868</v>
      </c>
      <c r="B111" s="29">
        <v>82.219700000000003</v>
      </c>
      <c r="C111" s="28">
        <f t="shared" si="5"/>
        <v>45839</v>
      </c>
      <c r="E111" s="28">
        <v>45323</v>
      </c>
      <c r="F111">
        <f t="shared" si="6"/>
        <v>91.518254999999996</v>
      </c>
      <c r="G111">
        <v>91.518254999999996</v>
      </c>
      <c r="H111">
        <f t="shared" si="4"/>
        <v>4.516538460579083</v>
      </c>
      <c r="I111">
        <f t="shared" si="7"/>
        <v>3.1500833842541986E-2</v>
      </c>
      <c r="J111">
        <v>3.1500833842541986E-2</v>
      </c>
    </row>
    <row r="112" spans="1:10">
      <c r="A112" s="28">
        <v>45867</v>
      </c>
      <c r="B112" s="29">
        <v>79.578199999999995</v>
      </c>
      <c r="C112" s="28">
        <f t="shared" si="5"/>
        <v>45839</v>
      </c>
      <c r="E112" s="28">
        <v>45352</v>
      </c>
      <c r="F112">
        <f t="shared" si="6"/>
        <v>91.731633333333335</v>
      </c>
      <c r="G112">
        <v>91.731633333333335</v>
      </c>
      <c r="H112">
        <f t="shared" si="4"/>
        <v>4.5188672852426155</v>
      </c>
      <c r="I112">
        <f t="shared" si="7"/>
        <v>2.3288246635324583E-3</v>
      </c>
      <c r="J112">
        <v>2.3288246635324583E-3</v>
      </c>
    </row>
    <row r="113" spans="1:10">
      <c r="A113" s="28">
        <v>45864</v>
      </c>
      <c r="B113" s="29">
        <v>79.552700000000002</v>
      </c>
      <c r="C113" s="28">
        <f t="shared" si="5"/>
        <v>45839</v>
      </c>
      <c r="E113" s="28">
        <v>45383</v>
      </c>
      <c r="F113">
        <f t="shared" si="6"/>
        <v>92.95856666666667</v>
      </c>
      <c r="G113">
        <v>92.95856666666667</v>
      </c>
      <c r="H113">
        <f t="shared" si="4"/>
        <v>4.5321538741666005</v>
      </c>
      <c r="I113">
        <f t="shared" si="7"/>
        <v>1.3286588923985043E-2</v>
      </c>
      <c r="J113">
        <v>1.3286588923985043E-2</v>
      </c>
    </row>
    <row r="114" spans="1:10">
      <c r="A114" s="28">
        <v>45863</v>
      </c>
      <c r="B114" s="29">
        <v>78.862300000000005</v>
      </c>
      <c r="C114" s="28">
        <f t="shared" si="5"/>
        <v>45839</v>
      </c>
      <c r="E114" s="28">
        <v>45413</v>
      </c>
      <c r="F114">
        <f t="shared" si="6"/>
        <v>90.607152631578955</v>
      </c>
      <c r="G114">
        <v>90.607152631578955</v>
      </c>
      <c r="H114">
        <f t="shared" si="4"/>
        <v>4.5065331573011749</v>
      </c>
      <c r="I114">
        <f t="shared" si="7"/>
        <v>-2.5620716865425663E-2</v>
      </c>
      <c r="J114">
        <v>-2.5620716865425663E-2</v>
      </c>
    </row>
    <row r="115" spans="1:10">
      <c r="A115" s="28">
        <v>45862</v>
      </c>
      <c r="B115" s="29">
        <v>78.447699999999998</v>
      </c>
      <c r="C115" s="28">
        <f t="shared" si="5"/>
        <v>45839</v>
      </c>
      <c r="E115" s="28">
        <v>45444</v>
      </c>
      <c r="F115">
        <f t="shared" si="6"/>
        <v>87.75688000000001</v>
      </c>
      <c r="G115">
        <v>87.75688000000001</v>
      </c>
      <c r="H115">
        <f t="shared" si="4"/>
        <v>4.4745702638309028</v>
      </c>
      <c r="I115">
        <f t="shared" si="7"/>
        <v>-3.1962893470272036E-2</v>
      </c>
      <c r="J115">
        <v>-3.1962893470272036E-2</v>
      </c>
    </row>
    <row r="116" spans="1:10">
      <c r="A116" s="28">
        <v>45861</v>
      </c>
      <c r="B116" s="29">
        <v>78.088200000000001</v>
      </c>
      <c r="C116" s="28">
        <f t="shared" si="5"/>
        <v>45839</v>
      </c>
      <c r="E116" s="28">
        <v>45474</v>
      </c>
      <c r="F116">
        <f t="shared" si="6"/>
        <v>87.491649999999993</v>
      </c>
      <c r="G116">
        <v>87.491649999999993</v>
      </c>
      <c r="H116">
        <f t="shared" si="4"/>
        <v>4.4715433602385444</v>
      </c>
      <c r="I116">
        <f t="shared" si="7"/>
        <v>-3.0269035923584653E-3</v>
      </c>
      <c r="J116">
        <v>-3.0269035923584653E-3</v>
      </c>
    </row>
    <row r="117" spans="1:10">
      <c r="A117" s="28">
        <v>45860</v>
      </c>
      <c r="B117" s="29">
        <v>78.327399999999997</v>
      </c>
      <c r="C117" s="28">
        <f t="shared" si="5"/>
        <v>45839</v>
      </c>
      <c r="E117" s="28">
        <v>45505</v>
      </c>
      <c r="F117">
        <f t="shared" si="6"/>
        <v>89.160160869565217</v>
      </c>
      <c r="G117">
        <v>89.160160869565217</v>
      </c>
      <c r="H117">
        <f t="shared" si="4"/>
        <v>4.4904343127955961</v>
      </c>
      <c r="I117">
        <f t="shared" si="7"/>
        <v>1.8890952557051754E-2</v>
      </c>
      <c r="J117">
        <v>1.8890952557051754E-2</v>
      </c>
    </row>
    <row r="118" spans="1:10">
      <c r="A118" s="28">
        <v>45857</v>
      </c>
      <c r="B118" s="29">
        <v>78.312899999999999</v>
      </c>
      <c r="C118" s="28">
        <f t="shared" si="5"/>
        <v>45839</v>
      </c>
      <c r="E118" s="28">
        <v>45536</v>
      </c>
      <c r="F118">
        <f t="shared" si="6"/>
        <v>91.234504999999984</v>
      </c>
      <c r="G118">
        <v>91.234504999999984</v>
      </c>
      <c r="H118">
        <f t="shared" si="4"/>
        <v>4.513433169824375</v>
      </c>
      <c r="I118">
        <f t="shared" si="7"/>
        <v>2.2998857028778907E-2</v>
      </c>
      <c r="J118">
        <v>2.2998857028778907E-2</v>
      </c>
    </row>
    <row r="119" spans="1:10">
      <c r="A119" s="28">
        <v>45856</v>
      </c>
      <c r="B119" s="29">
        <v>78.185599999999994</v>
      </c>
      <c r="C119" s="28">
        <f t="shared" si="5"/>
        <v>45839</v>
      </c>
      <c r="E119" s="28">
        <v>45566</v>
      </c>
      <c r="F119">
        <f t="shared" si="6"/>
        <v>96.160226086956541</v>
      </c>
      <c r="G119">
        <v>96.160226086956541</v>
      </c>
      <c r="H119">
        <f t="shared" si="4"/>
        <v>4.5660158219380076</v>
      </c>
      <c r="I119">
        <f t="shared" si="7"/>
        <v>5.2582652113632555E-2</v>
      </c>
      <c r="J119">
        <v>5.2582652113632555E-2</v>
      </c>
    </row>
    <row r="120" spans="1:10">
      <c r="A120" s="28">
        <v>45855</v>
      </c>
      <c r="B120" s="29">
        <v>77.958500000000001</v>
      </c>
      <c r="C120" s="28">
        <f t="shared" si="5"/>
        <v>45839</v>
      </c>
      <c r="E120" s="28">
        <v>45597</v>
      </c>
      <c r="F120">
        <f t="shared" si="6"/>
        <v>100.68745</v>
      </c>
      <c r="G120">
        <v>100.68745</v>
      </c>
      <c r="H120">
        <f t="shared" si="4"/>
        <v>4.6120211643510984</v>
      </c>
      <c r="I120">
        <f t="shared" si="7"/>
        <v>4.6005342413090844E-2</v>
      </c>
      <c r="J120">
        <v>4.6005342413090844E-2</v>
      </c>
    </row>
    <row r="121" spans="1:10">
      <c r="A121" s="28">
        <v>45854</v>
      </c>
      <c r="B121" s="29">
        <v>77.958399999999997</v>
      </c>
      <c r="C121" s="28">
        <f t="shared" si="5"/>
        <v>45839</v>
      </c>
      <c r="E121" s="28">
        <v>45627</v>
      </c>
      <c r="F121">
        <f t="shared" si="6"/>
        <v>102.25964761904763</v>
      </c>
      <c r="G121">
        <v>102.25964761904763</v>
      </c>
      <c r="H121">
        <f t="shared" si="4"/>
        <v>4.6275151437144437</v>
      </c>
      <c r="I121">
        <f t="shared" si="7"/>
        <v>1.5493979363345289E-2</v>
      </c>
      <c r="J121">
        <v>1.5493979363345289E-2</v>
      </c>
    </row>
    <row r="122" spans="1:10">
      <c r="A122" s="28">
        <v>45853</v>
      </c>
      <c r="B122" s="29">
        <v>78.372200000000007</v>
      </c>
      <c r="C122" s="28">
        <f t="shared" si="5"/>
        <v>45839</v>
      </c>
      <c r="E122" s="28">
        <v>45658</v>
      </c>
      <c r="F122">
        <f t="shared" si="6"/>
        <v>100.412125</v>
      </c>
      <c r="G122">
        <v>100.412125</v>
      </c>
      <c r="H122">
        <f t="shared" si="4"/>
        <v>4.609282966898161</v>
      </c>
      <c r="I122">
        <f t="shared" si="7"/>
        <v>-1.8232176816282752E-2</v>
      </c>
      <c r="J122">
        <v>-1.8232176816282752E-2</v>
      </c>
    </row>
    <row r="123" spans="1:10">
      <c r="A123" s="28">
        <v>45850</v>
      </c>
      <c r="B123" s="29">
        <v>77.885499999999993</v>
      </c>
      <c r="C123" s="28">
        <f t="shared" si="5"/>
        <v>45839</v>
      </c>
      <c r="E123" s="28">
        <v>45689</v>
      </c>
      <c r="F123">
        <f t="shared" si="6"/>
        <v>92.742304999999988</v>
      </c>
      <c r="G123">
        <v>92.742304999999988</v>
      </c>
      <c r="H123">
        <f t="shared" si="4"/>
        <v>4.5298247330861932</v>
      </c>
      <c r="I123">
        <f t="shared" si="7"/>
        <v>-7.9458233811967816E-2</v>
      </c>
      <c r="J123">
        <v>-7.9458233811967816E-2</v>
      </c>
    </row>
    <row r="124" spans="1:10">
      <c r="A124" s="28">
        <v>45849</v>
      </c>
      <c r="B124" s="29">
        <v>77.902900000000002</v>
      </c>
      <c r="C124" s="28">
        <f t="shared" si="5"/>
        <v>45839</v>
      </c>
      <c r="E124" s="28">
        <v>45717</v>
      </c>
      <c r="F124">
        <f t="shared" si="6"/>
        <v>86.023414285714281</v>
      </c>
      <c r="G124">
        <v>86.023414285714281</v>
      </c>
      <c r="H124">
        <f t="shared" si="4"/>
        <v>4.454619518333927</v>
      </c>
      <c r="I124">
        <f t="shared" si="7"/>
        <v>-7.5205214752266158E-2</v>
      </c>
      <c r="J124">
        <v>-7.5205214752266158E-2</v>
      </c>
    </row>
    <row r="125" spans="1:10">
      <c r="A125" s="28">
        <v>45848</v>
      </c>
      <c r="B125" s="29">
        <v>78.172700000000006</v>
      </c>
      <c r="C125" s="28">
        <f t="shared" si="5"/>
        <v>45839</v>
      </c>
      <c r="E125" s="28">
        <v>45748</v>
      </c>
      <c r="F125">
        <f t="shared" si="6"/>
        <v>83.425600000000003</v>
      </c>
      <c r="G125">
        <v>83.425600000000003</v>
      </c>
      <c r="H125">
        <f t="shared" si="4"/>
        <v>4.4239552167002776</v>
      </c>
      <c r="I125">
        <f t="shared" si="7"/>
        <v>-3.0664301633649416E-2</v>
      </c>
      <c r="J125">
        <v>-3.0664301633649416E-2</v>
      </c>
    </row>
    <row r="126" spans="1:10">
      <c r="A126" s="28">
        <v>45847</v>
      </c>
      <c r="B126" s="29">
        <v>78.168199999999999</v>
      </c>
      <c r="C126" s="28">
        <f t="shared" si="5"/>
        <v>45839</v>
      </c>
      <c r="E126" s="28">
        <v>45778</v>
      </c>
      <c r="F126">
        <f t="shared" si="6"/>
        <v>80.204831578947392</v>
      </c>
      <c r="G126">
        <v>80.204831578947392</v>
      </c>
      <c r="H126">
        <f t="shared" si="4"/>
        <v>4.38458375718439</v>
      </c>
      <c r="I126">
        <f t="shared" si="7"/>
        <v>-3.9371459515887608E-2</v>
      </c>
      <c r="J126">
        <v>-3.9371459515887608E-2</v>
      </c>
    </row>
    <row r="127" spans="1:10">
      <c r="A127" s="28">
        <v>45846</v>
      </c>
      <c r="B127" s="29">
        <v>78.718500000000006</v>
      </c>
      <c r="C127" s="28">
        <f t="shared" si="5"/>
        <v>45839</v>
      </c>
      <c r="E127" s="28">
        <v>45809</v>
      </c>
      <c r="F127">
        <f t="shared" si="6"/>
        <v>78.667861111111122</v>
      </c>
      <c r="G127">
        <v>78.667861111111122</v>
      </c>
      <c r="H127">
        <f t="shared" si="4"/>
        <v>4.3652346998580498</v>
      </c>
      <c r="I127">
        <f t="shared" si="7"/>
        <v>-1.934905732634018E-2</v>
      </c>
      <c r="J127">
        <v>-1.934905732634018E-2</v>
      </c>
    </row>
    <row r="128" spans="1:10">
      <c r="A128" s="28">
        <v>45843</v>
      </c>
      <c r="B128" s="29">
        <v>78.835400000000007</v>
      </c>
      <c r="C128" s="28">
        <f t="shared" si="5"/>
        <v>45839</v>
      </c>
      <c r="E128" s="28">
        <v>45839</v>
      </c>
      <c r="F128">
        <f t="shared" si="6"/>
        <v>78.772404347826097</v>
      </c>
      <c r="G128">
        <v>78.772404347826097</v>
      </c>
      <c r="H128">
        <f t="shared" si="4"/>
        <v>4.3665627368983246</v>
      </c>
      <c r="I128">
        <f t="shared" si="7"/>
        <v>1.3280370402748432E-3</v>
      </c>
      <c r="J128">
        <v>1.3280370402748432E-3</v>
      </c>
    </row>
    <row r="129" spans="1:10">
      <c r="A129" s="28">
        <v>45842</v>
      </c>
      <c r="B129" s="29">
        <v>78.783100000000005</v>
      </c>
      <c r="C129" s="28">
        <f t="shared" si="5"/>
        <v>45839</v>
      </c>
      <c r="E129" s="28">
        <v>45870</v>
      </c>
      <c r="F129">
        <f t="shared" si="6"/>
        <v>80.127786363636361</v>
      </c>
      <c r="G129">
        <v>80.127786363636361</v>
      </c>
      <c r="H129">
        <f t="shared" si="4"/>
        <v>4.3836226898453807</v>
      </c>
      <c r="I129">
        <f t="shared" si="7"/>
        <v>1.705995294705609E-2</v>
      </c>
      <c r="J129">
        <v>1.705995294705609E-2</v>
      </c>
    </row>
    <row r="130" spans="1:10">
      <c r="A130" s="28">
        <v>45841</v>
      </c>
      <c r="B130" s="29">
        <v>78.653999999999996</v>
      </c>
      <c r="C130" s="28">
        <f t="shared" si="5"/>
        <v>45839</v>
      </c>
      <c r="E130" s="28">
        <v>45901</v>
      </c>
      <c r="F130">
        <f t="shared" si="6"/>
        <v>82.970804761904759</v>
      </c>
      <c r="G130">
        <v>82.970804761904759</v>
      </c>
      <c r="H130">
        <f t="shared" ref="H130:H133" si="8">LN(G130)</f>
        <v>4.4184887960615367</v>
      </c>
      <c r="I130">
        <f t="shared" si="7"/>
        <v>3.4866106216155934E-2</v>
      </c>
      <c r="J130">
        <v>3.4866106216155934E-2</v>
      </c>
    </row>
    <row r="131" spans="1:10">
      <c r="A131" s="28">
        <v>45840</v>
      </c>
      <c r="B131" s="29">
        <v>78.418099999999995</v>
      </c>
      <c r="C131" s="28">
        <f t="shared" ref="C131:C194" si="9">DATE(YEAR(A131),MONTH(A131),1)</f>
        <v>45839</v>
      </c>
      <c r="E131" s="28">
        <v>45931</v>
      </c>
      <c r="F131">
        <f t="shared" ref="F131:F133" si="10">AVERAGEIFS($B:$B,$C:$C,E131)</f>
        <v>80.921373913043482</v>
      </c>
      <c r="G131">
        <v>80.921373913043482</v>
      </c>
      <c r="H131">
        <f t="shared" si="8"/>
        <v>4.3934779908138797</v>
      </c>
      <c r="I131">
        <f t="shared" ref="I131:I133" si="11">H131-H130</f>
        <v>-2.5010805247656975E-2</v>
      </c>
      <c r="J131">
        <v>-2.5010805247656975E-2</v>
      </c>
    </row>
    <row r="132" spans="1:10">
      <c r="A132" s="28">
        <v>45839</v>
      </c>
      <c r="B132" s="29">
        <v>78.528400000000005</v>
      </c>
      <c r="C132" s="28">
        <f t="shared" si="9"/>
        <v>45839</v>
      </c>
      <c r="E132" s="28">
        <v>45962</v>
      </c>
      <c r="F132">
        <f t="shared" si="10"/>
        <v>80.34382500000001</v>
      </c>
      <c r="G132">
        <v>80.34382500000001</v>
      </c>
      <c r="H132">
        <f t="shared" si="8"/>
        <v>4.3863152379546424</v>
      </c>
      <c r="I132">
        <f t="shared" si="11"/>
        <v>-7.1627528592372869E-3</v>
      </c>
      <c r="J132">
        <v>-7.1627528592372869E-3</v>
      </c>
    </row>
    <row r="133" spans="1:10">
      <c r="A133" s="28">
        <v>45836</v>
      </c>
      <c r="B133" s="29">
        <v>78.468500000000006</v>
      </c>
      <c r="C133" s="28">
        <f t="shared" si="9"/>
        <v>45809</v>
      </c>
      <c r="E133" s="28">
        <v>45992</v>
      </c>
      <c r="F133">
        <f t="shared" si="10"/>
        <v>78.401622727272724</v>
      </c>
      <c r="G133">
        <v>78.401622727272724</v>
      </c>
      <c r="H133">
        <f t="shared" si="8"/>
        <v>4.3618446251941085</v>
      </c>
      <c r="I133">
        <f t="shared" si="11"/>
        <v>-2.4470612760533861E-2</v>
      </c>
      <c r="J133">
        <v>-2.4470612760533861E-2</v>
      </c>
    </row>
    <row r="134" spans="1:10">
      <c r="A134" s="28">
        <v>45835</v>
      </c>
      <c r="B134" s="29">
        <v>78.211699999999993</v>
      </c>
      <c r="C134" s="28">
        <f t="shared" si="9"/>
        <v>45809</v>
      </c>
    </row>
    <row r="135" spans="1:10">
      <c r="A135" s="28">
        <v>45834</v>
      </c>
      <c r="B135" s="29">
        <v>78.195899999999995</v>
      </c>
      <c r="C135" s="28">
        <f t="shared" si="9"/>
        <v>45809</v>
      </c>
    </row>
    <row r="136" spans="1:10">
      <c r="A136" s="28">
        <v>45833</v>
      </c>
      <c r="B136" s="29">
        <v>78.389200000000002</v>
      </c>
      <c r="C136" s="28">
        <f t="shared" si="9"/>
        <v>45809</v>
      </c>
    </row>
    <row r="137" spans="1:10">
      <c r="A137" s="28">
        <v>45832</v>
      </c>
      <c r="B137" s="29">
        <v>78.292299999999997</v>
      </c>
      <c r="C137" s="28">
        <f t="shared" si="9"/>
        <v>45809</v>
      </c>
    </row>
    <row r="138" spans="1:10">
      <c r="A138" s="28">
        <v>45829</v>
      </c>
      <c r="B138" s="29">
        <v>78.501599999999996</v>
      </c>
      <c r="C138" s="28">
        <f t="shared" si="9"/>
        <v>45809</v>
      </c>
    </row>
    <row r="139" spans="1:10">
      <c r="A139" s="28">
        <v>45828</v>
      </c>
      <c r="B139" s="29">
        <v>78.483900000000006</v>
      </c>
      <c r="C139" s="28">
        <f t="shared" si="9"/>
        <v>45809</v>
      </c>
    </row>
    <row r="140" spans="1:10">
      <c r="A140" s="28">
        <v>45827</v>
      </c>
      <c r="B140" s="29">
        <v>78.717399999999998</v>
      </c>
      <c r="C140" s="28">
        <f t="shared" si="9"/>
        <v>45809</v>
      </c>
    </row>
    <row r="141" spans="1:10">
      <c r="A141" s="28">
        <v>45826</v>
      </c>
      <c r="B141" s="29">
        <v>78.713499999999996</v>
      </c>
      <c r="C141" s="28">
        <f t="shared" si="9"/>
        <v>45809</v>
      </c>
    </row>
    <row r="142" spans="1:10">
      <c r="A142" s="28">
        <v>45825</v>
      </c>
      <c r="B142" s="29">
        <v>78.506699999999995</v>
      </c>
      <c r="C142" s="28">
        <f t="shared" si="9"/>
        <v>45809</v>
      </c>
    </row>
    <row r="143" spans="1:10">
      <c r="A143" s="28">
        <v>45820</v>
      </c>
      <c r="B143" s="29">
        <v>79.002799999999993</v>
      </c>
      <c r="C143" s="28">
        <f t="shared" si="9"/>
        <v>45809</v>
      </c>
    </row>
    <row r="144" spans="1:10">
      <c r="A144" s="28">
        <v>45819</v>
      </c>
      <c r="B144" s="29">
        <v>78.600300000000004</v>
      </c>
      <c r="C144" s="28">
        <f t="shared" si="9"/>
        <v>45809</v>
      </c>
    </row>
    <row r="145" spans="1:3">
      <c r="A145" s="28">
        <v>45818</v>
      </c>
      <c r="B145" s="29">
        <v>79.154300000000006</v>
      </c>
      <c r="C145" s="28">
        <f t="shared" si="9"/>
        <v>45809</v>
      </c>
    </row>
    <row r="146" spans="1:3">
      <c r="A146" s="28">
        <v>45815</v>
      </c>
      <c r="B146" s="29">
        <v>79.170299999999997</v>
      </c>
      <c r="C146" s="28">
        <f t="shared" si="9"/>
        <v>45809</v>
      </c>
    </row>
    <row r="147" spans="1:3">
      <c r="A147" s="28">
        <v>45814</v>
      </c>
      <c r="B147" s="29">
        <v>79.127200000000002</v>
      </c>
      <c r="C147" s="28">
        <f t="shared" si="9"/>
        <v>45809</v>
      </c>
    </row>
    <row r="148" spans="1:3">
      <c r="A148" s="28">
        <v>45813</v>
      </c>
      <c r="B148" s="29">
        <v>78.502499999999998</v>
      </c>
      <c r="C148" s="28">
        <f t="shared" si="9"/>
        <v>45809</v>
      </c>
    </row>
    <row r="149" spans="1:3">
      <c r="A149" s="28">
        <v>45812</v>
      </c>
      <c r="B149" s="29">
        <v>78.854900000000001</v>
      </c>
      <c r="C149" s="28">
        <f t="shared" si="9"/>
        <v>45809</v>
      </c>
    </row>
    <row r="150" spans="1:3">
      <c r="A150" s="28">
        <v>45811</v>
      </c>
      <c r="B150" s="29">
        <v>79.128500000000003</v>
      </c>
      <c r="C150" s="28">
        <f t="shared" si="9"/>
        <v>45809</v>
      </c>
    </row>
    <row r="151" spans="1:3">
      <c r="A151" s="28">
        <v>45808</v>
      </c>
      <c r="B151" s="29">
        <v>78.617099999999994</v>
      </c>
      <c r="C151" s="28">
        <f t="shared" si="9"/>
        <v>45778</v>
      </c>
    </row>
    <row r="152" spans="1:3">
      <c r="A152" s="28">
        <v>45807</v>
      </c>
      <c r="B152" s="29">
        <v>78.497</v>
      </c>
      <c r="C152" s="28">
        <f t="shared" si="9"/>
        <v>45778</v>
      </c>
    </row>
    <row r="153" spans="1:3">
      <c r="A153" s="28">
        <v>45806</v>
      </c>
      <c r="B153" s="29">
        <v>79.603700000000003</v>
      </c>
      <c r="C153" s="28">
        <f t="shared" si="9"/>
        <v>45778</v>
      </c>
    </row>
    <row r="154" spans="1:3">
      <c r="A154" s="28">
        <v>45805</v>
      </c>
      <c r="B154" s="29">
        <v>79.617599999999996</v>
      </c>
      <c r="C154" s="28">
        <f t="shared" si="9"/>
        <v>45778</v>
      </c>
    </row>
    <row r="155" spans="1:3">
      <c r="A155" s="28">
        <v>45804</v>
      </c>
      <c r="B155" s="29">
        <v>79.658799999999999</v>
      </c>
      <c r="C155" s="28">
        <f t="shared" si="9"/>
        <v>45778</v>
      </c>
    </row>
    <row r="156" spans="1:3">
      <c r="A156" s="28">
        <v>45801</v>
      </c>
      <c r="B156" s="29">
        <v>79.710800000000006</v>
      </c>
      <c r="C156" s="28">
        <f t="shared" si="9"/>
        <v>45778</v>
      </c>
    </row>
    <row r="157" spans="1:3">
      <c r="A157" s="28">
        <v>45800</v>
      </c>
      <c r="B157" s="29">
        <v>79.735699999999994</v>
      </c>
      <c r="C157" s="28">
        <f t="shared" si="9"/>
        <v>45778</v>
      </c>
    </row>
    <row r="158" spans="1:3">
      <c r="A158" s="28">
        <v>45799</v>
      </c>
      <c r="B158" s="29">
        <v>79.753</v>
      </c>
      <c r="C158" s="28">
        <f t="shared" si="9"/>
        <v>45778</v>
      </c>
    </row>
    <row r="159" spans="1:3">
      <c r="A159" s="28">
        <v>45798</v>
      </c>
      <c r="B159" s="29">
        <v>80.307500000000005</v>
      </c>
      <c r="C159" s="28">
        <f t="shared" si="9"/>
        <v>45778</v>
      </c>
    </row>
    <row r="160" spans="1:3">
      <c r="A160" s="28">
        <v>45797</v>
      </c>
      <c r="B160" s="29">
        <v>80.413700000000006</v>
      </c>
      <c r="C160" s="28">
        <f t="shared" si="9"/>
        <v>45778</v>
      </c>
    </row>
    <row r="161" spans="1:3">
      <c r="A161" s="28">
        <v>45794</v>
      </c>
      <c r="B161" s="29">
        <v>80.768900000000002</v>
      </c>
      <c r="C161" s="28">
        <f t="shared" si="9"/>
        <v>45778</v>
      </c>
    </row>
    <row r="162" spans="1:3">
      <c r="A162" s="28">
        <v>45793</v>
      </c>
      <c r="B162" s="29">
        <v>80.313400000000001</v>
      </c>
      <c r="C162" s="28">
        <f t="shared" si="9"/>
        <v>45778</v>
      </c>
    </row>
    <row r="163" spans="1:3">
      <c r="A163" s="28">
        <v>45792</v>
      </c>
      <c r="B163" s="29">
        <v>80.223699999999994</v>
      </c>
      <c r="C163" s="28">
        <f t="shared" si="9"/>
        <v>45778</v>
      </c>
    </row>
    <row r="164" spans="1:3">
      <c r="A164" s="28">
        <v>45791</v>
      </c>
      <c r="B164" s="29">
        <v>80.55</v>
      </c>
      <c r="C164" s="28">
        <f t="shared" si="9"/>
        <v>45778</v>
      </c>
    </row>
    <row r="165" spans="1:3">
      <c r="A165" s="28">
        <v>45790</v>
      </c>
      <c r="B165" s="29">
        <v>80.888300000000001</v>
      </c>
      <c r="C165" s="28">
        <f t="shared" si="9"/>
        <v>45778</v>
      </c>
    </row>
    <row r="166" spans="1:3">
      <c r="A166" s="28">
        <v>45785</v>
      </c>
      <c r="B166" s="29">
        <v>80.861199999999997</v>
      </c>
      <c r="C166" s="28">
        <f t="shared" si="9"/>
        <v>45778</v>
      </c>
    </row>
    <row r="167" spans="1:3">
      <c r="A167" s="28">
        <v>45784</v>
      </c>
      <c r="B167" s="29">
        <v>80.964399999999998</v>
      </c>
      <c r="C167" s="28">
        <f t="shared" si="9"/>
        <v>45778</v>
      </c>
    </row>
    <row r="168" spans="1:3">
      <c r="A168" s="28">
        <v>45783</v>
      </c>
      <c r="B168" s="29">
        <v>81.913700000000006</v>
      </c>
      <c r="C168" s="28">
        <f t="shared" si="9"/>
        <v>45778</v>
      </c>
    </row>
    <row r="169" spans="1:3">
      <c r="A169" s="28">
        <v>45778</v>
      </c>
      <c r="B169" s="29">
        <v>81.493300000000005</v>
      </c>
      <c r="C169" s="28">
        <f t="shared" si="9"/>
        <v>45778</v>
      </c>
    </row>
    <row r="170" spans="1:3">
      <c r="A170" s="28">
        <v>45777</v>
      </c>
      <c r="B170" s="29">
        <v>81.561599999999999</v>
      </c>
      <c r="C170" s="28">
        <f t="shared" si="9"/>
        <v>45748</v>
      </c>
    </row>
    <row r="171" spans="1:3">
      <c r="A171" s="28">
        <v>45776</v>
      </c>
      <c r="B171" s="29">
        <v>82.546700000000001</v>
      </c>
      <c r="C171" s="28">
        <f t="shared" si="9"/>
        <v>45748</v>
      </c>
    </row>
    <row r="172" spans="1:3">
      <c r="A172" s="28">
        <v>45773</v>
      </c>
      <c r="B172" s="29">
        <v>82.654899999999998</v>
      </c>
      <c r="C172" s="28">
        <f t="shared" si="9"/>
        <v>45748</v>
      </c>
    </row>
    <row r="173" spans="1:3">
      <c r="A173" s="28">
        <v>45772</v>
      </c>
      <c r="B173" s="29">
        <v>82.855900000000005</v>
      </c>
      <c r="C173" s="28">
        <f t="shared" si="9"/>
        <v>45748</v>
      </c>
    </row>
    <row r="174" spans="1:3">
      <c r="A174" s="28">
        <v>45771</v>
      </c>
      <c r="B174" s="29">
        <v>82.363699999999994</v>
      </c>
      <c r="C174" s="28">
        <f t="shared" si="9"/>
        <v>45748</v>
      </c>
    </row>
    <row r="175" spans="1:3">
      <c r="A175" s="28">
        <v>45770</v>
      </c>
      <c r="B175" s="29">
        <v>81.462000000000003</v>
      </c>
      <c r="C175" s="28">
        <f t="shared" si="9"/>
        <v>45748</v>
      </c>
    </row>
    <row r="176" spans="1:3">
      <c r="A176" s="28">
        <v>45769</v>
      </c>
      <c r="B176" s="29">
        <v>80.759699999999995</v>
      </c>
      <c r="C176" s="28">
        <f t="shared" si="9"/>
        <v>45748</v>
      </c>
    </row>
    <row r="177" spans="1:3">
      <c r="A177" s="28">
        <v>45766</v>
      </c>
      <c r="B177" s="29">
        <v>81.137100000000004</v>
      </c>
      <c r="C177" s="28">
        <f t="shared" si="9"/>
        <v>45748</v>
      </c>
    </row>
    <row r="178" spans="1:3">
      <c r="A178" s="28">
        <v>45765</v>
      </c>
      <c r="B178" s="29">
        <v>82.02</v>
      </c>
      <c r="C178" s="28">
        <f t="shared" si="9"/>
        <v>45748</v>
      </c>
    </row>
    <row r="179" spans="1:3">
      <c r="A179" s="28">
        <v>45764</v>
      </c>
      <c r="B179" s="29">
        <v>82.589200000000005</v>
      </c>
      <c r="C179" s="28">
        <f t="shared" si="9"/>
        <v>45748</v>
      </c>
    </row>
    <row r="180" spans="1:3">
      <c r="A180" s="28">
        <v>45763</v>
      </c>
      <c r="B180" s="29">
        <v>82.300299999999993</v>
      </c>
      <c r="C180" s="28">
        <f t="shared" si="9"/>
        <v>45748</v>
      </c>
    </row>
    <row r="181" spans="1:3">
      <c r="A181" s="28">
        <v>45762</v>
      </c>
      <c r="B181" s="29">
        <v>82.767099999999999</v>
      </c>
      <c r="C181" s="28">
        <f t="shared" si="9"/>
        <v>45748</v>
      </c>
    </row>
    <row r="182" spans="1:3">
      <c r="A182" s="28">
        <v>45759</v>
      </c>
      <c r="B182" s="29">
        <v>84.004000000000005</v>
      </c>
      <c r="C182" s="28">
        <f t="shared" si="9"/>
        <v>45748</v>
      </c>
    </row>
    <row r="183" spans="1:3">
      <c r="A183" s="28">
        <v>45758</v>
      </c>
      <c r="B183" s="29">
        <v>85.015900000000002</v>
      </c>
      <c r="C183" s="28">
        <f t="shared" si="9"/>
        <v>45748</v>
      </c>
    </row>
    <row r="184" spans="1:3">
      <c r="A184" s="28">
        <v>45757</v>
      </c>
      <c r="B184" s="29">
        <v>86.092299999999994</v>
      </c>
      <c r="C184" s="28">
        <f t="shared" si="9"/>
        <v>45748</v>
      </c>
    </row>
    <row r="185" spans="1:3">
      <c r="A185" s="28">
        <v>45756</v>
      </c>
      <c r="B185" s="29">
        <v>85.464100000000002</v>
      </c>
      <c r="C185" s="28">
        <f t="shared" si="9"/>
        <v>45748</v>
      </c>
    </row>
    <row r="186" spans="1:3">
      <c r="A186" s="28">
        <v>45755</v>
      </c>
      <c r="B186" s="29">
        <v>86.189099999999996</v>
      </c>
      <c r="C186" s="28">
        <f t="shared" si="9"/>
        <v>45748</v>
      </c>
    </row>
    <row r="187" spans="1:3">
      <c r="A187" s="28">
        <v>45752</v>
      </c>
      <c r="B187" s="29">
        <v>84.2774</v>
      </c>
      <c r="C187" s="28">
        <f t="shared" si="9"/>
        <v>45748</v>
      </c>
    </row>
    <row r="188" spans="1:3">
      <c r="A188" s="28">
        <v>45751</v>
      </c>
      <c r="B188" s="29">
        <v>84.382999999999996</v>
      </c>
      <c r="C188" s="28">
        <f t="shared" si="9"/>
        <v>45748</v>
      </c>
    </row>
    <row r="189" spans="1:3">
      <c r="A189" s="28">
        <v>45750</v>
      </c>
      <c r="B189" s="29">
        <v>84.552199999999999</v>
      </c>
      <c r="C189" s="28">
        <f t="shared" si="9"/>
        <v>45748</v>
      </c>
    </row>
    <row r="190" spans="1:3">
      <c r="A190" s="28">
        <v>45749</v>
      </c>
      <c r="B190" s="29">
        <v>84.870699999999999</v>
      </c>
      <c r="C190" s="28">
        <f t="shared" si="9"/>
        <v>45748</v>
      </c>
    </row>
    <row r="191" spans="1:3">
      <c r="A191" s="28">
        <v>45748</v>
      </c>
      <c r="B191" s="29">
        <v>85.496300000000005</v>
      </c>
      <c r="C191" s="28">
        <f t="shared" si="9"/>
        <v>45748</v>
      </c>
    </row>
    <row r="192" spans="1:3">
      <c r="A192" s="28">
        <v>45745</v>
      </c>
      <c r="B192" s="29">
        <v>83.681299999999993</v>
      </c>
      <c r="C192" s="28">
        <f t="shared" si="9"/>
        <v>45717</v>
      </c>
    </row>
    <row r="193" spans="1:3">
      <c r="A193" s="28">
        <v>45744</v>
      </c>
      <c r="B193" s="29">
        <v>83.834699999999998</v>
      </c>
      <c r="C193" s="28">
        <f t="shared" si="9"/>
        <v>45717</v>
      </c>
    </row>
    <row r="194" spans="1:3">
      <c r="A194" s="28">
        <v>45743</v>
      </c>
      <c r="B194" s="29">
        <v>84.206500000000005</v>
      </c>
      <c r="C194" s="28">
        <f t="shared" si="9"/>
        <v>45717</v>
      </c>
    </row>
    <row r="195" spans="1:3">
      <c r="A195" s="28">
        <v>45742</v>
      </c>
      <c r="B195" s="29">
        <v>84.192999999999998</v>
      </c>
      <c r="C195" s="28">
        <f t="shared" ref="C195:C258" si="12">DATE(YEAR(A195),MONTH(A195),1)</f>
        <v>45717</v>
      </c>
    </row>
    <row r="196" spans="1:3">
      <c r="A196" s="28">
        <v>45741</v>
      </c>
      <c r="B196" s="29">
        <v>83.873699999999999</v>
      </c>
      <c r="C196" s="28">
        <f t="shared" si="12"/>
        <v>45717</v>
      </c>
    </row>
    <row r="197" spans="1:3">
      <c r="A197" s="28">
        <v>45738</v>
      </c>
      <c r="B197" s="29">
        <v>84.64</v>
      </c>
      <c r="C197" s="28">
        <f t="shared" si="12"/>
        <v>45717</v>
      </c>
    </row>
    <row r="198" spans="1:3">
      <c r="A198" s="28">
        <v>45737</v>
      </c>
      <c r="B198" s="29">
        <v>84.395499999999998</v>
      </c>
      <c r="C198" s="28">
        <f t="shared" si="12"/>
        <v>45717</v>
      </c>
    </row>
    <row r="199" spans="1:3">
      <c r="A199" s="28">
        <v>45736</v>
      </c>
      <c r="B199" s="29">
        <v>82.848699999999994</v>
      </c>
      <c r="C199" s="28">
        <f t="shared" si="12"/>
        <v>45717</v>
      </c>
    </row>
    <row r="200" spans="1:3">
      <c r="A200" s="28">
        <v>45735</v>
      </c>
      <c r="B200" s="29">
        <v>81.501800000000003</v>
      </c>
      <c r="C200" s="28">
        <f t="shared" si="12"/>
        <v>45717</v>
      </c>
    </row>
    <row r="201" spans="1:3">
      <c r="A201" s="28">
        <v>45734</v>
      </c>
      <c r="B201" s="29">
        <v>84.305899999999994</v>
      </c>
      <c r="C201" s="28">
        <f t="shared" si="12"/>
        <v>45717</v>
      </c>
    </row>
    <row r="202" spans="1:3">
      <c r="A202" s="28">
        <v>45731</v>
      </c>
      <c r="B202" s="29">
        <v>85.569400000000002</v>
      </c>
      <c r="C202" s="28">
        <f t="shared" si="12"/>
        <v>45717</v>
      </c>
    </row>
    <row r="203" spans="1:3">
      <c r="A203" s="28">
        <v>45730</v>
      </c>
      <c r="B203" s="29">
        <v>86.619</v>
      </c>
      <c r="C203" s="28">
        <f t="shared" si="12"/>
        <v>45717</v>
      </c>
    </row>
    <row r="204" spans="1:3">
      <c r="A204" s="28">
        <v>45729</v>
      </c>
      <c r="B204" s="29">
        <v>86.620400000000004</v>
      </c>
      <c r="C204" s="28">
        <f t="shared" si="12"/>
        <v>45717</v>
      </c>
    </row>
    <row r="205" spans="1:3">
      <c r="A205" s="28">
        <v>45728</v>
      </c>
      <c r="B205" s="29">
        <v>86.566900000000004</v>
      </c>
      <c r="C205" s="28">
        <f t="shared" si="12"/>
        <v>45717</v>
      </c>
    </row>
    <row r="206" spans="1:3">
      <c r="A206" s="28">
        <v>45727</v>
      </c>
      <c r="B206" s="29">
        <v>88.387200000000007</v>
      </c>
      <c r="C206" s="28">
        <f t="shared" si="12"/>
        <v>45717</v>
      </c>
    </row>
    <row r="207" spans="1:3">
      <c r="A207" s="28">
        <v>45724</v>
      </c>
      <c r="B207" s="29">
        <v>89.136200000000002</v>
      </c>
      <c r="C207" s="28">
        <f t="shared" si="12"/>
        <v>45717</v>
      </c>
    </row>
    <row r="208" spans="1:3">
      <c r="A208" s="28">
        <v>45723</v>
      </c>
      <c r="B208" s="29">
        <v>89.572400000000002</v>
      </c>
      <c r="C208" s="28">
        <f t="shared" si="12"/>
        <v>45717</v>
      </c>
    </row>
    <row r="209" spans="1:3">
      <c r="A209" s="28">
        <v>45722</v>
      </c>
      <c r="B209" s="29">
        <v>89.787800000000004</v>
      </c>
      <c r="C209" s="28">
        <f t="shared" si="12"/>
        <v>45717</v>
      </c>
    </row>
    <row r="210" spans="1:3">
      <c r="A210" s="28">
        <v>45721</v>
      </c>
      <c r="B210" s="29">
        <v>89.244799999999998</v>
      </c>
      <c r="C210" s="28">
        <f t="shared" si="12"/>
        <v>45717</v>
      </c>
    </row>
    <row r="211" spans="1:3">
      <c r="A211" s="28">
        <v>45720</v>
      </c>
      <c r="B211" s="29">
        <v>89.249700000000004</v>
      </c>
      <c r="C211" s="28">
        <f t="shared" si="12"/>
        <v>45717</v>
      </c>
    </row>
    <row r="212" spans="1:3">
      <c r="A212" s="28">
        <v>45717</v>
      </c>
      <c r="B212" s="29">
        <v>88.256799999999998</v>
      </c>
      <c r="C212" s="28">
        <f t="shared" si="12"/>
        <v>45717</v>
      </c>
    </row>
    <row r="213" spans="1:3">
      <c r="A213" s="28">
        <v>45716</v>
      </c>
      <c r="B213" s="29">
        <v>87.696700000000007</v>
      </c>
      <c r="C213" s="28">
        <f t="shared" si="12"/>
        <v>45689</v>
      </c>
    </row>
    <row r="214" spans="1:3">
      <c r="A214" s="28">
        <v>45715</v>
      </c>
      <c r="B214" s="29">
        <v>85.927899999999994</v>
      </c>
      <c r="C214" s="28">
        <f t="shared" si="12"/>
        <v>45689</v>
      </c>
    </row>
    <row r="215" spans="1:3">
      <c r="A215" s="28">
        <v>45714</v>
      </c>
      <c r="B215" s="29">
        <v>86.631799999999998</v>
      </c>
      <c r="C215" s="28">
        <f t="shared" si="12"/>
        <v>45689</v>
      </c>
    </row>
    <row r="216" spans="1:3">
      <c r="A216" s="28">
        <v>45713</v>
      </c>
      <c r="B216" s="29">
        <v>88.206500000000005</v>
      </c>
      <c r="C216" s="28">
        <f t="shared" si="12"/>
        <v>45689</v>
      </c>
    </row>
    <row r="217" spans="1:3">
      <c r="A217" s="28">
        <v>45710</v>
      </c>
      <c r="B217" s="29">
        <v>88.167599999999993</v>
      </c>
      <c r="C217" s="28">
        <f t="shared" si="12"/>
        <v>45689</v>
      </c>
    </row>
    <row r="218" spans="1:3">
      <c r="A218" s="28">
        <v>45709</v>
      </c>
      <c r="B218" s="29">
        <v>88.510300000000001</v>
      </c>
      <c r="C218" s="28">
        <f t="shared" si="12"/>
        <v>45689</v>
      </c>
    </row>
    <row r="219" spans="1:3">
      <c r="A219" s="28">
        <v>45708</v>
      </c>
      <c r="B219" s="29">
        <v>90.4268</v>
      </c>
      <c r="C219" s="28">
        <f t="shared" si="12"/>
        <v>45689</v>
      </c>
    </row>
    <row r="220" spans="1:3">
      <c r="A220" s="28">
        <v>45707</v>
      </c>
      <c r="B220" s="29">
        <v>91.339799999999997</v>
      </c>
      <c r="C220" s="28">
        <f t="shared" si="12"/>
        <v>45689</v>
      </c>
    </row>
    <row r="221" spans="1:3">
      <c r="A221" s="28">
        <v>45706</v>
      </c>
      <c r="B221" s="29">
        <v>91.434700000000007</v>
      </c>
      <c r="C221" s="28">
        <f t="shared" si="12"/>
        <v>45689</v>
      </c>
    </row>
    <row r="222" spans="1:3">
      <c r="A222" s="28">
        <v>45703</v>
      </c>
      <c r="B222" s="29">
        <v>90.309899999999999</v>
      </c>
      <c r="C222" s="28">
        <f t="shared" si="12"/>
        <v>45689</v>
      </c>
    </row>
    <row r="223" spans="1:3">
      <c r="A223" s="28">
        <v>45702</v>
      </c>
      <c r="B223" s="29">
        <v>91.031300000000002</v>
      </c>
      <c r="C223" s="28">
        <f t="shared" si="12"/>
        <v>45689</v>
      </c>
    </row>
    <row r="224" spans="1:3">
      <c r="A224" s="28">
        <v>45701</v>
      </c>
      <c r="B224" s="29">
        <v>94.048500000000004</v>
      </c>
      <c r="C224" s="28">
        <f t="shared" si="12"/>
        <v>45689</v>
      </c>
    </row>
    <row r="225" spans="1:3">
      <c r="A225" s="28">
        <v>45700</v>
      </c>
      <c r="B225" s="29">
        <v>95.802400000000006</v>
      </c>
      <c r="C225" s="28">
        <f t="shared" si="12"/>
        <v>45689</v>
      </c>
    </row>
    <row r="226" spans="1:3">
      <c r="A226" s="28">
        <v>45699</v>
      </c>
      <c r="B226" s="29">
        <v>96.7821</v>
      </c>
      <c r="C226" s="28">
        <f t="shared" si="12"/>
        <v>45689</v>
      </c>
    </row>
    <row r="227" spans="1:3">
      <c r="A227" s="28">
        <v>45696</v>
      </c>
      <c r="B227" s="29">
        <v>97.276200000000003</v>
      </c>
      <c r="C227" s="28">
        <f t="shared" si="12"/>
        <v>45689</v>
      </c>
    </row>
    <row r="228" spans="1:3">
      <c r="A228" s="28">
        <v>45695</v>
      </c>
      <c r="B228" s="29">
        <v>96.910399999999996</v>
      </c>
      <c r="C228" s="28">
        <f t="shared" si="12"/>
        <v>45689</v>
      </c>
    </row>
    <row r="229" spans="1:3">
      <c r="A229" s="28">
        <v>45694</v>
      </c>
      <c r="B229" s="29">
        <v>98.055599999999998</v>
      </c>
      <c r="C229" s="28">
        <f t="shared" si="12"/>
        <v>45689</v>
      </c>
    </row>
    <row r="230" spans="1:3">
      <c r="A230" s="28">
        <v>45693</v>
      </c>
      <c r="B230" s="29">
        <v>98.533600000000007</v>
      </c>
      <c r="C230" s="28">
        <f t="shared" si="12"/>
        <v>45689</v>
      </c>
    </row>
    <row r="231" spans="1:3">
      <c r="A231" s="28">
        <v>45692</v>
      </c>
      <c r="B231" s="29">
        <v>99.943299999999994</v>
      </c>
      <c r="C231" s="28">
        <f t="shared" si="12"/>
        <v>45689</v>
      </c>
    </row>
    <row r="232" spans="1:3">
      <c r="A232" s="28">
        <v>45689</v>
      </c>
      <c r="B232" s="29">
        <v>97.810699999999997</v>
      </c>
      <c r="C232" s="28">
        <f t="shared" si="12"/>
        <v>45689</v>
      </c>
    </row>
    <row r="233" spans="1:3">
      <c r="A233" s="28">
        <v>45688</v>
      </c>
      <c r="B233" s="29">
        <v>98.006200000000007</v>
      </c>
      <c r="C233" s="28">
        <f t="shared" si="12"/>
        <v>45658</v>
      </c>
    </row>
    <row r="234" spans="1:3">
      <c r="A234" s="28">
        <v>45687</v>
      </c>
      <c r="B234" s="29">
        <v>98.012600000000006</v>
      </c>
      <c r="C234" s="28">
        <f t="shared" si="12"/>
        <v>45658</v>
      </c>
    </row>
    <row r="235" spans="1:3">
      <c r="A235" s="28">
        <v>45686</v>
      </c>
      <c r="B235" s="29">
        <v>97.965800000000002</v>
      </c>
      <c r="C235" s="28">
        <f t="shared" si="12"/>
        <v>45658</v>
      </c>
    </row>
    <row r="236" spans="1:3">
      <c r="A236" s="28">
        <v>45685</v>
      </c>
      <c r="B236" s="29">
        <v>97.132000000000005</v>
      </c>
      <c r="C236" s="28">
        <f t="shared" si="12"/>
        <v>45658</v>
      </c>
    </row>
    <row r="237" spans="1:3">
      <c r="A237" s="28">
        <v>45682</v>
      </c>
      <c r="B237" s="29">
        <v>98.263599999999997</v>
      </c>
      <c r="C237" s="28">
        <f t="shared" si="12"/>
        <v>45658</v>
      </c>
    </row>
    <row r="238" spans="1:3">
      <c r="A238" s="28">
        <v>45681</v>
      </c>
      <c r="B238" s="29">
        <v>99.097800000000007</v>
      </c>
      <c r="C238" s="28">
        <f t="shared" si="12"/>
        <v>45658</v>
      </c>
    </row>
    <row r="239" spans="1:3">
      <c r="A239" s="28">
        <v>45680</v>
      </c>
      <c r="B239" s="29">
        <v>98.2804</v>
      </c>
      <c r="C239" s="28">
        <f t="shared" si="12"/>
        <v>45658</v>
      </c>
    </row>
    <row r="240" spans="1:3">
      <c r="A240" s="28">
        <v>45679</v>
      </c>
      <c r="B240" s="29">
        <v>99.928200000000004</v>
      </c>
      <c r="C240" s="28">
        <f t="shared" si="12"/>
        <v>45658</v>
      </c>
    </row>
    <row r="241" spans="1:3">
      <c r="A241" s="28">
        <v>45678</v>
      </c>
      <c r="B241" s="29">
        <v>101.9579</v>
      </c>
      <c r="C241" s="28">
        <f t="shared" si="12"/>
        <v>45658</v>
      </c>
    </row>
    <row r="242" spans="1:3">
      <c r="A242" s="28">
        <v>45675</v>
      </c>
      <c r="B242" s="29">
        <v>102.41370000000001</v>
      </c>
      <c r="C242" s="28">
        <f t="shared" si="12"/>
        <v>45658</v>
      </c>
    </row>
    <row r="243" spans="1:3">
      <c r="A243" s="28">
        <v>45674</v>
      </c>
      <c r="B243" s="29">
        <v>102.3762</v>
      </c>
      <c r="C243" s="28">
        <f t="shared" si="12"/>
        <v>45658</v>
      </c>
    </row>
    <row r="244" spans="1:3">
      <c r="A244" s="28">
        <v>45673</v>
      </c>
      <c r="B244" s="29">
        <v>102.8078</v>
      </c>
      <c r="C244" s="28">
        <f t="shared" si="12"/>
        <v>45658</v>
      </c>
    </row>
    <row r="245" spans="1:3">
      <c r="A245" s="28">
        <v>45672</v>
      </c>
      <c r="B245" s="29">
        <v>103.438</v>
      </c>
      <c r="C245" s="28">
        <f t="shared" si="12"/>
        <v>45658</v>
      </c>
    </row>
    <row r="246" spans="1:3">
      <c r="A246" s="28">
        <v>45671</v>
      </c>
      <c r="B246" s="29">
        <v>102.7081</v>
      </c>
      <c r="C246" s="28">
        <f t="shared" si="12"/>
        <v>45658</v>
      </c>
    </row>
    <row r="247" spans="1:3">
      <c r="A247" s="28">
        <v>45668</v>
      </c>
      <c r="B247" s="29">
        <v>101.91459999999999</v>
      </c>
      <c r="C247" s="28">
        <f t="shared" si="12"/>
        <v>45658</v>
      </c>
    </row>
    <row r="248" spans="1:3">
      <c r="A248" s="28">
        <v>45667</v>
      </c>
      <c r="B248" s="29">
        <v>102.2911</v>
      </c>
      <c r="C248" s="28">
        <f t="shared" si="12"/>
        <v>45658</v>
      </c>
    </row>
    <row r="249" spans="1:3">
      <c r="A249" s="28">
        <v>45655</v>
      </c>
      <c r="B249" s="29">
        <v>101.6797</v>
      </c>
      <c r="C249" s="28">
        <f t="shared" si="12"/>
        <v>45627</v>
      </c>
    </row>
    <row r="250" spans="1:3">
      <c r="A250" s="28">
        <v>45654</v>
      </c>
      <c r="B250" s="29">
        <v>100.52809999999999</v>
      </c>
      <c r="C250" s="28">
        <f t="shared" si="12"/>
        <v>45627</v>
      </c>
    </row>
    <row r="251" spans="1:3">
      <c r="A251" s="28">
        <v>45653</v>
      </c>
      <c r="B251" s="29">
        <v>99.229500000000002</v>
      </c>
      <c r="C251" s="28">
        <f t="shared" si="12"/>
        <v>45627</v>
      </c>
    </row>
    <row r="252" spans="1:3">
      <c r="A252" s="28">
        <v>45652</v>
      </c>
      <c r="B252" s="29">
        <v>99.612499999999997</v>
      </c>
      <c r="C252" s="28">
        <f t="shared" si="12"/>
        <v>45627</v>
      </c>
    </row>
    <row r="253" spans="1:3">
      <c r="A253" s="28">
        <v>45651</v>
      </c>
      <c r="B253" s="29">
        <v>99.872900000000001</v>
      </c>
      <c r="C253" s="28">
        <f t="shared" si="12"/>
        <v>45627</v>
      </c>
    </row>
    <row r="254" spans="1:3">
      <c r="A254" s="28">
        <v>45650</v>
      </c>
      <c r="B254" s="29">
        <v>101.6143</v>
      </c>
      <c r="C254" s="28">
        <f t="shared" si="12"/>
        <v>45627</v>
      </c>
    </row>
    <row r="255" spans="1:3">
      <c r="A255" s="28">
        <v>45647</v>
      </c>
      <c r="B255" s="29">
        <v>102.3438</v>
      </c>
      <c r="C255" s="28">
        <f t="shared" si="12"/>
        <v>45627</v>
      </c>
    </row>
    <row r="256" spans="1:3">
      <c r="A256" s="28">
        <v>45646</v>
      </c>
      <c r="B256" s="29">
        <v>103.4207</v>
      </c>
      <c r="C256" s="28">
        <f t="shared" si="12"/>
        <v>45627</v>
      </c>
    </row>
    <row r="257" spans="1:3">
      <c r="A257" s="28">
        <v>45645</v>
      </c>
      <c r="B257" s="29">
        <v>102.77630000000001</v>
      </c>
      <c r="C257" s="28">
        <f t="shared" si="12"/>
        <v>45627</v>
      </c>
    </row>
    <row r="258" spans="1:3">
      <c r="A258" s="28">
        <v>45644</v>
      </c>
      <c r="B258" s="29">
        <v>102.9979</v>
      </c>
      <c r="C258" s="28">
        <f t="shared" si="12"/>
        <v>45627</v>
      </c>
    </row>
    <row r="259" spans="1:3">
      <c r="A259" s="28">
        <v>45643</v>
      </c>
      <c r="B259" s="29">
        <v>102.91249999999999</v>
      </c>
      <c r="C259" s="28">
        <f t="shared" ref="C259:C322" si="13">DATE(YEAR(A259),MONTH(A259),1)</f>
        <v>45627</v>
      </c>
    </row>
    <row r="260" spans="1:3">
      <c r="A260" s="28">
        <v>45640</v>
      </c>
      <c r="B260" s="29">
        <v>103.43049999999999</v>
      </c>
      <c r="C260" s="28">
        <f t="shared" si="13"/>
        <v>45627</v>
      </c>
    </row>
    <row r="261" spans="1:3">
      <c r="A261" s="28">
        <v>45639</v>
      </c>
      <c r="B261" s="29">
        <v>103.95</v>
      </c>
      <c r="C261" s="28">
        <f t="shared" si="13"/>
        <v>45627</v>
      </c>
    </row>
    <row r="262" spans="1:3">
      <c r="A262" s="28">
        <v>45638</v>
      </c>
      <c r="B262" s="29">
        <v>103.27070000000001</v>
      </c>
      <c r="C262" s="28">
        <f t="shared" si="13"/>
        <v>45627</v>
      </c>
    </row>
    <row r="263" spans="1:3">
      <c r="A263" s="28">
        <v>45637</v>
      </c>
      <c r="B263" s="29">
        <v>100.0324</v>
      </c>
      <c r="C263" s="28">
        <f t="shared" si="13"/>
        <v>45627</v>
      </c>
    </row>
    <row r="264" spans="1:3">
      <c r="A264" s="28">
        <v>45636</v>
      </c>
      <c r="B264" s="29">
        <v>99.375900000000001</v>
      </c>
      <c r="C264" s="28">
        <f t="shared" si="13"/>
        <v>45627</v>
      </c>
    </row>
    <row r="265" spans="1:3">
      <c r="A265" s="28">
        <v>45633</v>
      </c>
      <c r="B265" s="29">
        <v>99.421499999999995</v>
      </c>
      <c r="C265" s="28">
        <f t="shared" si="13"/>
        <v>45627</v>
      </c>
    </row>
    <row r="266" spans="1:3">
      <c r="A266" s="28">
        <v>45632</v>
      </c>
      <c r="B266" s="29">
        <v>103.3837</v>
      </c>
      <c r="C266" s="28">
        <f t="shared" si="13"/>
        <v>45627</v>
      </c>
    </row>
    <row r="267" spans="1:3">
      <c r="A267" s="28">
        <v>45631</v>
      </c>
      <c r="B267" s="29">
        <v>104.23609999999999</v>
      </c>
      <c r="C267" s="28">
        <f t="shared" si="13"/>
        <v>45627</v>
      </c>
    </row>
    <row r="268" spans="1:3">
      <c r="A268" s="28">
        <v>45630</v>
      </c>
      <c r="B268" s="29">
        <v>106.1878</v>
      </c>
      <c r="C268" s="28">
        <f t="shared" si="13"/>
        <v>45627</v>
      </c>
    </row>
    <row r="269" spans="1:3">
      <c r="A269" s="28">
        <v>45629</v>
      </c>
      <c r="B269" s="29">
        <v>107.1758</v>
      </c>
      <c r="C269" s="28">
        <f t="shared" si="13"/>
        <v>45627</v>
      </c>
    </row>
    <row r="270" spans="1:3">
      <c r="A270" s="28">
        <v>45626</v>
      </c>
      <c r="B270" s="29">
        <v>107.7409</v>
      </c>
      <c r="C270" s="28">
        <f t="shared" si="13"/>
        <v>45597</v>
      </c>
    </row>
    <row r="271" spans="1:3">
      <c r="A271" s="28">
        <v>45625</v>
      </c>
      <c r="B271" s="29">
        <v>109.5782</v>
      </c>
      <c r="C271" s="28">
        <f t="shared" si="13"/>
        <v>45597</v>
      </c>
    </row>
    <row r="272" spans="1:3">
      <c r="A272" s="28">
        <v>45624</v>
      </c>
      <c r="B272" s="29">
        <v>108.0104</v>
      </c>
      <c r="C272" s="28">
        <f t="shared" si="13"/>
        <v>45597</v>
      </c>
    </row>
    <row r="273" spans="1:3">
      <c r="A273" s="28">
        <v>45623</v>
      </c>
      <c r="B273" s="29">
        <v>105.0604</v>
      </c>
      <c r="C273" s="28">
        <f t="shared" si="13"/>
        <v>45597</v>
      </c>
    </row>
    <row r="274" spans="1:3">
      <c r="A274" s="28">
        <v>45622</v>
      </c>
      <c r="B274" s="29">
        <v>103.7908</v>
      </c>
      <c r="C274" s="28">
        <f t="shared" si="13"/>
        <v>45597</v>
      </c>
    </row>
    <row r="275" spans="1:3">
      <c r="A275" s="28">
        <v>45619</v>
      </c>
      <c r="B275" s="29">
        <v>102.5761</v>
      </c>
      <c r="C275" s="28">
        <f t="shared" si="13"/>
        <v>45597</v>
      </c>
    </row>
    <row r="276" spans="1:3">
      <c r="A276" s="28">
        <v>45618</v>
      </c>
      <c r="B276" s="29">
        <v>100.6798</v>
      </c>
      <c r="C276" s="28">
        <f t="shared" si="13"/>
        <v>45597</v>
      </c>
    </row>
    <row r="277" spans="1:3">
      <c r="A277" s="28">
        <v>45617</v>
      </c>
      <c r="B277" s="29">
        <v>100.2192</v>
      </c>
      <c r="C277" s="28">
        <f t="shared" si="13"/>
        <v>45597</v>
      </c>
    </row>
    <row r="278" spans="1:3">
      <c r="A278" s="28">
        <v>45616</v>
      </c>
      <c r="B278" s="29">
        <v>100.0348</v>
      </c>
      <c r="C278" s="28">
        <f t="shared" si="13"/>
        <v>45597</v>
      </c>
    </row>
    <row r="279" spans="1:3">
      <c r="A279" s="28">
        <v>45615</v>
      </c>
      <c r="B279" s="29">
        <v>99.942999999999998</v>
      </c>
      <c r="C279" s="28">
        <f t="shared" si="13"/>
        <v>45597</v>
      </c>
    </row>
    <row r="280" spans="1:3">
      <c r="A280" s="28">
        <v>45612</v>
      </c>
      <c r="B280" s="29">
        <v>99.997100000000003</v>
      </c>
      <c r="C280" s="28">
        <f t="shared" si="13"/>
        <v>45597</v>
      </c>
    </row>
    <row r="281" spans="1:3">
      <c r="A281" s="28">
        <v>45611</v>
      </c>
      <c r="B281" s="29">
        <v>99.018000000000001</v>
      </c>
      <c r="C281" s="28">
        <f t="shared" si="13"/>
        <v>45597</v>
      </c>
    </row>
    <row r="282" spans="1:3">
      <c r="A282" s="28">
        <v>45610</v>
      </c>
      <c r="B282" s="29">
        <v>98.365700000000004</v>
      </c>
      <c r="C282" s="28">
        <f t="shared" si="13"/>
        <v>45597</v>
      </c>
    </row>
    <row r="283" spans="1:3">
      <c r="A283" s="28">
        <v>45609</v>
      </c>
      <c r="B283" s="29">
        <v>97.9559</v>
      </c>
      <c r="C283" s="28">
        <f t="shared" si="13"/>
        <v>45597</v>
      </c>
    </row>
    <row r="284" spans="1:3">
      <c r="A284" s="28">
        <v>45608</v>
      </c>
      <c r="B284" s="29">
        <v>97.954999999999998</v>
      </c>
      <c r="C284" s="28">
        <f t="shared" si="13"/>
        <v>45597</v>
      </c>
    </row>
    <row r="285" spans="1:3">
      <c r="A285" s="28">
        <v>45605</v>
      </c>
      <c r="B285" s="29">
        <v>97.833500000000001</v>
      </c>
      <c r="C285" s="28">
        <f t="shared" si="13"/>
        <v>45597</v>
      </c>
    </row>
    <row r="286" spans="1:3">
      <c r="A286" s="28">
        <v>45604</v>
      </c>
      <c r="B286" s="29">
        <v>98.072599999999994</v>
      </c>
      <c r="C286" s="28">
        <f t="shared" si="13"/>
        <v>45597</v>
      </c>
    </row>
    <row r="287" spans="1:3">
      <c r="A287" s="28">
        <v>45603</v>
      </c>
      <c r="B287" s="29">
        <v>98.223600000000005</v>
      </c>
      <c r="C287" s="28">
        <f t="shared" si="13"/>
        <v>45597</v>
      </c>
    </row>
    <row r="288" spans="1:3">
      <c r="A288" s="28">
        <v>45602</v>
      </c>
      <c r="B288" s="29">
        <v>98.056200000000004</v>
      </c>
      <c r="C288" s="28">
        <f t="shared" si="13"/>
        <v>45597</v>
      </c>
    </row>
    <row r="289" spans="1:3">
      <c r="A289" s="28">
        <v>45599</v>
      </c>
      <c r="B289" s="29">
        <v>97.549899999999994</v>
      </c>
      <c r="C289" s="28">
        <f t="shared" si="13"/>
        <v>45597</v>
      </c>
    </row>
    <row r="290" spans="1:3">
      <c r="A290" s="28">
        <v>45598</v>
      </c>
      <c r="B290" s="29">
        <v>97.440200000000004</v>
      </c>
      <c r="C290" s="28">
        <f t="shared" si="13"/>
        <v>45597</v>
      </c>
    </row>
    <row r="291" spans="1:3">
      <c r="A291" s="28">
        <v>45597</v>
      </c>
      <c r="B291" s="29">
        <v>97.022599999999997</v>
      </c>
      <c r="C291" s="28">
        <f t="shared" si="13"/>
        <v>45597</v>
      </c>
    </row>
    <row r="292" spans="1:3">
      <c r="A292" s="28">
        <v>45596</v>
      </c>
      <c r="B292" s="29">
        <v>97.052999999999997</v>
      </c>
      <c r="C292" s="28">
        <f t="shared" si="13"/>
        <v>45566</v>
      </c>
    </row>
    <row r="293" spans="1:3">
      <c r="A293" s="28">
        <v>45595</v>
      </c>
      <c r="B293" s="29">
        <v>97.326099999999997</v>
      </c>
      <c r="C293" s="28">
        <f t="shared" si="13"/>
        <v>45566</v>
      </c>
    </row>
    <row r="294" spans="1:3">
      <c r="A294" s="28">
        <v>45594</v>
      </c>
      <c r="B294" s="29">
        <v>97.23</v>
      </c>
      <c r="C294" s="28">
        <f t="shared" si="13"/>
        <v>45566</v>
      </c>
    </row>
    <row r="295" spans="1:3">
      <c r="A295" s="28">
        <v>45591</v>
      </c>
      <c r="B295" s="29">
        <v>96.665700000000001</v>
      </c>
      <c r="C295" s="28">
        <f t="shared" si="13"/>
        <v>45566</v>
      </c>
    </row>
    <row r="296" spans="1:3">
      <c r="A296" s="28">
        <v>45590</v>
      </c>
      <c r="B296" s="29">
        <v>96.740200000000002</v>
      </c>
      <c r="C296" s="28">
        <f t="shared" si="13"/>
        <v>45566</v>
      </c>
    </row>
    <row r="297" spans="1:3">
      <c r="A297" s="28">
        <v>45589</v>
      </c>
      <c r="B297" s="29">
        <v>96.637900000000002</v>
      </c>
      <c r="C297" s="28">
        <f t="shared" si="13"/>
        <v>45566</v>
      </c>
    </row>
    <row r="298" spans="1:3">
      <c r="A298" s="28">
        <v>45588</v>
      </c>
      <c r="B298" s="29">
        <v>96.591800000000006</v>
      </c>
      <c r="C298" s="28">
        <f t="shared" si="13"/>
        <v>45566</v>
      </c>
    </row>
    <row r="299" spans="1:3">
      <c r="A299" s="28">
        <v>45587</v>
      </c>
      <c r="B299" s="29">
        <v>96.092399999999998</v>
      </c>
      <c r="C299" s="28">
        <f t="shared" si="13"/>
        <v>45566</v>
      </c>
    </row>
    <row r="300" spans="1:3">
      <c r="A300" s="28">
        <v>45584</v>
      </c>
      <c r="B300" s="29">
        <v>96.417199999999994</v>
      </c>
      <c r="C300" s="28">
        <f t="shared" si="13"/>
        <v>45566</v>
      </c>
    </row>
    <row r="301" spans="1:3">
      <c r="A301" s="28">
        <v>45583</v>
      </c>
      <c r="B301" s="29">
        <v>97.149000000000001</v>
      </c>
      <c r="C301" s="28">
        <f t="shared" si="13"/>
        <v>45566</v>
      </c>
    </row>
    <row r="302" spans="1:3">
      <c r="A302" s="28">
        <v>45582</v>
      </c>
      <c r="B302" s="29">
        <v>97.256799999999998</v>
      </c>
      <c r="C302" s="28">
        <f t="shared" si="13"/>
        <v>45566</v>
      </c>
    </row>
    <row r="303" spans="1:3">
      <c r="A303" s="28">
        <v>45581</v>
      </c>
      <c r="B303" s="29">
        <v>97.012100000000004</v>
      </c>
      <c r="C303" s="28">
        <f t="shared" si="13"/>
        <v>45566</v>
      </c>
    </row>
    <row r="304" spans="1:3">
      <c r="A304" s="28">
        <v>45580</v>
      </c>
      <c r="B304" s="29">
        <v>96.102099999999993</v>
      </c>
      <c r="C304" s="28">
        <f t="shared" si="13"/>
        <v>45566</v>
      </c>
    </row>
    <row r="305" spans="1:3">
      <c r="A305" s="28">
        <v>45577</v>
      </c>
      <c r="B305" s="29">
        <v>96.068600000000004</v>
      </c>
      <c r="C305" s="28">
        <f t="shared" si="13"/>
        <v>45566</v>
      </c>
    </row>
    <row r="306" spans="1:3">
      <c r="A306" s="28">
        <v>45576</v>
      </c>
      <c r="B306" s="29">
        <v>97.239400000000003</v>
      </c>
      <c r="C306" s="28">
        <f t="shared" si="13"/>
        <v>45566</v>
      </c>
    </row>
    <row r="307" spans="1:3">
      <c r="A307" s="28">
        <v>45575</v>
      </c>
      <c r="B307" s="29">
        <v>96.948300000000003</v>
      </c>
      <c r="C307" s="28">
        <f t="shared" si="13"/>
        <v>45566</v>
      </c>
    </row>
    <row r="308" spans="1:3">
      <c r="A308" s="28">
        <v>45574</v>
      </c>
      <c r="B308" s="29">
        <v>96.107900000000001</v>
      </c>
      <c r="C308" s="28">
        <f t="shared" si="13"/>
        <v>45566</v>
      </c>
    </row>
    <row r="309" spans="1:3">
      <c r="A309" s="28">
        <v>45573</v>
      </c>
      <c r="B309" s="29">
        <v>96.064899999999994</v>
      </c>
      <c r="C309" s="28">
        <f t="shared" si="13"/>
        <v>45566</v>
      </c>
    </row>
    <row r="310" spans="1:3">
      <c r="A310" s="28">
        <v>45570</v>
      </c>
      <c r="B310" s="29">
        <v>94.87</v>
      </c>
      <c r="C310" s="28">
        <f t="shared" si="13"/>
        <v>45566</v>
      </c>
    </row>
    <row r="311" spans="1:3">
      <c r="A311" s="28">
        <v>45569</v>
      </c>
      <c r="B311" s="29">
        <v>95.026200000000003</v>
      </c>
      <c r="C311" s="28">
        <f t="shared" si="13"/>
        <v>45566</v>
      </c>
    </row>
    <row r="312" spans="1:3">
      <c r="A312" s="28">
        <v>45568</v>
      </c>
      <c r="B312" s="29">
        <v>94.505399999999995</v>
      </c>
      <c r="C312" s="28">
        <f t="shared" si="13"/>
        <v>45566</v>
      </c>
    </row>
    <row r="313" spans="1:3">
      <c r="A313" s="28">
        <v>45567</v>
      </c>
      <c r="B313" s="29">
        <v>93.358099999999993</v>
      </c>
      <c r="C313" s="28">
        <f t="shared" si="13"/>
        <v>45566</v>
      </c>
    </row>
    <row r="314" spans="1:3">
      <c r="A314" s="28">
        <v>45566</v>
      </c>
      <c r="B314" s="29">
        <v>93.222099999999998</v>
      </c>
      <c r="C314" s="28">
        <f t="shared" si="13"/>
        <v>45566</v>
      </c>
    </row>
    <row r="315" spans="1:3">
      <c r="A315" s="28">
        <v>45563</v>
      </c>
      <c r="B315" s="29">
        <v>92.712599999999995</v>
      </c>
      <c r="C315" s="28">
        <f t="shared" si="13"/>
        <v>45536</v>
      </c>
    </row>
    <row r="316" spans="1:3">
      <c r="A316" s="28">
        <v>45562</v>
      </c>
      <c r="B316" s="29">
        <v>92.407399999999996</v>
      </c>
      <c r="C316" s="28">
        <f t="shared" si="13"/>
        <v>45536</v>
      </c>
    </row>
    <row r="317" spans="1:3">
      <c r="A317" s="28">
        <v>45561</v>
      </c>
      <c r="B317" s="29">
        <v>92.388000000000005</v>
      </c>
      <c r="C317" s="28">
        <f t="shared" si="13"/>
        <v>45536</v>
      </c>
    </row>
    <row r="318" spans="1:3">
      <c r="A318" s="28">
        <v>45560</v>
      </c>
      <c r="B318" s="29">
        <v>92.862200000000001</v>
      </c>
      <c r="C318" s="28">
        <f t="shared" si="13"/>
        <v>45536</v>
      </c>
    </row>
    <row r="319" spans="1:3">
      <c r="A319" s="28">
        <v>45559</v>
      </c>
      <c r="B319" s="29">
        <v>92.92</v>
      </c>
      <c r="C319" s="28">
        <f t="shared" si="13"/>
        <v>45536</v>
      </c>
    </row>
    <row r="320" spans="1:3">
      <c r="A320" s="28">
        <v>45556</v>
      </c>
      <c r="B320" s="29">
        <v>92.584800000000001</v>
      </c>
      <c r="C320" s="28">
        <f t="shared" si="13"/>
        <v>45536</v>
      </c>
    </row>
    <row r="321" spans="1:3">
      <c r="A321" s="28">
        <v>45555</v>
      </c>
      <c r="B321" s="29">
        <v>92.696200000000005</v>
      </c>
      <c r="C321" s="28">
        <f t="shared" si="13"/>
        <v>45536</v>
      </c>
    </row>
    <row r="322" spans="1:3">
      <c r="A322" s="28">
        <v>45554</v>
      </c>
      <c r="B322" s="29">
        <v>91.671199999999999</v>
      </c>
      <c r="C322" s="28">
        <f t="shared" si="13"/>
        <v>45536</v>
      </c>
    </row>
    <row r="323" spans="1:3">
      <c r="A323" s="28">
        <v>45553</v>
      </c>
      <c r="B323" s="29">
        <v>91.429199999999994</v>
      </c>
      <c r="C323" s="28">
        <f t="shared" ref="C323:C386" si="14">DATE(YEAR(A323),MONTH(A323),1)</f>
        <v>45536</v>
      </c>
    </row>
    <row r="324" spans="1:3">
      <c r="A324" s="28">
        <v>45552</v>
      </c>
      <c r="B324" s="29">
        <v>91.142300000000006</v>
      </c>
      <c r="C324" s="28">
        <f t="shared" si="14"/>
        <v>45536</v>
      </c>
    </row>
    <row r="325" spans="1:3">
      <c r="A325" s="28">
        <v>45549</v>
      </c>
      <c r="B325" s="29">
        <v>90.9345</v>
      </c>
      <c r="C325" s="28">
        <f t="shared" si="14"/>
        <v>45536</v>
      </c>
    </row>
    <row r="326" spans="1:3">
      <c r="A326" s="28">
        <v>45548</v>
      </c>
      <c r="B326" s="29">
        <v>91.1096</v>
      </c>
      <c r="C326" s="28">
        <f t="shared" si="14"/>
        <v>45536</v>
      </c>
    </row>
    <row r="327" spans="1:3">
      <c r="A327" s="28">
        <v>45547</v>
      </c>
      <c r="B327" s="29">
        <v>91.265299999999996</v>
      </c>
      <c r="C327" s="28">
        <f t="shared" si="14"/>
        <v>45536</v>
      </c>
    </row>
    <row r="328" spans="1:3">
      <c r="A328" s="28">
        <v>45546</v>
      </c>
      <c r="B328" s="29">
        <v>91.112700000000004</v>
      </c>
      <c r="C328" s="28">
        <f t="shared" si="14"/>
        <v>45536</v>
      </c>
    </row>
    <row r="329" spans="1:3">
      <c r="A329" s="28">
        <v>45545</v>
      </c>
      <c r="B329" s="29">
        <v>90.385300000000001</v>
      </c>
      <c r="C329" s="28">
        <f t="shared" si="14"/>
        <v>45536</v>
      </c>
    </row>
    <row r="330" spans="1:3">
      <c r="A330" s="28">
        <v>45542</v>
      </c>
      <c r="B330" s="29">
        <v>89.822500000000005</v>
      </c>
      <c r="C330" s="28">
        <f t="shared" si="14"/>
        <v>45536</v>
      </c>
    </row>
    <row r="331" spans="1:3">
      <c r="A331" s="28">
        <v>45541</v>
      </c>
      <c r="B331" s="29">
        <v>89.704400000000007</v>
      </c>
      <c r="C331" s="28">
        <f t="shared" si="14"/>
        <v>45536</v>
      </c>
    </row>
    <row r="332" spans="1:3">
      <c r="A332" s="28">
        <v>45540</v>
      </c>
      <c r="B332" s="29">
        <v>88.928799999999995</v>
      </c>
      <c r="C332" s="28">
        <f t="shared" si="14"/>
        <v>45536</v>
      </c>
    </row>
    <row r="333" spans="1:3">
      <c r="A333" s="28">
        <v>45539</v>
      </c>
      <c r="B333" s="29">
        <v>88.611800000000002</v>
      </c>
      <c r="C333" s="28">
        <f t="shared" si="14"/>
        <v>45536</v>
      </c>
    </row>
    <row r="334" spans="1:3">
      <c r="A334" s="28">
        <v>45538</v>
      </c>
      <c r="B334" s="29">
        <v>90.001300000000001</v>
      </c>
      <c r="C334" s="28">
        <f t="shared" si="14"/>
        <v>45536</v>
      </c>
    </row>
    <row r="335" spans="1:3">
      <c r="A335" s="28">
        <v>45535</v>
      </c>
      <c r="B335" s="29">
        <v>91.186800000000005</v>
      </c>
      <c r="C335" s="28">
        <f t="shared" si="14"/>
        <v>45505</v>
      </c>
    </row>
    <row r="336" spans="1:3">
      <c r="A336" s="28">
        <v>45534</v>
      </c>
      <c r="B336" s="29">
        <v>91.454800000000006</v>
      </c>
      <c r="C336" s="28">
        <f t="shared" si="14"/>
        <v>45505</v>
      </c>
    </row>
    <row r="337" spans="1:3">
      <c r="A337" s="28">
        <v>45533</v>
      </c>
      <c r="B337" s="29">
        <v>91.444900000000004</v>
      </c>
      <c r="C337" s="28">
        <f t="shared" si="14"/>
        <v>45505</v>
      </c>
    </row>
    <row r="338" spans="1:3">
      <c r="A338" s="28">
        <v>45532</v>
      </c>
      <c r="B338" s="29">
        <v>91.480699999999999</v>
      </c>
      <c r="C338" s="28">
        <f t="shared" si="14"/>
        <v>45505</v>
      </c>
    </row>
    <row r="339" spans="1:3">
      <c r="A339" s="28">
        <v>45531</v>
      </c>
      <c r="B339" s="29">
        <v>91.774500000000003</v>
      </c>
      <c r="C339" s="28">
        <f t="shared" si="14"/>
        <v>45505</v>
      </c>
    </row>
    <row r="340" spans="1:3">
      <c r="A340" s="28">
        <v>45528</v>
      </c>
      <c r="B340" s="29">
        <v>91.601200000000006</v>
      </c>
      <c r="C340" s="28">
        <f t="shared" si="14"/>
        <v>45505</v>
      </c>
    </row>
    <row r="341" spans="1:3">
      <c r="A341" s="28">
        <v>45527</v>
      </c>
      <c r="B341" s="29">
        <v>91.2881</v>
      </c>
      <c r="C341" s="28">
        <f t="shared" si="14"/>
        <v>45505</v>
      </c>
    </row>
    <row r="342" spans="1:3">
      <c r="A342" s="28">
        <v>45526</v>
      </c>
      <c r="B342" s="29">
        <v>91.686199999999999</v>
      </c>
      <c r="C342" s="28">
        <f t="shared" si="14"/>
        <v>45505</v>
      </c>
    </row>
    <row r="343" spans="1:3">
      <c r="A343" s="28">
        <v>45525</v>
      </c>
      <c r="B343" s="29">
        <v>90.694400000000002</v>
      </c>
      <c r="C343" s="28">
        <f t="shared" si="14"/>
        <v>45505</v>
      </c>
    </row>
    <row r="344" spans="1:3">
      <c r="A344" s="28">
        <v>45524</v>
      </c>
      <c r="B344" s="29">
        <v>89.5428</v>
      </c>
      <c r="C344" s="28">
        <f t="shared" si="14"/>
        <v>45505</v>
      </c>
    </row>
    <row r="345" spans="1:3">
      <c r="A345" s="28">
        <v>45521</v>
      </c>
      <c r="B345" s="29">
        <v>88.906199999999998</v>
      </c>
      <c r="C345" s="28">
        <f t="shared" si="14"/>
        <v>45505</v>
      </c>
    </row>
    <row r="346" spans="1:3">
      <c r="A346" s="28">
        <v>45520</v>
      </c>
      <c r="B346" s="29">
        <v>88.796000000000006</v>
      </c>
      <c r="C346" s="28">
        <f t="shared" si="14"/>
        <v>45505</v>
      </c>
    </row>
    <row r="347" spans="1:3">
      <c r="A347" s="28">
        <v>45519</v>
      </c>
      <c r="B347" s="29">
        <v>90.005499999999998</v>
      </c>
      <c r="C347" s="28">
        <f t="shared" si="14"/>
        <v>45505</v>
      </c>
    </row>
    <row r="348" spans="1:3">
      <c r="A348" s="28">
        <v>45518</v>
      </c>
      <c r="B348" s="29">
        <v>92.659199999999998</v>
      </c>
      <c r="C348" s="28">
        <f t="shared" si="14"/>
        <v>45505</v>
      </c>
    </row>
    <row r="349" spans="1:3">
      <c r="A349" s="28">
        <v>45517</v>
      </c>
      <c r="B349" s="29">
        <v>89.947500000000005</v>
      </c>
      <c r="C349" s="28">
        <f t="shared" si="14"/>
        <v>45505</v>
      </c>
    </row>
    <row r="350" spans="1:3">
      <c r="A350" s="28">
        <v>45514</v>
      </c>
      <c r="B350" s="29">
        <v>87.992000000000004</v>
      </c>
      <c r="C350" s="28">
        <f t="shared" si="14"/>
        <v>45505</v>
      </c>
    </row>
    <row r="351" spans="1:3">
      <c r="A351" s="28">
        <v>45513</v>
      </c>
      <c r="B351" s="29">
        <v>86.562100000000001</v>
      </c>
      <c r="C351" s="28">
        <f t="shared" si="14"/>
        <v>45505</v>
      </c>
    </row>
    <row r="352" spans="1:3">
      <c r="A352" s="28">
        <v>45512</v>
      </c>
      <c r="B352" s="29">
        <v>85.954300000000003</v>
      </c>
      <c r="C352" s="28">
        <f t="shared" si="14"/>
        <v>45505</v>
      </c>
    </row>
    <row r="353" spans="1:3">
      <c r="A353" s="28">
        <v>45511</v>
      </c>
      <c r="B353" s="29">
        <v>85.164599999999993</v>
      </c>
      <c r="C353" s="28">
        <f t="shared" si="14"/>
        <v>45505</v>
      </c>
    </row>
    <row r="354" spans="1:3">
      <c r="A354" s="28">
        <v>45510</v>
      </c>
      <c r="B354" s="29">
        <v>84.947100000000006</v>
      </c>
      <c r="C354" s="28">
        <f t="shared" si="14"/>
        <v>45505</v>
      </c>
    </row>
    <row r="355" spans="1:3">
      <c r="A355" s="28">
        <v>45507</v>
      </c>
      <c r="B355" s="29">
        <v>85.702399999999997</v>
      </c>
      <c r="C355" s="28">
        <f t="shared" si="14"/>
        <v>45505</v>
      </c>
    </row>
    <row r="356" spans="1:3">
      <c r="A356" s="28">
        <v>45506</v>
      </c>
      <c r="B356" s="29">
        <v>85.783299999999997</v>
      </c>
      <c r="C356" s="28">
        <f t="shared" si="14"/>
        <v>45505</v>
      </c>
    </row>
    <row r="357" spans="1:3">
      <c r="A357" s="28">
        <v>45505</v>
      </c>
      <c r="B357" s="29">
        <v>86.109099999999998</v>
      </c>
      <c r="C357" s="28">
        <f t="shared" si="14"/>
        <v>45505</v>
      </c>
    </row>
    <row r="358" spans="1:3">
      <c r="A358" s="28">
        <v>45504</v>
      </c>
      <c r="B358" s="29">
        <v>86.33</v>
      </c>
      <c r="C358" s="28">
        <f t="shared" si="14"/>
        <v>45474</v>
      </c>
    </row>
    <row r="359" spans="1:3">
      <c r="A359" s="28">
        <v>45503</v>
      </c>
      <c r="B359" s="29">
        <v>86.555400000000006</v>
      </c>
      <c r="C359" s="28">
        <f t="shared" si="14"/>
        <v>45474</v>
      </c>
    </row>
    <row r="360" spans="1:3">
      <c r="A360" s="28">
        <v>45500</v>
      </c>
      <c r="B360" s="29">
        <v>85.564999999999998</v>
      </c>
      <c r="C360" s="28">
        <f t="shared" si="14"/>
        <v>45474</v>
      </c>
    </row>
    <row r="361" spans="1:3">
      <c r="A361" s="28">
        <v>45499</v>
      </c>
      <c r="B361" s="29">
        <v>85.41</v>
      </c>
      <c r="C361" s="28">
        <f t="shared" si="14"/>
        <v>45474</v>
      </c>
    </row>
    <row r="362" spans="1:3">
      <c r="A362" s="28">
        <v>45498</v>
      </c>
      <c r="B362" s="29">
        <v>86.550200000000004</v>
      </c>
      <c r="C362" s="28">
        <f t="shared" si="14"/>
        <v>45474</v>
      </c>
    </row>
    <row r="363" spans="1:3">
      <c r="A363" s="28">
        <v>45497</v>
      </c>
      <c r="B363" s="29">
        <v>87.299000000000007</v>
      </c>
      <c r="C363" s="28">
        <f t="shared" si="14"/>
        <v>45474</v>
      </c>
    </row>
    <row r="364" spans="1:3">
      <c r="A364" s="28">
        <v>45496</v>
      </c>
      <c r="B364" s="29">
        <v>87.780500000000004</v>
      </c>
      <c r="C364" s="28">
        <f t="shared" si="14"/>
        <v>45474</v>
      </c>
    </row>
    <row r="365" spans="1:3">
      <c r="A365" s="28">
        <v>45493</v>
      </c>
      <c r="B365" s="29">
        <v>88.020600000000002</v>
      </c>
      <c r="C365" s="28">
        <f t="shared" si="14"/>
        <v>45474</v>
      </c>
    </row>
    <row r="366" spans="1:3">
      <c r="A366" s="28">
        <v>45492</v>
      </c>
      <c r="B366" s="29">
        <v>87.875399999999999</v>
      </c>
      <c r="C366" s="28">
        <f t="shared" si="14"/>
        <v>45474</v>
      </c>
    </row>
    <row r="367" spans="1:3">
      <c r="A367" s="28">
        <v>45491</v>
      </c>
      <c r="B367" s="29">
        <v>88.087199999999996</v>
      </c>
      <c r="C367" s="28">
        <f t="shared" si="14"/>
        <v>45474</v>
      </c>
    </row>
    <row r="368" spans="1:3">
      <c r="A368" s="28">
        <v>45490</v>
      </c>
      <c r="B368" s="29">
        <v>88.282399999999996</v>
      </c>
      <c r="C368" s="28">
        <f t="shared" si="14"/>
        <v>45474</v>
      </c>
    </row>
    <row r="369" spans="1:3">
      <c r="A369" s="28">
        <v>45489</v>
      </c>
      <c r="B369" s="29">
        <v>87.807699999999997</v>
      </c>
      <c r="C369" s="28">
        <f t="shared" si="14"/>
        <v>45474</v>
      </c>
    </row>
    <row r="370" spans="1:3">
      <c r="A370" s="28">
        <v>45486</v>
      </c>
      <c r="B370" s="29">
        <v>87.742699999999999</v>
      </c>
      <c r="C370" s="28">
        <f t="shared" si="14"/>
        <v>45474</v>
      </c>
    </row>
    <row r="371" spans="1:3">
      <c r="A371" s="28">
        <v>45485</v>
      </c>
      <c r="B371" s="29">
        <v>87.988</v>
      </c>
      <c r="C371" s="28">
        <f t="shared" si="14"/>
        <v>45474</v>
      </c>
    </row>
    <row r="372" spans="1:3">
      <c r="A372" s="28">
        <v>45484</v>
      </c>
      <c r="B372" s="29">
        <v>87.855099999999993</v>
      </c>
      <c r="C372" s="28">
        <f t="shared" si="14"/>
        <v>45474</v>
      </c>
    </row>
    <row r="373" spans="1:3">
      <c r="A373" s="28">
        <v>45483</v>
      </c>
      <c r="B373" s="29">
        <v>88.003100000000003</v>
      </c>
      <c r="C373" s="28">
        <f t="shared" si="14"/>
        <v>45474</v>
      </c>
    </row>
    <row r="374" spans="1:3">
      <c r="A374" s="28">
        <v>45482</v>
      </c>
      <c r="B374" s="29">
        <v>88.168800000000005</v>
      </c>
      <c r="C374" s="28">
        <f t="shared" si="14"/>
        <v>45474</v>
      </c>
    </row>
    <row r="375" spans="1:3">
      <c r="A375" s="28">
        <v>45479</v>
      </c>
      <c r="B375" s="29">
        <v>88.134799999999998</v>
      </c>
      <c r="C375" s="28">
        <f t="shared" si="14"/>
        <v>45474</v>
      </c>
    </row>
    <row r="376" spans="1:3">
      <c r="A376" s="28">
        <v>45478</v>
      </c>
      <c r="B376" s="29">
        <v>88.120500000000007</v>
      </c>
      <c r="C376" s="28">
        <f t="shared" si="14"/>
        <v>45474</v>
      </c>
    </row>
    <row r="377" spans="1:3">
      <c r="A377" s="28">
        <v>45477</v>
      </c>
      <c r="B377" s="29">
        <v>87.950599999999994</v>
      </c>
      <c r="C377" s="28">
        <f t="shared" si="14"/>
        <v>45474</v>
      </c>
    </row>
    <row r="378" spans="1:3">
      <c r="A378" s="28">
        <v>45476</v>
      </c>
      <c r="B378" s="29">
        <v>87.992099999999994</v>
      </c>
      <c r="C378" s="28">
        <f t="shared" si="14"/>
        <v>45474</v>
      </c>
    </row>
    <row r="379" spans="1:3">
      <c r="A379" s="28">
        <v>45475</v>
      </c>
      <c r="B379" s="29">
        <v>87.297200000000004</v>
      </c>
      <c r="C379" s="28">
        <f t="shared" si="14"/>
        <v>45474</v>
      </c>
    </row>
    <row r="380" spans="1:3">
      <c r="A380" s="28">
        <v>45472</v>
      </c>
      <c r="B380" s="29">
        <v>85.748000000000005</v>
      </c>
      <c r="C380" s="28">
        <f t="shared" si="14"/>
        <v>45444</v>
      </c>
    </row>
    <row r="381" spans="1:3">
      <c r="A381" s="28">
        <v>45471</v>
      </c>
      <c r="B381" s="29">
        <v>84.963999999999999</v>
      </c>
      <c r="C381" s="28">
        <f t="shared" si="14"/>
        <v>45444</v>
      </c>
    </row>
    <row r="382" spans="1:3">
      <c r="A382" s="28">
        <v>45470</v>
      </c>
      <c r="B382" s="29">
        <v>87.806399999999996</v>
      </c>
      <c r="C382" s="28">
        <f t="shared" si="14"/>
        <v>45444</v>
      </c>
    </row>
    <row r="383" spans="1:3">
      <c r="A383" s="28">
        <v>45469</v>
      </c>
      <c r="B383" s="29">
        <v>87.277000000000001</v>
      </c>
      <c r="C383" s="28">
        <f t="shared" si="14"/>
        <v>45444</v>
      </c>
    </row>
    <row r="384" spans="1:3">
      <c r="A384" s="28">
        <v>45468</v>
      </c>
      <c r="B384" s="29">
        <v>87.373000000000005</v>
      </c>
      <c r="C384" s="28">
        <f t="shared" si="14"/>
        <v>45444</v>
      </c>
    </row>
    <row r="385" spans="1:3">
      <c r="A385" s="28">
        <v>45465</v>
      </c>
      <c r="B385" s="29">
        <v>87.959500000000006</v>
      </c>
      <c r="C385" s="28">
        <f t="shared" si="14"/>
        <v>45444</v>
      </c>
    </row>
    <row r="386" spans="1:3">
      <c r="A386" s="28">
        <v>45464</v>
      </c>
      <c r="B386" s="29">
        <v>85.417599999999993</v>
      </c>
      <c r="C386" s="28">
        <f t="shared" si="14"/>
        <v>45444</v>
      </c>
    </row>
    <row r="387" spans="1:3">
      <c r="A387" s="28">
        <v>45463</v>
      </c>
      <c r="B387" s="29">
        <v>82.628200000000007</v>
      </c>
      <c r="C387" s="28">
        <f t="shared" ref="C387:C450" si="15">DATE(YEAR(A387),MONTH(A387),1)</f>
        <v>45444</v>
      </c>
    </row>
    <row r="388" spans="1:3">
      <c r="A388" s="28">
        <v>45462</v>
      </c>
      <c r="B388" s="29">
        <v>87.035399999999996</v>
      </c>
      <c r="C388" s="28">
        <f t="shared" si="15"/>
        <v>45444</v>
      </c>
    </row>
    <row r="389" spans="1:3">
      <c r="A389" s="28">
        <v>45461</v>
      </c>
      <c r="B389" s="29">
        <v>89.049899999999994</v>
      </c>
      <c r="C389" s="28">
        <f t="shared" si="15"/>
        <v>45444</v>
      </c>
    </row>
    <row r="390" spans="1:3">
      <c r="A390" s="28">
        <v>45458</v>
      </c>
      <c r="B390" s="29">
        <v>89.065799999999996</v>
      </c>
      <c r="C390" s="28">
        <f t="shared" si="15"/>
        <v>45444</v>
      </c>
    </row>
    <row r="391" spans="1:3">
      <c r="A391" s="28">
        <v>45457</v>
      </c>
      <c r="B391" s="29">
        <v>88.207999999999998</v>
      </c>
      <c r="C391" s="28">
        <f t="shared" si="15"/>
        <v>45444</v>
      </c>
    </row>
    <row r="392" spans="1:3">
      <c r="A392" s="28">
        <v>45455</v>
      </c>
      <c r="B392" s="29">
        <v>89.0214</v>
      </c>
      <c r="C392" s="28">
        <f t="shared" si="15"/>
        <v>45444</v>
      </c>
    </row>
    <row r="393" spans="1:3">
      <c r="A393" s="28">
        <v>45454</v>
      </c>
      <c r="B393" s="29">
        <v>88.994399999999999</v>
      </c>
      <c r="C393" s="28">
        <f t="shared" si="15"/>
        <v>45444</v>
      </c>
    </row>
    <row r="394" spans="1:3">
      <c r="A394" s="28">
        <v>45451</v>
      </c>
      <c r="B394" s="29">
        <v>88.760599999999997</v>
      </c>
      <c r="C394" s="28">
        <f t="shared" si="15"/>
        <v>45444</v>
      </c>
    </row>
    <row r="395" spans="1:3">
      <c r="A395" s="28">
        <v>45450</v>
      </c>
      <c r="B395" s="29">
        <v>88.760400000000004</v>
      </c>
      <c r="C395" s="28">
        <f t="shared" si="15"/>
        <v>45444</v>
      </c>
    </row>
    <row r="396" spans="1:3">
      <c r="A396" s="28">
        <v>45449</v>
      </c>
      <c r="B396" s="29">
        <v>88.743600000000001</v>
      </c>
      <c r="C396" s="28">
        <f t="shared" si="15"/>
        <v>45444</v>
      </c>
    </row>
    <row r="397" spans="1:3">
      <c r="A397" s="28">
        <v>45448</v>
      </c>
      <c r="B397" s="29">
        <v>88.757400000000004</v>
      </c>
      <c r="C397" s="28">
        <f t="shared" si="15"/>
        <v>45444</v>
      </c>
    </row>
    <row r="398" spans="1:3">
      <c r="A398" s="28">
        <v>45447</v>
      </c>
      <c r="B398" s="29">
        <v>89.375500000000002</v>
      </c>
      <c r="C398" s="28">
        <f t="shared" si="15"/>
        <v>45444</v>
      </c>
    </row>
    <row r="399" spans="1:3">
      <c r="A399" s="28">
        <v>45444</v>
      </c>
      <c r="B399" s="29">
        <v>90.191500000000005</v>
      </c>
      <c r="C399" s="28">
        <f t="shared" si="15"/>
        <v>45444</v>
      </c>
    </row>
    <row r="400" spans="1:3">
      <c r="A400" s="28">
        <v>45443</v>
      </c>
      <c r="B400" s="29">
        <v>89.786900000000003</v>
      </c>
      <c r="C400" s="28">
        <f t="shared" si="15"/>
        <v>45413</v>
      </c>
    </row>
    <row r="401" spans="1:3">
      <c r="A401" s="28">
        <v>45442</v>
      </c>
      <c r="B401" s="29">
        <v>89.258899999999997</v>
      </c>
      <c r="C401" s="28">
        <f t="shared" si="15"/>
        <v>45413</v>
      </c>
    </row>
    <row r="402" spans="1:3">
      <c r="A402" s="28">
        <v>45441</v>
      </c>
      <c r="B402" s="29">
        <v>88.4375</v>
      </c>
      <c r="C402" s="28">
        <f t="shared" si="15"/>
        <v>45413</v>
      </c>
    </row>
    <row r="403" spans="1:3">
      <c r="A403" s="28">
        <v>45440</v>
      </c>
      <c r="B403" s="29">
        <v>88.685199999999995</v>
      </c>
      <c r="C403" s="28">
        <f t="shared" si="15"/>
        <v>45413</v>
      </c>
    </row>
    <row r="404" spans="1:3">
      <c r="A404" s="28">
        <v>45437</v>
      </c>
      <c r="B404" s="29">
        <v>89.702600000000004</v>
      </c>
      <c r="C404" s="28">
        <f t="shared" si="15"/>
        <v>45413</v>
      </c>
    </row>
    <row r="405" spans="1:3">
      <c r="A405" s="28">
        <v>45436</v>
      </c>
      <c r="B405" s="29">
        <v>90.248599999999996</v>
      </c>
      <c r="C405" s="28">
        <f t="shared" si="15"/>
        <v>45413</v>
      </c>
    </row>
    <row r="406" spans="1:3">
      <c r="A406" s="28">
        <v>45435</v>
      </c>
      <c r="B406" s="29">
        <v>90.188699999999997</v>
      </c>
      <c r="C406" s="28">
        <f t="shared" si="15"/>
        <v>45413</v>
      </c>
    </row>
    <row r="407" spans="1:3">
      <c r="A407" s="28">
        <v>45434</v>
      </c>
      <c r="B407" s="29">
        <v>90.408199999999994</v>
      </c>
      <c r="C407" s="28">
        <f t="shared" si="15"/>
        <v>45413</v>
      </c>
    </row>
    <row r="408" spans="1:3">
      <c r="A408" s="28">
        <v>45433</v>
      </c>
      <c r="B408" s="29">
        <v>90.653700000000001</v>
      </c>
      <c r="C408" s="28">
        <f t="shared" si="15"/>
        <v>45413</v>
      </c>
    </row>
    <row r="409" spans="1:3">
      <c r="A409" s="28">
        <v>45430</v>
      </c>
      <c r="B409" s="29">
        <v>90.987300000000005</v>
      </c>
      <c r="C409" s="28">
        <f t="shared" si="15"/>
        <v>45413</v>
      </c>
    </row>
    <row r="410" spans="1:3">
      <c r="A410" s="28">
        <v>45429</v>
      </c>
      <c r="B410" s="29">
        <v>90.923900000000003</v>
      </c>
      <c r="C410" s="28">
        <f t="shared" si="15"/>
        <v>45413</v>
      </c>
    </row>
    <row r="411" spans="1:3">
      <c r="A411" s="28">
        <v>45428</v>
      </c>
      <c r="B411" s="29">
        <v>91.257300000000001</v>
      </c>
      <c r="C411" s="28">
        <f t="shared" si="15"/>
        <v>45413</v>
      </c>
    </row>
    <row r="412" spans="1:3">
      <c r="A412" s="28">
        <v>45427</v>
      </c>
      <c r="B412" s="29">
        <v>91.359099999999998</v>
      </c>
      <c r="C412" s="28">
        <f t="shared" si="15"/>
        <v>45413</v>
      </c>
    </row>
    <row r="413" spans="1:3">
      <c r="A413" s="28">
        <v>45426</v>
      </c>
      <c r="B413" s="29">
        <v>91.632999999999996</v>
      </c>
      <c r="C413" s="28">
        <f t="shared" si="15"/>
        <v>45413</v>
      </c>
    </row>
    <row r="414" spans="1:3">
      <c r="A414" s="28">
        <v>45421</v>
      </c>
      <c r="B414" s="29">
        <v>91.823899999999995</v>
      </c>
      <c r="C414" s="28">
        <f t="shared" si="15"/>
        <v>45413</v>
      </c>
    </row>
    <row r="415" spans="1:3">
      <c r="A415" s="28">
        <v>45420</v>
      </c>
      <c r="B415" s="29">
        <v>91.123099999999994</v>
      </c>
      <c r="C415" s="28">
        <f t="shared" si="15"/>
        <v>45413</v>
      </c>
    </row>
    <row r="416" spans="1:3">
      <c r="A416" s="28">
        <v>45419</v>
      </c>
      <c r="B416" s="29">
        <v>91.312399999999997</v>
      </c>
      <c r="C416" s="28">
        <f t="shared" si="15"/>
        <v>45413</v>
      </c>
    </row>
    <row r="417" spans="1:3">
      <c r="A417" s="28">
        <v>45416</v>
      </c>
      <c r="B417" s="29">
        <v>91.691800000000001</v>
      </c>
      <c r="C417" s="28">
        <f t="shared" si="15"/>
        <v>45413</v>
      </c>
    </row>
    <row r="418" spans="1:3">
      <c r="A418" s="28">
        <v>45415</v>
      </c>
      <c r="B418" s="29">
        <v>92.053799999999995</v>
      </c>
      <c r="C418" s="28">
        <f t="shared" si="15"/>
        <v>45413</v>
      </c>
    </row>
    <row r="419" spans="1:3">
      <c r="A419" s="28">
        <v>45410</v>
      </c>
      <c r="B419" s="29">
        <v>91.7791</v>
      </c>
      <c r="C419" s="28">
        <f t="shared" si="15"/>
        <v>45383</v>
      </c>
    </row>
    <row r="420" spans="1:3">
      <c r="A420" s="28">
        <v>45409</v>
      </c>
      <c r="B420" s="29">
        <v>92.013400000000004</v>
      </c>
      <c r="C420" s="28">
        <f t="shared" si="15"/>
        <v>45383</v>
      </c>
    </row>
    <row r="421" spans="1:3">
      <c r="A421" s="28">
        <v>45408</v>
      </c>
      <c r="B421" s="29">
        <v>92.131399999999999</v>
      </c>
      <c r="C421" s="28">
        <f t="shared" si="15"/>
        <v>45383</v>
      </c>
    </row>
    <row r="422" spans="1:3">
      <c r="A422" s="28">
        <v>45407</v>
      </c>
      <c r="B422" s="29">
        <v>92.505799999999994</v>
      </c>
      <c r="C422" s="28">
        <f t="shared" si="15"/>
        <v>45383</v>
      </c>
    </row>
    <row r="423" spans="1:3">
      <c r="A423" s="28">
        <v>45406</v>
      </c>
      <c r="B423" s="29">
        <v>93.291799999999995</v>
      </c>
      <c r="C423" s="28">
        <f t="shared" si="15"/>
        <v>45383</v>
      </c>
    </row>
    <row r="424" spans="1:3">
      <c r="A424" s="28">
        <v>45405</v>
      </c>
      <c r="B424" s="29">
        <v>93.251900000000006</v>
      </c>
      <c r="C424" s="28">
        <f t="shared" si="15"/>
        <v>45383</v>
      </c>
    </row>
    <row r="425" spans="1:3">
      <c r="A425" s="28">
        <v>45402</v>
      </c>
      <c r="B425" s="29">
        <v>93.440899999999999</v>
      </c>
      <c r="C425" s="28">
        <f t="shared" si="15"/>
        <v>45383</v>
      </c>
    </row>
    <row r="426" spans="1:3">
      <c r="A426" s="28">
        <v>45401</v>
      </c>
      <c r="B426" s="29">
        <v>94.092200000000005</v>
      </c>
      <c r="C426" s="28">
        <f t="shared" si="15"/>
        <v>45383</v>
      </c>
    </row>
    <row r="427" spans="1:3">
      <c r="A427" s="28">
        <v>45400</v>
      </c>
      <c r="B427" s="29">
        <v>94.324200000000005</v>
      </c>
      <c r="C427" s="28">
        <f t="shared" si="15"/>
        <v>45383</v>
      </c>
    </row>
    <row r="428" spans="1:3">
      <c r="A428" s="28">
        <v>45399</v>
      </c>
      <c r="B428" s="29">
        <v>94.074200000000005</v>
      </c>
      <c r="C428" s="28">
        <f t="shared" si="15"/>
        <v>45383</v>
      </c>
    </row>
    <row r="429" spans="1:3">
      <c r="A429" s="28">
        <v>45398</v>
      </c>
      <c r="B429" s="29">
        <v>93.589100000000002</v>
      </c>
      <c r="C429" s="28">
        <f t="shared" si="15"/>
        <v>45383</v>
      </c>
    </row>
    <row r="430" spans="1:3">
      <c r="A430" s="28">
        <v>45395</v>
      </c>
      <c r="B430" s="29">
        <v>93.441900000000004</v>
      </c>
      <c r="C430" s="28">
        <f t="shared" si="15"/>
        <v>45383</v>
      </c>
    </row>
    <row r="431" spans="1:3">
      <c r="A431" s="28">
        <v>45394</v>
      </c>
      <c r="B431" s="29">
        <v>93.7196</v>
      </c>
      <c r="C431" s="28">
        <f t="shared" si="15"/>
        <v>45383</v>
      </c>
    </row>
    <row r="432" spans="1:3">
      <c r="A432" s="28">
        <v>45393</v>
      </c>
      <c r="B432" s="29">
        <v>93.219800000000006</v>
      </c>
      <c r="C432" s="28">
        <f t="shared" si="15"/>
        <v>45383</v>
      </c>
    </row>
    <row r="433" spans="1:3">
      <c r="A433" s="28">
        <v>45392</v>
      </c>
      <c r="B433" s="29">
        <v>92.746300000000005</v>
      </c>
      <c r="C433" s="28">
        <f t="shared" si="15"/>
        <v>45383</v>
      </c>
    </row>
    <row r="434" spans="1:3">
      <c r="A434" s="28">
        <v>45391</v>
      </c>
      <c r="B434" s="29">
        <v>92.581000000000003</v>
      </c>
      <c r="C434" s="28">
        <f t="shared" si="15"/>
        <v>45383</v>
      </c>
    </row>
    <row r="435" spans="1:3">
      <c r="A435" s="28">
        <v>45388</v>
      </c>
      <c r="B435" s="29">
        <v>92.415499999999994</v>
      </c>
      <c r="C435" s="28">
        <f t="shared" si="15"/>
        <v>45383</v>
      </c>
    </row>
    <row r="436" spans="1:3">
      <c r="A436" s="28">
        <v>45387</v>
      </c>
      <c r="B436" s="29">
        <v>92.305800000000005</v>
      </c>
      <c r="C436" s="28">
        <f t="shared" si="15"/>
        <v>45383</v>
      </c>
    </row>
    <row r="437" spans="1:3">
      <c r="A437" s="28">
        <v>45386</v>
      </c>
      <c r="B437" s="29">
        <v>92.389200000000002</v>
      </c>
      <c r="C437" s="28">
        <f t="shared" si="15"/>
        <v>45383</v>
      </c>
    </row>
    <row r="438" spans="1:3">
      <c r="A438" s="28">
        <v>45385</v>
      </c>
      <c r="B438" s="29">
        <v>92.525400000000005</v>
      </c>
      <c r="C438" s="28">
        <f t="shared" si="15"/>
        <v>45383</v>
      </c>
    </row>
    <row r="439" spans="1:3">
      <c r="A439" s="28">
        <v>45384</v>
      </c>
      <c r="B439" s="29">
        <v>92.291399999999996</v>
      </c>
      <c r="C439" s="28">
        <f t="shared" si="15"/>
        <v>45383</v>
      </c>
    </row>
    <row r="440" spans="1:3">
      <c r="A440" s="28">
        <v>45381</v>
      </c>
      <c r="B440" s="29">
        <v>92.366</v>
      </c>
      <c r="C440" s="28">
        <f t="shared" si="15"/>
        <v>45352</v>
      </c>
    </row>
    <row r="441" spans="1:3">
      <c r="A441" s="28">
        <v>45380</v>
      </c>
      <c r="B441" s="29">
        <v>92.262799999999999</v>
      </c>
      <c r="C441" s="28">
        <f t="shared" si="15"/>
        <v>45352</v>
      </c>
    </row>
    <row r="442" spans="1:3">
      <c r="A442" s="28">
        <v>45379</v>
      </c>
      <c r="B442" s="29">
        <v>92.591899999999995</v>
      </c>
      <c r="C442" s="28">
        <f t="shared" si="15"/>
        <v>45352</v>
      </c>
    </row>
    <row r="443" spans="1:3">
      <c r="A443" s="28">
        <v>45378</v>
      </c>
      <c r="B443" s="29">
        <v>92.5745</v>
      </c>
      <c r="C443" s="28">
        <f t="shared" si="15"/>
        <v>45352</v>
      </c>
    </row>
    <row r="444" spans="1:3">
      <c r="A444" s="28">
        <v>45377</v>
      </c>
      <c r="B444" s="29">
        <v>92.7761</v>
      </c>
      <c r="C444" s="28">
        <f t="shared" si="15"/>
        <v>45352</v>
      </c>
    </row>
    <row r="445" spans="1:3">
      <c r="A445" s="28">
        <v>45374</v>
      </c>
      <c r="B445" s="29">
        <v>92.611800000000002</v>
      </c>
      <c r="C445" s="28">
        <f t="shared" si="15"/>
        <v>45352</v>
      </c>
    </row>
    <row r="446" spans="1:3">
      <c r="A446" s="28">
        <v>45373</v>
      </c>
      <c r="B446" s="29">
        <v>91.9499</v>
      </c>
      <c r="C446" s="28">
        <f t="shared" si="15"/>
        <v>45352</v>
      </c>
    </row>
    <row r="447" spans="1:3">
      <c r="A447" s="28">
        <v>45372</v>
      </c>
      <c r="B447" s="29">
        <v>92.686099999999996</v>
      </c>
      <c r="C447" s="28">
        <f t="shared" si="15"/>
        <v>45352</v>
      </c>
    </row>
    <row r="448" spans="1:3">
      <c r="A448" s="28">
        <v>45371</v>
      </c>
      <c r="B448" s="29">
        <v>92.224299999999999</v>
      </c>
      <c r="C448" s="28">
        <f t="shared" si="15"/>
        <v>45352</v>
      </c>
    </row>
    <row r="449" spans="1:3">
      <c r="A449" s="28">
        <v>45370</v>
      </c>
      <c r="B449" s="29">
        <v>91.982900000000001</v>
      </c>
      <c r="C449" s="28">
        <f t="shared" si="15"/>
        <v>45352</v>
      </c>
    </row>
    <row r="450" spans="1:3">
      <c r="A450" s="28">
        <v>45367</v>
      </c>
      <c r="B450" s="29">
        <v>91.87</v>
      </c>
      <c r="C450" s="28">
        <f t="shared" si="15"/>
        <v>45352</v>
      </c>
    </row>
    <row r="451" spans="1:3">
      <c r="A451" s="28">
        <v>45366</v>
      </c>
      <c r="B451" s="29">
        <v>91.635900000000007</v>
      </c>
      <c r="C451" s="28">
        <f t="shared" ref="C451:C514" si="16">DATE(YEAR(A451),MONTH(A451),1)</f>
        <v>45352</v>
      </c>
    </row>
    <row r="452" spans="1:3">
      <c r="A452" s="28">
        <v>45365</v>
      </c>
      <c r="B452" s="29">
        <v>91.544899999999998</v>
      </c>
      <c r="C452" s="28">
        <f t="shared" si="16"/>
        <v>45352</v>
      </c>
    </row>
    <row r="453" spans="1:3">
      <c r="A453" s="28">
        <v>45364</v>
      </c>
      <c r="B453" s="29">
        <v>90.881799999999998</v>
      </c>
      <c r="C453" s="28">
        <f t="shared" si="16"/>
        <v>45352</v>
      </c>
    </row>
    <row r="454" spans="1:3">
      <c r="A454" s="28">
        <v>45363</v>
      </c>
      <c r="B454" s="29">
        <v>90.625200000000007</v>
      </c>
      <c r="C454" s="28">
        <f t="shared" si="16"/>
        <v>45352</v>
      </c>
    </row>
    <row r="455" spans="1:3">
      <c r="A455" s="28">
        <v>45359</v>
      </c>
      <c r="B455" s="29">
        <v>90.749300000000005</v>
      </c>
      <c r="C455" s="28">
        <f t="shared" si="16"/>
        <v>45352</v>
      </c>
    </row>
    <row r="456" spans="1:3">
      <c r="A456" s="28">
        <v>45358</v>
      </c>
      <c r="B456" s="29">
        <v>90.341200000000001</v>
      </c>
      <c r="C456" s="28">
        <f t="shared" si="16"/>
        <v>45352</v>
      </c>
    </row>
    <row r="457" spans="1:3">
      <c r="A457" s="28">
        <v>45357</v>
      </c>
      <c r="B457" s="29">
        <v>91.160399999999996</v>
      </c>
      <c r="C457" s="28">
        <f t="shared" si="16"/>
        <v>45352</v>
      </c>
    </row>
    <row r="458" spans="1:3">
      <c r="A458" s="28">
        <v>45356</v>
      </c>
      <c r="B458" s="29">
        <v>91.353399999999993</v>
      </c>
      <c r="C458" s="28">
        <f t="shared" si="16"/>
        <v>45352</v>
      </c>
    </row>
    <row r="459" spans="1:3">
      <c r="A459" s="28">
        <v>45353</v>
      </c>
      <c r="B459" s="29">
        <v>91.333600000000004</v>
      </c>
      <c r="C459" s="28">
        <f t="shared" si="16"/>
        <v>45352</v>
      </c>
    </row>
    <row r="460" spans="1:3">
      <c r="A460" s="28">
        <v>45352</v>
      </c>
      <c r="B460" s="29">
        <v>90.842299999999994</v>
      </c>
      <c r="C460" s="28">
        <f t="shared" si="16"/>
        <v>45352</v>
      </c>
    </row>
    <row r="461" spans="1:3">
      <c r="A461" s="28">
        <v>45351</v>
      </c>
      <c r="B461" s="29">
        <v>91.869200000000006</v>
      </c>
      <c r="C461" s="28">
        <f t="shared" si="16"/>
        <v>45323</v>
      </c>
    </row>
    <row r="462" spans="1:3">
      <c r="A462" s="28">
        <v>45350</v>
      </c>
      <c r="B462" s="29">
        <v>92.042500000000004</v>
      </c>
      <c r="C462" s="28">
        <f t="shared" si="16"/>
        <v>45323</v>
      </c>
    </row>
    <row r="463" spans="1:3">
      <c r="A463" s="28">
        <v>45349</v>
      </c>
      <c r="B463" s="29">
        <v>92.632099999999994</v>
      </c>
      <c r="C463" s="28">
        <f t="shared" si="16"/>
        <v>45323</v>
      </c>
    </row>
    <row r="464" spans="1:3">
      <c r="A464" s="28">
        <v>45345</v>
      </c>
      <c r="B464" s="29">
        <v>92.751900000000006</v>
      </c>
      <c r="C464" s="28">
        <f t="shared" si="16"/>
        <v>45323</v>
      </c>
    </row>
    <row r="465" spans="1:3">
      <c r="A465" s="28">
        <v>45344</v>
      </c>
      <c r="B465" s="29">
        <v>92.438699999999997</v>
      </c>
      <c r="C465" s="28">
        <f t="shared" si="16"/>
        <v>45323</v>
      </c>
    </row>
    <row r="466" spans="1:3">
      <c r="A466" s="28">
        <v>45343</v>
      </c>
      <c r="B466" s="29">
        <v>92.349000000000004</v>
      </c>
      <c r="C466" s="28">
        <f t="shared" si="16"/>
        <v>45323</v>
      </c>
    </row>
    <row r="467" spans="1:3">
      <c r="A467" s="28">
        <v>45342</v>
      </c>
      <c r="B467" s="29">
        <v>92.410200000000003</v>
      </c>
      <c r="C467" s="28">
        <f t="shared" si="16"/>
        <v>45323</v>
      </c>
    </row>
    <row r="468" spans="1:3">
      <c r="A468" s="28">
        <v>45339</v>
      </c>
      <c r="B468" s="29">
        <v>92.549199999999999</v>
      </c>
      <c r="C468" s="28">
        <f t="shared" si="16"/>
        <v>45323</v>
      </c>
    </row>
    <row r="469" spans="1:3">
      <c r="A469" s="28">
        <v>45338</v>
      </c>
      <c r="B469" s="29">
        <v>91.823700000000002</v>
      </c>
      <c r="C469" s="28">
        <f t="shared" si="16"/>
        <v>45323</v>
      </c>
    </row>
    <row r="470" spans="1:3">
      <c r="A470" s="28">
        <v>45337</v>
      </c>
      <c r="B470" s="29">
        <v>91.431600000000003</v>
      </c>
      <c r="C470" s="28">
        <f t="shared" si="16"/>
        <v>45323</v>
      </c>
    </row>
    <row r="471" spans="1:3">
      <c r="A471" s="28">
        <v>45336</v>
      </c>
      <c r="B471" s="29">
        <v>91.205699999999993</v>
      </c>
      <c r="C471" s="28">
        <f t="shared" si="16"/>
        <v>45323</v>
      </c>
    </row>
    <row r="472" spans="1:3">
      <c r="A472" s="28">
        <v>45335</v>
      </c>
      <c r="B472" s="29">
        <v>91.075800000000001</v>
      </c>
      <c r="C472" s="28">
        <f t="shared" si="16"/>
        <v>45323</v>
      </c>
    </row>
    <row r="473" spans="1:3">
      <c r="A473" s="28">
        <v>45332</v>
      </c>
      <c r="B473" s="29">
        <v>90.890100000000004</v>
      </c>
      <c r="C473" s="28">
        <f t="shared" si="16"/>
        <v>45323</v>
      </c>
    </row>
    <row r="474" spans="1:3">
      <c r="A474" s="28">
        <v>45331</v>
      </c>
      <c r="B474" s="29">
        <v>91.256100000000004</v>
      </c>
      <c r="C474" s="28">
        <f t="shared" si="16"/>
        <v>45323</v>
      </c>
    </row>
    <row r="475" spans="1:3">
      <c r="A475" s="28">
        <v>45330</v>
      </c>
      <c r="B475" s="29">
        <v>91.151399999999995</v>
      </c>
      <c r="C475" s="28">
        <f t="shared" si="16"/>
        <v>45323</v>
      </c>
    </row>
    <row r="476" spans="1:3">
      <c r="A476" s="28">
        <v>45329</v>
      </c>
      <c r="B476" s="29">
        <v>90.684200000000004</v>
      </c>
      <c r="C476" s="28">
        <f t="shared" si="16"/>
        <v>45323</v>
      </c>
    </row>
    <row r="477" spans="1:3">
      <c r="A477" s="28">
        <v>45328</v>
      </c>
      <c r="B477" s="29">
        <v>91.243399999999994</v>
      </c>
      <c r="C477" s="28">
        <f t="shared" si="16"/>
        <v>45323</v>
      </c>
    </row>
    <row r="478" spans="1:3">
      <c r="A478" s="28">
        <v>45325</v>
      </c>
      <c r="B478" s="29">
        <v>90.662599999999998</v>
      </c>
      <c r="C478" s="28">
        <f t="shared" si="16"/>
        <v>45323</v>
      </c>
    </row>
    <row r="479" spans="1:3">
      <c r="A479" s="28">
        <v>45324</v>
      </c>
      <c r="B479" s="29">
        <v>90.229900000000001</v>
      </c>
      <c r="C479" s="28">
        <f t="shared" si="16"/>
        <v>45323</v>
      </c>
    </row>
    <row r="480" spans="1:3">
      <c r="A480" s="28">
        <v>45323</v>
      </c>
      <c r="B480" s="29">
        <v>89.6678</v>
      </c>
      <c r="C480" s="28">
        <f t="shared" si="16"/>
        <v>45323</v>
      </c>
    </row>
    <row r="481" spans="1:3">
      <c r="A481" s="28">
        <v>45322</v>
      </c>
      <c r="B481" s="29">
        <v>89.288700000000006</v>
      </c>
      <c r="C481" s="28">
        <f t="shared" si="16"/>
        <v>45292</v>
      </c>
    </row>
    <row r="482" spans="1:3">
      <c r="A482" s="28">
        <v>45321</v>
      </c>
      <c r="B482" s="29">
        <v>89.608999999999995</v>
      </c>
      <c r="C482" s="28">
        <f t="shared" si="16"/>
        <v>45292</v>
      </c>
    </row>
    <row r="483" spans="1:3">
      <c r="A483" s="28">
        <v>45318</v>
      </c>
      <c r="B483" s="29">
        <v>89.515900000000002</v>
      </c>
      <c r="C483" s="28">
        <f t="shared" si="16"/>
        <v>45292</v>
      </c>
    </row>
    <row r="484" spans="1:3">
      <c r="A484" s="28">
        <v>45317</v>
      </c>
      <c r="B484" s="29">
        <v>88.656199999999998</v>
      </c>
      <c r="C484" s="28">
        <f t="shared" si="16"/>
        <v>45292</v>
      </c>
    </row>
    <row r="485" spans="1:3">
      <c r="A485" s="28">
        <v>45316</v>
      </c>
      <c r="B485" s="29">
        <v>88.282899999999998</v>
      </c>
      <c r="C485" s="28">
        <f t="shared" si="16"/>
        <v>45292</v>
      </c>
    </row>
    <row r="486" spans="1:3">
      <c r="A486" s="28">
        <v>45315</v>
      </c>
      <c r="B486" s="29">
        <v>87.919899999999998</v>
      </c>
      <c r="C486" s="28">
        <f t="shared" si="16"/>
        <v>45292</v>
      </c>
    </row>
    <row r="487" spans="1:3">
      <c r="A487" s="28">
        <v>45314</v>
      </c>
      <c r="B487" s="29">
        <v>87.972399999999993</v>
      </c>
      <c r="C487" s="28">
        <f t="shared" si="16"/>
        <v>45292</v>
      </c>
    </row>
    <row r="488" spans="1:3">
      <c r="A488" s="28">
        <v>45311</v>
      </c>
      <c r="B488" s="29">
        <v>88.589600000000004</v>
      </c>
      <c r="C488" s="28">
        <f t="shared" si="16"/>
        <v>45292</v>
      </c>
    </row>
    <row r="489" spans="1:3">
      <c r="A489" s="28">
        <v>45310</v>
      </c>
      <c r="B489" s="29">
        <v>88.661000000000001</v>
      </c>
      <c r="C489" s="28">
        <f t="shared" si="16"/>
        <v>45292</v>
      </c>
    </row>
    <row r="490" spans="1:3">
      <c r="A490" s="28">
        <v>45309</v>
      </c>
      <c r="B490" s="29">
        <v>88.353999999999999</v>
      </c>
      <c r="C490" s="28">
        <f t="shared" si="16"/>
        <v>45292</v>
      </c>
    </row>
    <row r="491" spans="1:3">
      <c r="A491" s="28">
        <v>45308</v>
      </c>
      <c r="B491" s="29">
        <v>87.645700000000005</v>
      </c>
      <c r="C491" s="28">
        <f t="shared" si="16"/>
        <v>45292</v>
      </c>
    </row>
    <row r="492" spans="1:3">
      <c r="A492" s="28">
        <v>45307</v>
      </c>
      <c r="B492" s="29">
        <v>87.677199999999999</v>
      </c>
      <c r="C492" s="28">
        <f t="shared" si="16"/>
        <v>45292</v>
      </c>
    </row>
    <row r="493" spans="1:3">
      <c r="A493" s="28">
        <v>45304</v>
      </c>
      <c r="B493" s="29">
        <v>88.132400000000004</v>
      </c>
      <c r="C493" s="28">
        <f t="shared" si="16"/>
        <v>45292</v>
      </c>
    </row>
    <row r="494" spans="1:3">
      <c r="A494" s="28">
        <v>45303</v>
      </c>
      <c r="B494" s="29">
        <v>88.781800000000004</v>
      </c>
      <c r="C494" s="28">
        <f t="shared" si="16"/>
        <v>45292</v>
      </c>
    </row>
    <row r="495" spans="1:3">
      <c r="A495" s="28">
        <v>45302</v>
      </c>
      <c r="B495" s="29">
        <v>89.393900000000002</v>
      </c>
      <c r="C495" s="28">
        <f t="shared" si="16"/>
        <v>45292</v>
      </c>
    </row>
    <row r="496" spans="1:3">
      <c r="A496" s="28">
        <v>45301</v>
      </c>
      <c r="B496" s="29">
        <v>90.403999999999996</v>
      </c>
      <c r="C496" s="28">
        <f t="shared" si="16"/>
        <v>45292</v>
      </c>
    </row>
    <row r="497" spans="1:3">
      <c r="A497" s="28">
        <v>45290</v>
      </c>
      <c r="B497" s="29">
        <v>89.688299999999998</v>
      </c>
      <c r="C497" s="28">
        <f t="shared" si="16"/>
        <v>45261</v>
      </c>
    </row>
    <row r="498" spans="1:3">
      <c r="A498" s="28">
        <v>45289</v>
      </c>
      <c r="B498" s="29">
        <v>90.304100000000005</v>
      </c>
      <c r="C498" s="28">
        <f t="shared" si="16"/>
        <v>45261</v>
      </c>
    </row>
    <row r="499" spans="1:3">
      <c r="A499" s="28">
        <v>45288</v>
      </c>
      <c r="B499" s="29">
        <v>91.705100000000002</v>
      </c>
      <c r="C499" s="28">
        <f t="shared" si="16"/>
        <v>45261</v>
      </c>
    </row>
    <row r="500" spans="1:3">
      <c r="A500" s="28">
        <v>45287</v>
      </c>
      <c r="B500" s="29">
        <v>91.706900000000005</v>
      </c>
      <c r="C500" s="28">
        <f t="shared" si="16"/>
        <v>45261</v>
      </c>
    </row>
    <row r="501" spans="1:3">
      <c r="A501" s="28">
        <v>45286</v>
      </c>
      <c r="B501" s="29">
        <v>91.968999999999994</v>
      </c>
      <c r="C501" s="28">
        <f t="shared" si="16"/>
        <v>45261</v>
      </c>
    </row>
    <row r="502" spans="1:3">
      <c r="A502" s="28">
        <v>45283</v>
      </c>
      <c r="B502" s="29">
        <v>91.938900000000004</v>
      </c>
      <c r="C502" s="28">
        <f t="shared" si="16"/>
        <v>45261</v>
      </c>
    </row>
    <row r="503" spans="1:3">
      <c r="A503" s="28">
        <v>45282</v>
      </c>
      <c r="B503" s="29">
        <v>91.706199999999995</v>
      </c>
      <c r="C503" s="28">
        <f t="shared" si="16"/>
        <v>45261</v>
      </c>
    </row>
    <row r="504" spans="1:3">
      <c r="A504" s="28">
        <v>45281</v>
      </c>
      <c r="B504" s="29">
        <v>90.405600000000007</v>
      </c>
      <c r="C504" s="28">
        <f t="shared" si="16"/>
        <v>45261</v>
      </c>
    </row>
    <row r="505" spans="1:3">
      <c r="A505" s="28">
        <v>45280</v>
      </c>
      <c r="B505" s="29">
        <v>90.087000000000003</v>
      </c>
      <c r="C505" s="28">
        <f t="shared" si="16"/>
        <v>45261</v>
      </c>
    </row>
    <row r="506" spans="1:3">
      <c r="A506" s="28">
        <v>45279</v>
      </c>
      <c r="B506" s="29">
        <v>90.416200000000003</v>
      </c>
      <c r="C506" s="28">
        <f t="shared" si="16"/>
        <v>45261</v>
      </c>
    </row>
    <row r="507" spans="1:3">
      <c r="A507" s="28">
        <v>45276</v>
      </c>
      <c r="B507" s="29">
        <v>89.696600000000004</v>
      </c>
      <c r="C507" s="28">
        <f t="shared" si="16"/>
        <v>45261</v>
      </c>
    </row>
    <row r="508" spans="1:3">
      <c r="A508" s="28">
        <v>45275</v>
      </c>
      <c r="B508" s="29">
        <v>89.674099999999996</v>
      </c>
      <c r="C508" s="28">
        <f t="shared" si="16"/>
        <v>45261</v>
      </c>
    </row>
    <row r="509" spans="1:3">
      <c r="A509" s="28">
        <v>45274</v>
      </c>
      <c r="B509" s="29">
        <v>89.892600000000002</v>
      </c>
      <c r="C509" s="28">
        <f t="shared" si="16"/>
        <v>45261</v>
      </c>
    </row>
    <row r="510" spans="1:3">
      <c r="A510" s="28">
        <v>45273</v>
      </c>
      <c r="B510" s="29">
        <v>90.215800000000002</v>
      </c>
      <c r="C510" s="28">
        <f t="shared" si="16"/>
        <v>45261</v>
      </c>
    </row>
    <row r="511" spans="1:3">
      <c r="A511" s="28">
        <v>45272</v>
      </c>
      <c r="B511" s="29">
        <v>90.9846</v>
      </c>
      <c r="C511" s="28">
        <f t="shared" si="16"/>
        <v>45261</v>
      </c>
    </row>
    <row r="512" spans="1:3">
      <c r="A512" s="28">
        <v>45269</v>
      </c>
      <c r="B512" s="29">
        <v>91.640199999999993</v>
      </c>
      <c r="C512" s="28">
        <f t="shared" si="16"/>
        <v>45261</v>
      </c>
    </row>
    <row r="513" spans="1:3">
      <c r="A513" s="28">
        <v>45268</v>
      </c>
      <c r="B513" s="29">
        <v>92.565399999999997</v>
      </c>
      <c r="C513" s="28">
        <f t="shared" si="16"/>
        <v>45261</v>
      </c>
    </row>
    <row r="514" spans="1:3">
      <c r="A514" s="28">
        <v>45267</v>
      </c>
      <c r="B514" s="29">
        <v>92.782600000000002</v>
      </c>
      <c r="C514" s="28">
        <f t="shared" si="16"/>
        <v>45261</v>
      </c>
    </row>
    <row r="515" spans="1:3">
      <c r="A515" s="28">
        <v>45266</v>
      </c>
      <c r="B515" s="29">
        <v>91.582300000000004</v>
      </c>
      <c r="C515" s="28">
        <f t="shared" ref="C515:C578" si="17">DATE(YEAR(A515),MONTH(A515),1)</f>
        <v>45261</v>
      </c>
    </row>
    <row r="516" spans="1:3">
      <c r="A516" s="28">
        <v>45265</v>
      </c>
      <c r="B516" s="29">
        <v>90.672799999999995</v>
      </c>
      <c r="C516" s="28">
        <f t="shared" si="17"/>
        <v>45261</v>
      </c>
    </row>
    <row r="517" spans="1:3">
      <c r="A517" s="28">
        <v>45262</v>
      </c>
      <c r="B517" s="29">
        <v>89.761899999999997</v>
      </c>
      <c r="C517" s="28">
        <f t="shared" si="17"/>
        <v>45261</v>
      </c>
    </row>
    <row r="518" spans="1:3">
      <c r="A518" s="28">
        <v>45261</v>
      </c>
      <c r="B518" s="29">
        <v>88.581900000000005</v>
      </c>
      <c r="C518" s="28">
        <f t="shared" si="17"/>
        <v>45261</v>
      </c>
    </row>
    <row r="519" spans="1:3">
      <c r="A519" s="28">
        <v>45260</v>
      </c>
      <c r="B519" s="29">
        <v>88.884100000000004</v>
      </c>
      <c r="C519" s="28">
        <f t="shared" si="17"/>
        <v>45231</v>
      </c>
    </row>
    <row r="520" spans="1:3">
      <c r="A520" s="28">
        <v>45259</v>
      </c>
      <c r="B520" s="29">
        <v>88.610200000000006</v>
      </c>
      <c r="C520" s="28">
        <f t="shared" si="17"/>
        <v>45231</v>
      </c>
    </row>
    <row r="521" spans="1:3">
      <c r="A521" s="28">
        <v>45258</v>
      </c>
      <c r="B521" s="29">
        <v>88.704499999999996</v>
      </c>
      <c r="C521" s="28">
        <f t="shared" si="17"/>
        <v>45231</v>
      </c>
    </row>
    <row r="522" spans="1:3">
      <c r="A522" s="28">
        <v>45255</v>
      </c>
      <c r="B522" s="29">
        <v>88.813299999999998</v>
      </c>
      <c r="C522" s="28">
        <f t="shared" si="17"/>
        <v>45231</v>
      </c>
    </row>
    <row r="523" spans="1:3">
      <c r="A523" s="28">
        <v>45254</v>
      </c>
      <c r="B523" s="29">
        <v>88.120599999999996</v>
      </c>
      <c r="C523" s="28">
        <f t="shared" si="17"/>
        <v>45231</v>
      </c>
    </row>
    <row r="524" spans="1:3">
      <c r="A524" s="28">
        <v>45253</v>
      </c>
      <c r="B524" s="29">
        <v>88.1648</v>
      </c>
      <c r="C524" s="28">
        <f t="shared" si="17"/>
        <v>45231</v>
      </c>
    </row>
    <row r="525" spans="1:3">
      <c r="A525" s="28">
        <v>45252</v>
      </c>
      <c r="B525" s="29">
        <v>87.870099999999994</v>
      </c>
      <c r="C525" s="28">
        <f t="shared" si="17"/>
        <v>45231</v>
      </c>
    </row>
    <row r="526" spans="1:3">
      <c r="A526" s="28">
        <v>45251</v>
      </c>
      <c r="B526" s="29">
        <v>88.495400000000004</v>
      </c>
      <c r="C526" s="28">
        <f t="shared" si="17"/>
        <v>45231</v>
      </c>
    </row>
    <row r="527" spans="1:3">
      <c r="A527" s="28">
        <v>45248</v>
      </c>
      <c r="B527" s="29">
        <v>89.123699999999999</v>
      </c>
      <c r="C527" s="28">
        <f t="shared" si="17"/>
        <v>45231</v>
      </c>
    </row>
    <row r="528" spans="1:3">
      <c r="A528" s="28">
        <v>45247</v>
      </c>
      <c r="B528" s="29">
        <v>88.946600000000004</v>
      </c>
      <c r="C528" s="28">
        <f t="shared" si="17"/>
        <v>45231</v>
      </c>
    </row>
    <row r="529" spans="1:3">
      <c r="A529" s="28">
        <v>45246</v>
      </c>
      <c r="B529" s="29">
        <v>89.456500000000005</v>
      </c>
      <c r="C529" s="28">
        <f t="shared" si="17"/>
        <v>45231</v>
      </c>
    </row>
    <row r="530" spans="1:3">
      <c r="A530" s="28">
        <v>45245</v>
      </c>
      <c r="B530" s="29">
        <v>91.257000000000005</v>
      </c>
      <c r="C530" s="28">
        <f t="shared" si="17"/>
        <v>45231</v>
      </c>
    </row>
    <row r="531" spans="1:3">
      <c r="A531" s="28">
        <v>45244</v>
      </c>
      <c r="B531" s="29">
        <v>92.118499999999997</v>
      </c>
      <c r="C531" s="28">
        <f t="shared" si="17"/>
        <v>45231</v>
      </c>
    </row>
    <row r="532" spans="1:3">
      <c r="A532" s="28">
        <v>45241</v>
      </c>
      <c r="B532" s="29">
        <v>92.0535</v>
      </c>
      <c r="C532" s="28">
        <f t="shared" si="17"/>
        <v>45231</v>
      </c>
    </row>
    <row r="533" spans="1:3">
      <c r="A533" s="28">
        <v>45240</v>
      </c>
      <c r="B533" s="29">
        <v>91.926599999999993</v>
      </c>
      <c r="C533" s="28">
        <f t="shared" si="17"/>
        <v>45231</v>
      </c>
    </row>
    <row r="534" spans="1:3">
      <c r="A534" s="28">
        <v>45239</v>
      </c>
      <c r="B534" s="29">
        <v>92.197299999999998</v>
      </c>
      <c r="C534" s="28">
        <f t="shared" si="17"/>
        <v>45231</v>
      </c>
    </row>
    <row r="535" spans="1:3">
      <c r="A535" s="28">
        <v>45238</v>
      </c>
      <c r="B535" s="29">
        <v>92.415099999999995</v>
      </c>
      <c r="C535" s="28">
        <f t="shared" si="17"/>
        <v>45231</v>
      </c>
    </row>
    <row r="536" spans="1:3">
      <c r="A536" s="28">
        <v>45234</v>
      </c>
      <c r="B536" s="29">
        <v>93.0351</v>
      </c>
      <c r="C536" s="28">
        <f t="shared" si="17"/>
        <v>45231</v>
      </c>
    </row>
    <row r="537" spans="1:3">
      <c r="A537" s="28">
        <v>45233</v>
      </c>
      <c r="B537" s="29">
        <v>93.173000000000002</v>
      </c>
      <c r="C537" s="28">
        <f t="shared" si="17"/>
        <v>45231</v>
      </c>
    </row>
    <row r="538" spans="1:3">
      <c r="A538" s="28">
        <v>45232</v>
      </c>
      <c r="B538" s="29">
        <v>93.280100000000004</v>
      </c>
      <c r="C538" s="28">
        <f t="shared" si="17"/>
        <v>45231</v>
      </c>
    </row>
    <row r="539" spans="1:3">
      <c r="A539" s="28">
        <v>45231</v>
      </c>
      <c r="B539" s="29">
        <v>92.022599999999997</v>
      </c>
      <c r="C539" s="28">
        <f t="shared" si="17"/>
        <v>45231</v>
      </c>
    </row>
    <row r="540" spans="1:3">
      <c r="A540" s="28">
        <v>45230</v>
      </c>
      <c r="B540" s="29">
        <v>93.243499999999997</v>
      </c>
      <c r="C540" s="28">
        <f t="shared" si="17"/>
        <v>45200</v>
      </c>
    </row>
    <row r="541" spans="1:3">
      <c r="A541" s="28">
        <v>45227</v>
      </c>
      <c r="B541" s="29">
        <v>93.217399999999998</v>
      </c>
      <c r="C541" s="28">
        <f t="shared" si="17"/>
        <v>45200</v>
      </c>
    </row>
    <row r="542" spans="1:3">
      <c r="A542" s="28">
        <v>45226</v>
      </c>
      <c r="B542" s="29">
        <v>93.561599999999999</v>
      </c>
      <c r="C542" s="28">
        <f t="shared" si="17"/>
        <v>45200</v>
      </c>
    </row>
    <row r="543" spans="1:3">
      <c r="A543" s="28">
        <v>45225</v>
      </c>
      <c r="B543" s="29">
        <v>93.150700000000001</v>
      </c>
      <c r="C543" s="28">
        <f t="shared" si="17"/>
        <v>45200</v>
      </c>
    </row>
    <row r="544" spans="1:3">
      <c r="A544" s="28">
        <v>45224</v>
      </c>
      <c r="B544" s="29">
        <v>93.522400000000005</v>
      </c>
      <c r="C544" s="28">
        <f t="shared" si="17"/>
        <v>45200</v>
      </c>
    </row>
    <row r="545" spans="1:3">
      <c r="A545" s="28">
        <v>45223</v>
      </c>
      <c r="B545" s="29">
        <v>94.708100000000002</v>
      </c>
      <c r="C545" s="28">
        <f t="shared" si="17"/>
        <v>45200</v>
      </c>
    </row>
    <row r="546" spans="1:3">
      <c r="A546" s="28">
        <v>45220</v>
      </c>
      <c r="B546" s="29">
        <v>95.905299999999997</v>
      </c>
      <c r="C546" s="28">
        <f t="shared" si="17"/>
        <v>45200</v>
      </c>
    </row>
    <row r="547" spans="1:3">
      <c r="A547" s="28">
        <v>45219</v>
      </c>
      <c r="B547" s="29">
        <v>97.307400000000001</v>
      </c>
      <c r="C547" s="28">
        <f t="shared" si="17"/>
        <v>45200</v>
      </c>
    </row>
    <row r="548" spans="1:3">
      <c r="A548" s="28">
        <v>45218</v>
      </c>
      <c r="B548" s="29">
        <v>97.372399999999999</v>
      </c>
      <c r="C548" s="28">
        <f t="shared" si="17"/>
        <v>45200</v>
      </c>
    </row>
    <row r="549" spans="1:3">
      <c r="A549" s="28">
        <v>45217</v>
      </c>
      <c r="B549" s="29">
        <v>97.345799999999997</v>
      </c>
      <c r="C549" s="28">
        <f t="shared" si="17"/>
        <v>45200</v>
      </c>
    </row>
    <row r="550" spans="1:3">
      <c r="A550" s="28">
        <v>45216</v>
      </c>
      <c r="B550" s="29">
        <v>97.286500000000004</v>
      </c>
      <c r="C550" s="28">
        <f t="shared" si="17"/>
        <v>45200</v>
      </c>
    </row>
    <row r="551" spans="1:3">
      <c r="A551" s="28">
        <v>45213</v>
      </c>
      <c r="B551" s="29">
        <v>97.307500000000005</v>
      </c>
      <c r="C551" s="28">
        <f t="shared" si="17"/>
        <v>45200</v>
      </c>
    </row>
    <row r="552" spans="1:3">
      <c r="A552" s="28">
        <v>45212</v>
      </c>
      <c r="B552" s="29">
        <v>96.994799999999998</v>
      </c>
      <c r="C552" s="28">
        <f t="shared" si="17"/>
        <v>45200</v>
      </c>
    </row>
    <row r="553" spans="1:3">
      <c r="A553" s="28">
        <v>45211</v>
      </c>
      <c r="B553" s="29">
        <v>99.980800000000002</v>
      </c>
      <c r="C553" s="28">
        <f t="shared" si="17"/>
        <v>45200</v>
      </c>
    </row>
    <row r="554" spans="1:3">
      <c r="A554" s="28">
        <v>45210</v>
      </c>
      <c r="B554" s="29">
        <v>99.934899999999999</v>
      </c>
      <c r="C554" s="28">
        <f t="shared" si="17"/>
        <v>45200</v>
      </c>
    </row>
    <row r="555" spans="1:3">
      <c r="A555" s="28">
        <v>45209</v>
      </c>
      <c r="B555" s="29">
        <v>101.35980000000001</v>
      </c>
      <c r="C555" s="28">
        <f t="shared" si="17"/>
        <v>45200</v>
      </c>
    </row>
    <row r="556" spans="1:3">
      <c r="A556" s="28">
        <v>45206</v>
      </c>
      <c r="B556" s="29">
        <v>100.4911</v>
      </c>
      <c r="C556" s="28">
        <f t="shared" si="17"/>
        <v>45200</v>
      </c>
    </row>
    <row r="557" spans="1:3">
      <c r="A557" s="28">
        <v>45205</v>
      </c>
      <c r="B557" s="29">
        <v>99.676199999999994</v>
      </c>
      <c r="C557" s="28">
        <f t="shared" si="17"/>
        <v>45200</v>
      </c>
    </row>
    <row r="558" spans="1:3">
      <c r="A558" s="28">
        <v>45204</v>
      </c>
      <c r="B558" s="29">
        <v>99.455500000000001</v>
      </c>
      <c r="C558" s="28">
        <f t="shared" si="17"/>
        <v>45200</v>
      </c>
    </row>
    <row r="559" spans="1:3">
      <c r="A559" s="28">
        <v>45203</v>
      </c>
      <c r="B559" s="29">
        <v>99.267700000000005</v>
      </c>
      <c r="C559" s="28">
        <f t="shared" si="17"/>
        <v>45200</v>
      </c>
    </row>
    <row r="560" spans="1:3">
      <c r="A560" s="28">
        <v>45202</v>
      </c>
      <c r="B560" s="29">
        <v>98.478499999999997</v>
      </c>
      <c r="C560" s="28">
        <f t="shared" si="17"/>
        <v>45200</v>
      </c>
    </row>
    <row r="561" spans="1:3">
      <c r="A561" s="28">
        <v>45199</v>
      </c>
      <c r="B561" s="29">
        <v>97.414699999999996</v>
      </c>
      <c r="C561" s="28">
        <f t="shared" si="17"/>
        <v>45170</v>
      </c>
    </row>
    <row r="562" spans="1:3">
      <c r="A562" s="28">
        <v>45198</v>
      </c>
      <c r="B562" s="29">
        <v>97.001800000000003</v>
      </c>
      <c r="C562" s="28">
        <f t="shared" si="17"/>
        <v>45170</v>
      </c>
    </row>
    <row r="563" spans="1:3">
      <c r="A563" s="28">
        <v>45197</v>
      </c>
      <c r="B563" s="29">
        <v>96.5</v>
      </c>
      <c r="C563" s="28">
        <f t="shared" si="17"/>
        <v>45170</v>
      </c>
    </row>
    <row r="564" spans="1:3">
      <c r="A564" s="28">
        <v>45196</v>
      </c>
      <c r="B564" s="29">
        <v>96.237799999999993</v>
      </c>
      <c r="C564" s="28">
        <f t="shared" si="17"/>
        <v>45170</v>
      </c>
    </row>
    <row r="565" spans="1:3">
      <c r="A565" s="28">
        <v>45195</v>
      </c>
      <c r="B565" s="29">
        <v>96.145600000000002</v>
      </c>
      <c r="C565" s="28">
        <f t="shared" si="17"/>
        <v>45170</v>
      </c>
    </row>
    <row r="566" spans="1:3">
      <c r="A566" s="28">
        <v>45192</v>
      </c>
      <c r="B566" s="29">
        <v>96.041899999999998</v>
      </c>
      <c r="C566" s="28">
        <f t="shared" si="17"/>
        <v>45170</v>
      </c>
    </row>
    <row r="567" spans="1:3">
      <c r="A567" s="28">
        <v>45191</v>
      </c>
      <c r="B567" s="29">
        <v>96.0762</v>
      </c>
      <c r="C567" s="28">
        <f t="shared" si="17"/>
        <v>45170</v>
      </c>
    </row>
    <row r="568" spans="1:3">
      <c r="A568" s="28">
        <v>45190</v>
      </c>
      <c r="B568" s="29">
        <v>96.617199999999997</v>
      </c>
      <c r="C568" s="28">
        <f t="shared" si="17"/>
        <v>45170</v>
      </c>
    </row>
    <row r="569" spans="1:3">
      <c r="A569" s="28">
        <v>45189</v>
      </c>
      <c r="B569" s="29">
        <v>96.223600000000005</v>
      </c>
      <c r="C569" s="28">
        <f t="shared" si="17"/>
        <v>45170</v>
      </c>
    </row>
    <row r="570" spans="1:3">
      <c r="A570" s="28">
        <v>45188</v>
      </c>
      <c r="B570" s="29">
        <v>96.647199999999998</v>
      </c>
      <c r="C570" s="28">
        <f t="shared" si="17"/>
        <v>45170</v>
      </c>
    </row>
    <row r="571" spans="1:3">
      <c r="A571" s="28">
        <v>45185</v>
      </c>
      <c r="B571" s="29">
        <v>96.633799999999994</v>
      </c>
      <c r="C571" s="28">
        <f t="shared" si="17"/>
        <v>45170</v>
      </c>
    </row>
    <row r="572" spans="1:3">
      <c r="A572" s="28">
        <v>45184</v>
      </c>
      <c r="B572" s="29">
        <v>96.160899999999998</v>
      </c>
      <c r="C572" s="28">
        <f t="shared" si="17"/>
        <v>45170</v>
      </c>
    </row>
    <row r="573" spans="1:3">
      <c r="A573" s="28">
        <v>45183</v>
      </c>
      <c r="B573" s="29">
        <v>95.979399999999998</v>
      </c>
      <c r="C573" s="28">
        <f t="shared" si="17"/>
        <v>45170</v>
      </c>
    </row>
    <row r="574" spans="1:3">
      <c r="A574" s="28">
        <v>45182</v>
      </c>
      <c r="B574" s="29">
        <v>94.703500000000005</v>
      </c>
      <c r="C574" s="28">
        <f t="shared" si="17"/>
        <v>45170</v>
      </c>
    </row>
    <row r="575" spans="1:3">
      <c r="A575" s="28">
        <v>45181</v>
      </c>
      <c r="B575" s="29">
        <v>96.508300000000006</v>
      </c>
      <c r="C575" s="28">
        <f t="shared" si="17"/>
        <v>45170</v>
      </c>
    </row>
    <row r="576" spans="1:3">
      <c r="A576" s="28">
        <v>45178</v>
      </c>
      <c r="B576" s="29">
        <v>97.924099999999996</v>
      </c>
      <c r="C576" s="28">
        <f t="shared" si="17"/>
        <v>45170</v>
      </c>
    </row>
    <row r="577" spans="1:3">
      <c r="A577" s="28">
        <v>45177</v>
      </c>
      <c r="B577" s="29">
        <v>98.196100000000001</v>
      </c>
      <c r="C577" s="28">
        <f t="shared" si="17"/>
        <v>45170</v>
      </c>
    </row>
    <row r="578" spans="1:3">
      <c r="A578" s="28">
        <v>45176</v>
      </c>
      <c r="B578" s="29">
        <v>97.843900000000005</v>
      </c>
      <c r="C578" s="28">
        <f t="shared" si="17"/>
        <v>45170</v>
      </c>
    </row>
    <row r="579" spans="1:3">
      <c r="A579" s="28">
        <v>45175</v>
      </c>
      <c r="B579" s="29">
        <v>97.538300000000007</v>
      </c>
      <c r="C579" s="28">
        <f t="shared" ref="C579:C642" si="18">DATE(YEAR(A579),MONTH(A579),1)</f>
        <v>45170</v>
      </c>
    </row>
    <row r="580" spans="1:3">
      <c r="A580" s="28">
        <v>45174</v>
      </c>
      <c r="B580" s="29">
        <v>96.619900000000001</v>
      </c>
      <c r="C580" s="28">
        <f t="shared" si="18"/>
        <v>45170</v>
      </c>
    </row>
    <row r="581" spans="1:3">
      <c r="A581" s="28">
        <v>45171</v>
      </c>
      <c r="B581" s="29">
        <v>96.341099999999997</v>
      </c>
      <c r="C581" s="28">
        <f t="shared" si="18"/>
        <v>45170</v>
      </c>
    </row>
    <row r="582" spans="1:3">
      <c r="A582" s="28">
        <v>45170</v>
      </c>
      <c r="B582" s="29">
        <v>96.334400000000002</v>
      </c>
      <c r="C582" s="28">
        <f t="shared" si="18"/>
        <v>45170</v>
      </c>
    </row>
    <row r="583" spans="1:3">
      <c r="A583" s="28">
        <v>45169</v>
      </c>
      <c r="B583" s="29">
        <v>95.928299999999993</v>
      </c>
      <c r="C583" s="28">
        <f t="shared" si="18"/>
        <v>45139</v>
      </c>
    </row>
    <row r="584" spans="1:3">
      <c r="A584" s="28">
        <v>45168</v>
      </c>
      <c r="B584" s="29">
        <v>95.706999999999994</v>
      </c>
      <c r="C584" s="28">
        <f t="shared" si="18"/>
        <v>45139</v>
      </c>
    </row>
    <row r="585" spans="1:3">
      <c r="A585" s="28">
        <v>45167</v>
      </c>
      <c r="B585" s="29">
        <v>95.471699999999998</v>
      </c>
      <c r="C585" s="28">
        <f t="shared" si="18"/>
        <v>45139</v>
      </c>
    </row>
    <row r="586" spans="1:3">
      <c r="A586" s="28">
        <v>45164</v>
      </c>
      <c r="B586" s="29">
        <v>94.711699999999993</v>
      </c>
      <c r="C586" s="28">
        <f t="shared" si="18"/>
        <v>45139</v>
      </c>
    </row>
    <row r="587" spans="1:3">
      <c r="A587" s="28">
        <v>45163</v>
      </c>
      <c r="B587" s="29">
        <v>94.400700000000001</v>
      </c>
      <c r="C587" s="28">
        <f t="shared" si="18"/>
        <v>45139</v>
      </c>
    </row>
    <row r="588" spans="1:3">
      <c r="A588" s="28">
        <v>45162</v>
      </c>
      <c r="B588" s="29">
        <v>94.442099999999996</v>
      </c>
      <c r="C588" s="28">
        <f t="shared" si="18"/>
        <v>45139</v>
      </c>
    </row>
    <row r="589" spans="1:3">
      <c r="A589" s="28">
        <v>45161</v>
      </c>
      <c r="B589" s="29">
        <v>94.118499999999997</v>
      </c>
      <c r="C589" s="28">
        <f t="shared" si="18"/>
        <v>45139</v>
      </c>
    </row>
    <row r="590" spans="1:3">
      <c r="A590" s="28">
        <v>45160</v>
      </c>
      <c r="B590" s="29">
        <v>94.142399999999995</v>
      </c>
      <c r="C590" s="28">
        <f t="shared" si="18"/>
        <v>45139</v>
      </c>
    </row>
    <row r="591" spans="1:3">
      <c r="A591" s="28">
        <v>45157</v>
      </c>
      <c r="B591" s="29">
        <v>93.404700000000005</v>
      </c>
      <c r="C591" s="28">
        <f t="shared" si="18"/>
        <v>45139</v>
      </c>
    </row>
    <row r="592" spans="1:3">
      <c r="A592" s="28">
        <v>45156</v>
      </c>
      <c r="B592" s="29">
        <v>93.745999999999995</v>
      </c>
      <c r="C592" s="28">
        <f t="shared" si="18"/>
        <v>45139</v>
      </c>
    </row>
    <row r="593" spans="1:3">
      <c r="A593" s="28">
        <v>45155</v>
      </c>
      <c r="B593" s="29">
        <v>96.704499999999996</v>
      </c>
      <c r="C593" s="28">
        <f t="shared" si="18"/>
        <v>45139</v>
      </c>
    </row>
    <row r="594" spans="1:3">
      <c r="A594" s="28">
        <v>45154</v>
      </c>
      <c r="B594" s="29">
        <v>97.421700000000001</v>
      </c>
      <c r="C594" s="28">
        <f t="shared" si="18"/>
        <v>45139</v>
      </c>
    </row>
    <row r="595" spans="1:3">
      <c r="A595" s="28">
        <v>45153</v>
      </c>
      <c r="B595" s="29">
        <v>101.0399</v>
      </c>
      <c r="C595" s="28">
        <f t="shared" si="18"/>
        <v>45139</v>
      </c>
    </row>
    <row r="596" spans="1:3">
      <c r="A596" s="28">
        <v>45150</v>
      </c>
      <c r="B596" s="29">
        <v>98.206599999999995</v>
      </c>
      <c r="C596" s="28">
        <f t="shared" si="18"/>
        <v>45139</v>
      </c>
    </row>
    <row r="597" spans="1:3">
      <c r="A597" s="28">
        <v>45149</v>
      </c>
      <c r="B597" s="29">
        <v>97.279399999999995</v>
      </c>
      <c r="C597" s="28">
        <f t="shared" si="18"/>
        <v>45139</v>
      </c>
    </row>
    <row r="598" spans="1:3">
      <c r="A598" s="28">
        <v>45148</v>
      </c>
      <c r="B598" s="29">
        <v>97.399900000000002</v>
      </c>
      <c r="C598" s="28">
        <f t="shared" si="18"/>
        <v>45139</v>
      </c>
    </row>
    <row r="599" spans="1:3">
      <c r="A599" s="28">
        <v>45147</v>
      </c>
      <c r="B599" s="29">
        <v>96.075500000000005</v>
      </c>
      <c r="C599" s="28">
        <f t="shared" si="18"/>
        <v>45139</v>
      </c>
    </row>
    <row r="600" spans="1:3">
      <c r="A600" s="28">
        <v>45146</v>
      </c>
      <c r="B600" s="29">
        <v>96.566800000000001</v>
      </c>
      <c r="C600" s="28">
        <f t="shared" si="18"/>
        <v>45139</v>
      </c>
    </row>
    <row r="601" spans="1:3">
      <c r="A601" s="28">
        <v>45143</v>
      </c>
      <c r="B601" s="29">
        <v>94.807599999999994</v>
      </c>
      <c r="C601" s="28">
        <f t="shared" si="18"/>
        <v>45139</v>
      </c>
    </row>
    <row r="602" spans="1:3">
      <c r="A602" s="28">
        <v>45142</v>
      </c>
      <c r="B602" s="29">
        <v>93.779200000000003</v>
      </c>
      <c r="C602" s="28">
        <f t="shared" si="18"/>
        <v>45139</v>
      </c>
    </row>
    <row r="603" spans="1:3">
      <c r="A603" s="28">
        <v>45141</v>
      </c>
      <c r="B603" s="29">
        <v>92.840999999999994</v>
      </c>
      <c r="C603" s="28">
        <f t="shared" si="18"/>
        <v>45139</v>
      </c>
    </row>
    <row r="604" spans="1:3">
      <c r="A604" s="28">
        <v>45140</v>
      </c>
      <c r="B604" s="29">
        <v>91.775499999999994</v>
      </c>
      <c r="C604" s="28">
        <f t="shared" si="18"/>
        <v>45139</v>
      </c>
    </row>
    <row r="605" spans="1:3">
      <c r="A605" s="28">
        <v>45139</v>
      </c>
      <c r="B605" s="29">
        <v>91.592299999999994</v>
      </c>
      <c r="C605" s="28">
        <f t="shared" si="18"/>
        <v>45139</v>
      </c>
    </row>
    <row r="606" spans="1:3">
      <c r="A606" s="28">
        <v>45136</v>
      </c>
      <c r="B606" s="29">
        <v>90.978300000000004</v>
      </c>
      <c r="C606" s="28">
        <f t="shared" si="18"/>
        <v>45108</v>
      </c>
    </row>
    <row r="607" spans="1:3">
      <c r="A607" s="28">
        <v>45135</v>
      </c>
      <c r="B607" s="29">
        <v>90.022499999999994</v>
      </c>
      <c r="C607" s="28">
        <f t="shared" si="18"/>
        <v>45108</v>
      </c>
    </row>
    <row r="608" spans="1:3">
      <c r="A608" s="28">
        <v>45134</v>
      </c>
      <c r="B608" s="29">
        <v>90.046800000000005</v>
      </c>
      <c r="C608" s="28">
        <f t="shared" si="18"/>
        <v>45108</v>
      </c>
    </row>
    <row r="609" spans="1:3">
      <c r="A609" s="28">
        <v>45133</v>
      </c>
      <c r="B609" s="29">
        <v>90.094499999999996</v>
      </c>
      <c r="C609" s="28">
        <f t="shared" si="18"/>
        <v>45108</v>
      </c>
    </row>
    <row r="610" spans="1:3">
      <c r="A610" s="28">
        <v>45132</v>
      </c>
      <c r="B610" s="29">
        <v>90.489000000000004</v>
      </c>
      <c r="C610" s="28">
        <f t="shared" si="18"/>
        <v>45108</v>
      </c>
    </row>
    <row r="611" spans="1:3">
      <c r="A611" s="28">
        <v>45129</v>
      </c>
      <c r="B611" s="29">
        <v>90.384600000000006</v>
      </c>
      <c r="C611" s="28">
        <f t="shared" si="18"/>
        <v>45108</v>
      </c>
    </row>
    <row r="612" spans="1:3">
      <c r="A612" s="28">
        <v>45128</v>
      </c>
      <c r="B612" s="29">
        <v>90.854500000000002</v>
      </c>
      <c r="C612" s="28">
        <f t="shared" si="18"/>
        <v>45108</v>
      </c>
    </row>
    <row r="613" spans="1:3">
      <c r="A613" s="28">
        <v>45127</v>
      </c>
      <c r="B613" s="29">
        <v>91.204599999999999</v>
      </c>
      <c r="C613" s="28">
        <f t="shared" si="18"/>
        <v>45108</v>
      </c>
    </row>
    <row r="614" spans="1:3">
      <c r="A614" s="28">
        <v>45126</v>
      </c>
      <c r="B614" s="29">
        <v>90.690600000000003</v>
      </c>
      <c r="C614" s="28">
        <f t="shared" si="18"/>
        <v>45108</v>
      </c>
    </row>
    <row r="615" spans="1:3">
      <c r="A615" s="28">
        <v>45125</v>
      </c>
      <c r="B615" s="29">
        <v>90.421700000000001</v>
      </c>
      <c r="C615" s="28">
        <f t="shared" si="18"/>
        <v>45108</v>
      </c>
    </row>
    <row r="616" spans="1:3">
      <c r="A616" s="28">
        <v>45122</v>
      </c>
      <c r="B616" s="29">
        <v>90.119</v>
      </c>
      <c r="C616" s="28">
        <f t="shared" si="18"/>
        <v>45108</v>
      </c>
    </row>
    <row r="617" spans="1:3">
      <c r="A617" s="28">
        <v>45121</v>
      </c>
      <c r="B617" s="29">
        <v>90.175700000000006</v>
      </c>
      <c r="C617" s="28">
        <f t="shared" si="18"/>
        <v>45108</v>
      </c>
    </row>
    <row r="618" spans="1:3">
      <c r="A618" s="28">
        <v>45120</v>
      </c>
      <c r="B618" s="29">
        <v>90.625299999999996</v>
      </c>
      <c r="C618" s="28">
        <f t="shared" si="18"/>
        <v>45108</v>
      </c>
    </row>
    <row r="619" spans="1:3">
      <c r="A619" s="28">
        <v>45119</v>
      </c>
      <c r="B619" s="29">
        <v>90.504499999999993</v>
      </c>
      <c r="C619" s="28">
        <f t="shared" si="18"/>
        <v>45108</v>
      </c>
    </row>
    <row r="620" spans="1:3">
      <c r="A620" s="28">
        <v>45118</v>
      </c>
      <c r="B620" s="29">
        <v>91.493099999999998</v>
      </c>
      <c r="C620" s="28">
        <f t="shared" si="18"/>
        <v>45108</v>
      </c>
    </row>
    <row r="621" spans="1:3">
      <c r="A621" s="28">
        <v>45115</v>
      </c>
      <c r="B621" s="29">
        <v>91.687899999999999</v>
      </c>
      <c r="C621" s="28">
        <f t="shared" si="18"/>
        <v>45108</v>
      </c>
    </row>
    <row r="622" spans="1:3">
      <c r="A622" s="28">
        <v>45114</v>
      </c>
      <c r="B622" s="29">
        <v>92.569500000000005</v>
      </c>
      <c r="C622" s="28">
        <f t="shared" si="18"/>
        <v>45108</v>
      </c>
    </row>
    <row r="623" spans="1:3">
      <c r="A623" s="28">
        <v>45113</v>
      </c>
      <c r="B623" s="29">
        <v>90.337999999999994</v>
      </c>
      <c r="C623" s="28">
        <f t="shared" si="18"/>
        <v>45108</v>
      </c>
    </row>
    <row r="624" spans="1:3">
      <c r="A624" s="28">
        <v>45112</v>
      </c>
      <c r="B624" s="29">
        <v>89.545000000000002</v>
      </c>
      <c r="C624" s="28">
        <f t="shared" si="18"/>
        <v>45108</v>
      </c>
    </row>
    <row r="625" spans="1:3">
      <c r="A625" s="28">
        <v>45111</v>
      </c>
      <c r="B625" s="29">
        <v>89.325500000000005</v>
      </c>
      <c r="C625" s="28">
        <f t="shared" si="18"/>
        <v>45108</v>
      </c>
    </row>
    <row r="626" spans="1:3">
      <c r="A626" s="28">
        <v>45108</v>
      </c>
      <c r="B626" s="29">
        <v>88.384399999999999</v>
      </c>
      <c r="C626" s="28">
        <f t="shared" si="18"/>
        <v>45108</v>
      </c>
    </row>
    <row r="627" spans="1:3">
      <c r="A627" s="28">
        <v>45107</v>
      </c>
      <c r="B627" s="29">
        <v>87.034099999999995</v>
      </c>
      <c r="C627" s="28">
        <f t="shared" si="18"/>
        <v>45078</v>
      </c>
    </row>
    <row r="628" spans="1:3">
      <c r="A628" s="28">
        <v>45106</v>
      </c>
      <c r="B628" s="29">
        <v>85.619200000000006</v>
      </c>
      <c r="C628" s="28">
        <f t="shared" si="18"/>
        <v>45078</v>
      </c>
    </row>
    <row r="629" spans="1:3">
      <c r="A629" s="28">
        <v>45105</v>
      </c>
      <c r="B629" s="29">
        <v>85.050399999999996</v>
      </c>
      <c r="C629" s="28">
        <f t="shared" si="18"/>
        <v>45078</v>
      </c>
    </row>
    <row r="630" spans="1:3">
      <c r="A630" s="28">
        <v>45104</v>
      </c>
      <c r="B630" s="29">
        <v>84.664199999999994</v>
      </c>
      <c r="C630" s="28">
        <f t="shared" si="18"/>
        <v>45078</v>
      </c>
    </row>
    <row r="631" spans="1:3">
      <c r="A631" s="28">
        <v>45101</v>
      </c>
      <c r="B631" s="29">
        <v>84.079300000000003</v>
      </c>
      <c r="C631" s="28">
        <f t="shared" si="18"/>
        <v>45078</v>
      </c>
    </row>
    <row r="632" spans="1:3">
      <c r="A632" s="28">
        <v>45100</v>
      </c>
      <c r="B632" s="29">
        <v>83.607699999999994</v>
      </c>
      <c r="C632" s="28">
        <f t="shared" si="18"/>
        <v>45078</v>
      </c>
    </row>
    <row r="633" spans="1:3">
      <c r="A633" s="28">
        <v>45099</v>
      </c>
      <c r="B633" s="29">
        <v>84.246700000000004</v>
      </c>
      <c r="C633" s="28">
        <f t="shared" si="18"/>
        <v>45078</v>
      </c>
    </row>
    <row r="634" spans="1:3">
      <c r="A634" s="28">
        <v>45098</v>
      </c>
      <c r="B634" s="29">
        <v>84.233599999999996</v>
      </c>
      <c r="C634" s="28">
        <f t="shared" si="18"/>
        <v>45078</v>
      </c>
    </row>
    <row r="635" spans="1:3">
      <c r="A635" s="28">
        <v>45097</v>
      </c>
      <c r="B635" s="29">
        <v>83.986599999999996</v>
      </c>
      <c r="C635" s="28">
        <f t="shared" si="18"/>
        <v>45078</v>
      </c>
    </row>
    <row r="636" spans="1:3">
      <c r="A636" s="28">
        <v>45094</v>
      </c>
      <c r="B636" s="29">
        <v>83.649799999999999</v>
      </c>
      <c r="C636" s="28">
        <f t="shared" si="18"/>
        <v>45078</v>
      </c>
    </row>
    <row r="637" spans="1:3">
      <c r="A637" s="28">
        <v>45093</v>
      </c>
      <c r="B637" s="29">
        <v>83.961100000000002</v>
      </c>
      <c r="C637" s="28">
        <f t="shared" si="18"/>
        <v>45078</v>
      </c>
    </row>
    <row r="638" spans="1:3">
      <c r="A638" s="28">
        <v>45092</v>
      </c>
      <c r="B638" s="29">
        <v>84.3249</v>
      </c>
      <c r="C638" s="28">
        <f t="shared" si="18"/>
        <v>45078</v>
      </c>
    </row>
    <row r="639" spans="1:3">
      <c r="A639" s="28">
        <v>45091</v>
      </c>
      <c r="B639" s="29">
        <v>83.640500000000003</v>
      </c>
      <c r="C639" s="28">
        <f t="shared" si="18"/>
        <v>45078</v>
      </c>
    </row>
    <row r="640" spans="1:3">
      <c r="A640" s="28">
        <v>45087</v>
      </c>
      <c r="B640" s="29">
        <v>82.6417</v>
      </c>
      <c r="C640" s="28">
        <f t="shared" si="18"/>
        <v>45078</v>
      </c>
    </row>
    <row r="641" spans="1:3">
      <c r="A641" s="28">
        <v>45086</v>
      </c>
      <c r="B641" s="29">
        <v>82.093000000000004</v>
      </c>
      <c r="C641" s="28">
        <f t="shared" si="18"/>
        <v>45078</v>
      </c>
    </row>
    <row r="642" spans="1:3">
      <c r="A642" s="28">
        <v>45085</v>
      </c>
      <c r="B642" s="29">
        <v>81.458100000000002</v>
      </c>
      <c r="C642" s="28">
        <f t="shared" si="18"/>
        <v>45078</v>
      </c>
    </row>
    <row r="643" spans="1:3">
      <c r="A643" s="28">
        <v>45084</v>
      </c>
      <c r="B643" s="29">
        <v>81.250200000000007</v>
      </c>
      <c r="C643" s="28">
        <f t="shared" ref="C643:C706" si="19">DATE(YEAR(A643),MONTH(A643),1)</f>
        <v>45078</v>
      </c>
    </row>
    <row r="644" spans="1:3">
      <c r="A644" s="28">
        <v>45083</v>
      </c>
      <c r="B644" s="29">
        <v>81.329400000000007</v>
      </c>
      <c r="C644" s="28">
        <f t="shared" si="19"/>
        <v>45078</v>
      </c>
    </row>
    <row r="645" spans="1:3">
      <c r="A645" s="28">
        <v>45080</v>
      </c>
      <c r="B645" s="29">
        <v>80.875600000000006</v>
      </c>
      <c r="C645" s="28">
        <f t="shared" si="19"/>
        <v>45078</v>
      </c>
    </row>
    <row r="646" spans="1:3">
      <c r="A646" s="28">
        <v>45079</v>
      </c>
      <c r="B646" s="29">
        <v>80.965699999999998</v>
      </c>
      <c r="C646" s="28">
        <f t="shared" si="19"/>
        <v>45078</v>
      </c>
    </row>
    <row r="647" spans="1:3">
      <c r="A647" s="28">
        <v>45078</v>
      </c>
      <c r="B647" s="29">
        <v>80.994200000000006</v>
      </c>
      <c r="C647" s="28">
        <f t="shared" si="19"/>
        <v>45078</v>
      </c>
    </row>
    <row r="648" spans="1:3">
      <c r="A648" s="28">
        <v>45077</v>
      </c>
      <c r="B648" s="29">
        <v>80.687200000000004</v>
      </c>
      <c r="C648" s="28">
        <f t="shared" si="19"/>
        <v>45047</v>
      </c>
    </row>
    <row r="649" spans="1:3">
      <c r="A649" s="28">
        <v>45076</v>
      </c>
      <c r="B649" s="29">
        <v>80.055499999999995</v>
      </c>
      <c r="C649" s="28">
        <f t="shared" si="19"/>
        <v>45047</v>
      </c>
    </row>
    <row r="650" spans="1:3">
      <c r="A650" s="28">
        <v>45073</v>
      </c>
      <c r="B650" s="29">
        <v>79.966700000000003</v>
      </c>
      <c r="C650" s="28">
        <f t="shared" si="19"/>
        <v>45047</v>
      </c>
    </row>
    <row r="651" spans="1:3">
      <c r="A651" s="28">
        <v>45072</v>
      </c>
      <c r="B651" s="29">
        <v>79.984099999999998</v>
      </c>
      <c r="C651" s="28">
        <f t="shared" si="19"/>
        <v>45047</v>
      </c>
    </row>
    <row r="652" spans="1:3">
      <c r="A652" s="28">
        <v>45071</v>
      </c>
      <c r="B652" s="29">
        <v>79.966899999999995</v>
      </c>
      <c r="C652" s="28">
        <f t="shared" si="19"/>
        <v>45047</v>
      </c>
    </row>
    <row r="653" spans="1:3">
      <c r="A653" s="28">
        <v>45070</v>
      </c>
      <c r="B653" s="29">
        <v>80.166499999999999</v>
      </c>
      <c r="C653" s="28">
        <f t="shared" si="19"/>
        <v>45047</v>
      </c>
    </row>
    <row r="654" spans="1:3">
      <c r="A654" s="28">
        <v>45069</v>
      </c>
      <c r="B654" s="29">
        <v>79.937899999999999</v>
      </c>
      <c r="C654" s="28">
        <f t="shared" si="19"/>
        <v>45047</v>
      </c>
    </row>
    <row r="655" spans="1:3">
      <c r="A655" s="28">
        <v>45066</v>
      </c>
      <c r="B655" s="29">
        <v>79.909300000000002</v>
      </c>
      <c r="C655" s="28">
        <f t="shared" si="19"/>
        <v>45047</v>
      </c>
    </row>
    <row r="656" spans="1:3">
      <c r="A656" s="28">
        <v>45065</v>
      </c>
      <c r="B656" s="29">
        <v>80.036600000000007</v>
      </c>
      <c r="C656" s="28">
        <f t="shared" si="19"/>
        <v>45047</v>
      </c>
    </row>
    <row r="657" spans="1:3">
      <c r="A657" s="28">
        <v>45064</v>
      </c>
      <c r="B657" s="29">
        <v>80.764200000000002</v>
      </c>
      <c r="C657" s="28">
        <f t="shared" si="19"/>
        <v>45047</v>
      </c>
    </row>
    <row r="658" spans="1:3">
      <c r="A658" s="28">
        <v>45063</v>
      </c>
      <c r="B658" s="29">
        <v>79.979799999999997</v>
      </c>
      <c r="C658" s="28">
        <f t="shared" si="19"/>
        <v>45047</v>
      </c>
    </row>
    <row r="659" spans="1:3">
      <c r="A659" s="28">
        <v>45062</v>
      </c>
      <c r="B659" s="29">
        <v>79.100399999999993</v>
      </c>
      <c r="C659" s="28">
        <f t="shared" si="19"/>
        <v>45047</v>
      </c>
    </row>
    <row r="660" spans="1:3">
      <c r="A660" s="28">
        <v>45059</v>
      </c>
      <c r="B660" s="29">
        <v>77.204099999999997</v>
      </c>
      <c r="C660" s="28">
        <f t="shared" si="19"/>
        <v>45047</v>
      </c>
    </row>
    <row r="661" spans="1:3">
      <c r="A661" s="28">
        <v>45058</v>
      </c>
      <c r="B661" s="29">
        <v>75.884600000000006</v>
      </c>
      <c r="C661" s="28">
        <f t="shared" si="19"/>
        <v>45047</v>
      </c>
    </row>
    <row r="662" spans="1:3">
      <c r="A662" s="28">
        <v>45057</v>
      </c>
      <c r="B662" s="29">
        <v>76.692899999999995</v>
      </c>
      <c r="C662" s="28">
        <f t="shared" si="19"/>
        <v>45047</v>
      </c>
    </row>
    <row r="663" spans="1:3">
      <c r="A663" s="28">
        <v>45052</v>
      </c>
      <c r="B663" s="29">
        <v>76.820700000000002</v>
      </c>
      <c r="C663" s="28">
        <f t="shared" si="19"/>
        <v>45047</v>
      </c>
    </row>
    <row r="664" spans="1:3">
      <c r="A664" s="28">
        <v>45051</v>
      </c>
      <c r="B664" s="29">
        <v>78.613900000000001</v>
      </c>
      <c r="C664" s="28">
        <f t="shared" si="19"/>
        <v>45047</v>
      </c>
    </row>
    <row r="665" spans="1:3">
      <c r="A665" s="28">
        <v>45050</v>
      </c>
      <c r="B665" s="29">
        <v>79.307100000000005</v>
      </c>
      <c r="C665" s="28">
        <f t="shared" si="19"/>
        <v>45047</v>
      </c>
    </row>
    <row r="666" spans="1:3">
      <c r="A666" s="28">
        <v>45049</v>
      </c>
      <c r="B666" s="29">
        <v>79.960899999999995</v>
      </c>
      <c r="C666" s="28">
        <f t="shared" si="19"/>
        <v>45047</v>
      </c>
    </row>
    <row r="667" spans="1:3">
      <c r="A667" s="28">
        <v>45045</v>
      </c>
      <c r="B667" s="29">
        <v>80.509299999999996</v>
      </c>
      <c r="C667" s="28">
        <f t="shared" si="19"/>
        <v>45017</v>
      </c>
    </row>
    <row r="668" spans="1:3">
      <c r="A668" s="28">
        <v>45044</v>
      </c>
      <c r="B668" s="29">
        <v>81.560100000000006</v>
      </c>
      <c r="C668" s="28">
        <f t="shared" si="19"/>
        <v>45017</v>
      </c>
    </row>
    <row r="669" spans="1:3">
      <c r="A669" s="28">
        <v>45043</v>
      </c>
      <c r="B669" s="29">
        <v>81.627399999999994</v>
      </c>
      <c r="C669" s="28">
        <f t="shared" si="19"/>
        <v>45017</v>
      </c>
    </row>
    <row r="670" spans="1:3">
      <c r="A670" s="28">
        <v>45042</v>
      </c>
      <c r="B670" s="29">
        <v>81.549899999999994</v>
      </c>
      <c r="C670" s="28">
        <f t="shared" si="19"/>
        <v>45017</v>
      </c>
    </row>
    <row r="671" spans="1:3">
      <c r="A671" s="28">
        <v>45041</v>
      </c>
      <c r="B671" s="29">
        <v>81.274500000000003</v>
      </c>
      <c r="C671" s="28">
        <f t="shared" si="19"/>
        <v>45017</v>
      </c>
    </row>
    <row r="672" spans="1:3">
      <c r="A672" s="28">
        <v>45038</v>
      </c>
      <c r="B672" s="29">
        <v>81.4863</v>
      </c>
      <c r="C672" s="28">
        <f t="shared" si="19"/>
        <v>45017</v>
      </c>
    </row>
    <row r="673" spans="1:3">
      <c r="A673" s="28">
        <v>45037</v>
      </c>
      <c r="B673" s="29">
        <v>81.618799999999993</v>
      </c>
      <c r="C673" s="28">
        <f t="shared" si="19"/>
        <v>45017</v>
      </c>
    </row>
    <row r="674" spans="1:3">
      <c r="A674" s="28">
        <v>45036</v>
      </c>
      <c r="B674" s="29">
        <v>81.654899999999998</v>
      </c>
      <c r="C674" s="28">
        <f t="shared" si="19"/>
        <v>45017</v>
      </c>
    </row>
    <row r="675" spans="1:3">
      <c r="A675" s="28">
        <v>45035</v>
      </c>
      <c r="B675" s="29">
        <v>81.602800000000002</v>
      </c>
      <c r="C675" s="28">
        <f t="shared" si="19"/>
        <v>45017</v>
      </c>
    </row>
    <row r="676" spans="1:3">
      <c r="A676" s="28">
        <v>45034</v>
      </c>
      <c r="B676" s="29">
        <v>81.627899999999997</v>
      </c>
      <c r="C676" s="28">
        <f t="shared" si="19"/>
        <v>45017</v>
      </c>
    </row>
    <row r="677" spans="1:3">
      <c r="A677" s="28">
        <v>45031</v>
      </c>
      <c r="B677" s="29">
        <v>81.504499999999993</v>
      </c>
      <c r="C677" s="28">
        <f t="shared" si="19"/>
        <v>45017</v>
      </c>
    </row>
    <row r="678" spans="1:3">
      <c r="A678" s="28">
        <v>45030</v>
      </c>
      <c r="B678" s="29">
        <v>81.675799999999995</v>
      </c>
      <c r="C678" s="28">
        <f t="shared" si="19"/>
        <v>45017</v>
      </c>
    </row>
    <row r="679" spans="1:3">
      <c r="A679" s="28">
        <v>45029</v>
      </c>
      <c r="B679" s="29">
        <v>82.093400000000003</v>
      </c>
      <c r="C679" s="28">
        <f t="shared" si="19"/>
        <v>45017</v>
      </c>
    </row>
    <row r="680" spans="1:3">
      <c r="A680" s="28">
        <v>45028</v>
      </c>
      <c r="B680" s="29">
        <v>82.179900000000004</v>
      </c>
      <c r="C680" s="28">
        <f t="shared" si="19"/>
        <v>45017</v>
      </c>
    </row>
    <row r="681" spans="1:3">
      <c r="A681" s="28">
        <v>45027</v>
      </c>
      <c r="B681" s="29">
        <v>81.744100000000003</v>
      </c>
      <c r="C681" s="28">
        <f t="shared" si="19"/>
        <v>45017</v>
      </c>
    </row>
    <row r="682" spans="1:3">
      <c r="A682" s="28">
        <v>45024</v>
      </c>
      <c r="B682" s="29">
        <v>82.398799999999994</v>
      </c>
      <c r="C682" s="28">
        <f t="shared" si="19"/>
        <v>45017</v>
      </c>
    </row>
    <row r="683" spans="1:3">
      <c r="A683" s="28">
        <v>45023</v>
      </c>
      <c r="B683" s="29">
        <v>80.671300000000002</v>
      </c>
      <c r="C683" s="28">
        <f t="shared" si="19"/>
        <v>45017</v>
      </c>
    </row>
    <row r="684" spans="1:3">
      <c r="A684" s="28">
        <v>45022</v>
      </c>
      <c r="B684" s="29">
        <v>79.496099999999998</v>
      </c>
      <c r="C684" s="28">
        <f t="shared" si="19"/>
        <v>45017</v>
      </c>
    </row>
    <row r="685" spans="1:3">
      <c r="A685" s="28">
        <v>45021</v>
      </c>
      <c r="B685" s="29">
        <v>79.356300000000005</v>
      </c>
      <c r="C685" s="28">
        <f t="shared" si="19"/>
        <v>45017</v>
      </c>
    </row>
    <row r="686" spans="1:3">
      <c r="A686" s="28">
        <v>45020</v>
      </c>
      <c r="B686" s="29">
        <v>77.950999999999993</v>
      </c>
      <c r="C686" s="28">
        <f t="shared" si="19"/>
        <v>45017</v>
      </c>
    </row>
    <row r="687" spans="1:3">
      <c r="A687" s="28">
        <v>45017</v>
      </c>
      <c r="B687" s="29">
        <v>77.323300000000003</v>
      </c>
      <c r="C687" s="28">
        <f t="shared" si="19"/>
        <v>45017</v>
      </c>
    </row>
    <row r="688" spans="1:3">
      <c r="A688" s="28">
        <v>45016</v>
      </c>
      <c r="B688" s="29">
        <v>77.086299999999994</v>
      </c>
      <c r="C688" s="28">
        <f t="shared" si="19"/>
        <v>44986</v>
      </c>
    </row>
    <row r="689" spans="1:3">
      <c r="A689" s="28">
        <v>45015</v>
      </c>
      <c r="B689" s="29">
        <v>76.978099999999998</v>
      </c>
      <c r="C689" s="28">
        <f t="shared" si="19"/>
        <v>44986</v>
      </c>
    </row>
    <row r="690" spans="1:3">
      <c r="A690" s="28">
        <v>45014</v>
      </c>
      <c r="B690" s="29">
        <v>76.593900000000005</v>
      </c>
      <c r="C690" s="28">
        <f t="shared" si="19"/>
        <v>44986</v>
      </c>
    </row>
    <row r="691" spans="1:3">
      <c r="A691" s="28">
        <v>45013</v>
      </c>
      <c r="B691" s="29">
        <v>76.566199999999995</v>
      </c>
      <c r="C691" s="28">
        <f t="shared" si="19"/>
        <v>44986</v>
      </c>
    </row>
    <row r="692" spans="1:3">
      <c r="A692" s="28">
        <v>45010</v>
      </c>
      <c r="B692" s="29">
        <v>76.447900000000004</v>
      </c>
      <c r="C692" s="28">
        <f t="shared" si="19"/>
        <v>44986</v>
      </c>
    </row>
    <row r="693" spans="1:3">
      <c r="A693" s="28">
        <v>45009</v>
      </c>
      <c r="B693" s="29">
        <v>76.307199999999995</v>
      </c>
      <c r="C693" s="28">
        <f t="shared" si="19"/>
        <v>44986</v>
      </c>
    </row>
    <row r="694" spans="1:3">
      <c r="A694" s="28">
        <v>45008</v>
      </c>
      <c r="B694" s="29">
        <v>76.956100000000006</v>
      </c>
      <c r="C694" s="28">
        <f t="shared" si="19"/>
        <v>44986</v>
      </c>
    </row>
    <row r="695" spans="1:3">
      <c r="A695" s="28">
        <v>45007</v>
      </c>
      <c r="B695" s="29">
        <v>76.837299999999999</v>
      </c>
      <c r="C695" s="28">
        <f t="shared" si="19"/>
        <v>44986</v>
      </c>
    </row>
    <row r="696" spans="1:3">
      <c r="A696" s="28">
        <v>45006</v>
      </c>
      <c r="B696" s="29">
        <v>77.242199999999997</v>
      </c>
      <c r="C696" s="28">
        <f t="shared" si="19"/>
        <v>44986</v>
      </c>
    </row>
    <row r="697" spans="1:3">
      <c r="A697" s="28">
        <v>45003</v>
      </c>
      <c r="B697" s="29">
        <v>76.604399999999998</v>
      </c>
      <c r="C697" s="28">
        <f t="shared" si="19"/>
        <v>44986</v>
      </c>
    </row>
    <row r="698" spans="1:3">
      <c r="A698" s="28">
        <v>45002</v>
      </c>
      <c r="B698" s="29">
        <v>76.409499999999994</v>
      </c>
      <c r="C698" s="28">
        <f t="shared" si="19"/>
        <v>44986</v>
      </c>
    </row>
    <row r="699" spans="1:3">
      <c r="A699" s="28">
        <v>45001</v>
      </c>
      <c r="B699" s="29">
        <v>75.745699999999999</v>
      </c>
      <c r="C699" s="28">
        <f t="shared" si="19"/>
        <v>44986</v>
      </c>
    </row>
    <row r="700" spans="1:3">
      <c r="A700" s="28">
        <v>45000</v>
      </c>
      <c r="B700" s="29">
        <v>75.192700000000002</v>
      </c>
      <c r="C700" s="28">
        <f t="shared" si="19"/>
        <v>44986</v>
      </c>
    </row>
    <row r="701" spans="1:3">
      <c r="A701" s="28">
        <v>44999</v>
      </c>
      <c r="B701" s="29">
        <v>75.460899999999995</v>
      </c>
      <c r="C701" s="28">
        <f t="shared" si="19"/>
        <v>44986</v>
      </c>
    </row>
    <row r="702" spans="1:3">
      <c r="A702" s="28">
        <v>44996</v>
      </c>
      <c r="B702" s="29">
        <v>75.940600000000003</v>
      </c>
      <c r="C702" s="28">
        <f t="shared" si="19"/>
        <v>44986</v>
      </c>
    </row>
    <row r="703" spans="1:3">
      <c r="A703" s="28">
        <v>44995</v>
      </c>
      <c r="B703" s="29">
        <v>75.902799999999999</v>
      </c>
      <c r="C703" s="28">
        <f t="shared" si="19"/>
        <v>44986</v>
      </c>
    </row>
    <row r="704" spans="1:3">
      <c r="A704" s="28">
        <v>44993</v>
      </c>
      <c r="B704" s="29">
        <v>75.457700000000003</v>
      </c>
      <c r="C704" s="28">
        <f t="shared" si="19"/>
        <v>44986</v>
      </c>
    </row>
    <row r="705" spans="1:3">
      <c r="A705" s="28">
        <v>44992</v>
      </c>
      <c r="B705" s="29">
        <v>75.472800000000007</v>
      </c>
      <c r="C705" s="28">
        <f t="shared" si="19"/>
        <v>44986</v>
      </c>
    </row>
    <row r="706" spans="1:3">
      <c r="A706" s="28">
        <v>44989</v>
      </c>
      <c r="B706" s="29">
        <v>75.459199999999996</v>
      </c>
      <c r="C706" s="28">
        <f t="shared" si="19"/>
        <v>44986</v>
      </c>
    </row>
    <row r="707" spans="1:3">
      <c r="A707" s="28">
        <v>44988</v>
      </c>
      <c r="B707" s="29">
        <v>75.472899999999996</v>
      </c>
      <c r="C707" s="28">
        <f t="shared" ref="C707:C770" si="20">DATE(YEAR(A707),MONTH(A707),1)</f>
        <v>44986</v>
      </c>
    </row>
    <row r="708" spans="1:3">
      <c r="A708" s="28">
        <v>44987</v>
      </c>
      <c r="B708" s="29">
        <v>75.251300000000001</v>
      </c>
      <c r="C708" s="28">
        <f t="shared" si="20"/>
        <v>44986</v>
      </c>
    </row>
    <row r="709" spans="1:3">
      <c r="A709" s="28">
        <v>44986</v>
      </c>
      <c r="B709" s="29">
        <v>74.893199999999993</v>
      </c>
      <c r="C709" s="28">
        <f t="shared" si="20"/>
        <v>44986</v>
      </c>
    </row>
    <row r="710" spans="1:3">
      <c r="A710" s="28">
        <v>44985</v>
      </c>
      <c r="B710" s="29">
        <v>75.432299999999998</v>
      </c>
      <c r="C710" s="28">
        <f t="shared" si="20"/>
        <v>44958</v>
      </c>
    </row>
    <row r="711" spans="1:3">
      <c r="A711" s="28">
        <v>44980</v>
      </c>
      <c r="B711" s="29">
        <v>74.708699999999993</v>
      </c>
      <c r="C711" s="28">
        <f t="shared" si="20"/>
        <v>44958</v>
      </c>
    </row>
    <row r="712" spans="1:3">
      <c r="A712" s="28">
        <v>44979</v>
      </c>
      <c r="B712" s="29">
        <v>74.8596</v>
      </c>
      <c r="C712" s="28">
        <f t="shared" si="20"/>
        <v>44958</v>
      </c>
    </row>
    <row r="713" spans="1:3">
      <c r="A713" s="28">
        <v>44978</v>
      </c>
      <c r="B713" s="29">
        <v>74.043199999999999</v>
      </c>
      <c r="C713" s="28">
        <f t="shared" si="20"/>
        <v>44958</v>
      </c>
    </row>
    <row r="714" spans="1:3">
      <c r="A714" s="28">
        <v>44975</v>
      </c>
      <c r="B714" s="29">
        <v>74.758799999999994</v>
      </c>
      <c r="C714" s="28">
        <f t="shared" si="20"/>
        <v>44958</v>
      </c>
    </row>
    <row r="715" spans="1:3">
      <c r="A715" s="28">
        <v>44974</v>
      </c>
      <c r="B715" s="29">
        <v>74.763800000000003</v>
      </c>
      <c r="C715" s="28">
        <f t="shared" si="20"/>
        <v>44958</v>
      </c>
    </row>
    <row r="716" spans="1:3">
      <c r="A716" s="28">
        <v>44973</v>
      </c>
      <c r="B716" s="29">
        <v>74.207700000000003</v>
      </c>
      <c r="C716" s="28">
        <f t="shared" si="20"/>
        <v>44958</v>
      </c>
    </row>
    <row r="717" spans="1:3">
      <c r="A717" s="28">
        <v>44972</v>
      </c>
      <c r="B717" s="29">
        <v>73.864500000000007</v>
      </c>
      <c r="C717" s="28">
        <f t="shared" si="20"/>
        <v>44958</v>
      </c>
    </row>
    <row r="718" spans="1:3">
      <c r="A718" s="28">
        <v>44971</v>
      </c>
      <c r="B718" s="29">
        <v>73.630700000000004</v>
      </c>
      <c r="C718" s="28">
        <f t="shared" si="20"/>
        <v>44958</v>
      </c>
    </row>
    <row r="719" spans="1:3">
      <c r="A719" s="28">
        <v>44968</v>
      </c>
      <c r="B719" s="29">
        <v>72.792299999999997</v>
      </c>
      <c r="C719" s="28">
        <f t="shared" si="20"/>
        <v>44958</v>
      </c>
    </row>
    <row r="720" spans="1:3">
      <c r="A720" s="28">
        <v>44967</v>
      </c>
      <c r="B720" s="29">
        <v>72.894900000000007</v>
      </c>
      <c r="C720" s="28">
        <f t="shared" si="20"/>
        <v>44958</v>
      </c>
    </row>
    <row r="721" spans="1:3">
      <c r="A721" s="28">
        <v>44966</v>
      </c>
      <c r="B721" s="29">
        <v>71.576300000000003</v>
      </c>
      <c r="C721" s="28">
        <f t="shared" si="20"/>
        <v>44958</v>
      </c>
    </row>
    <row r="722" spans="1:3">
      <c r="A722" s="28">
        <v>44965</v>
      </c>
      <c r="B722" s="29">
        <v>70.892399999999995</v>
      </c>
      <c r="C722" s="28">
        <f t="shared" si="20"/>
        <v>44958</v>
      </c>
    </row>
    <row r="723" spans="1:3">
      <c r="A723" s="28">
        <v>44964</v>
      </c>
      <c r="B723" s="29">
        <v>70.599100000000007</v>
      </c>
      <c r="C723" s="28">
        <f t="shared" si="20"/>
        <v>44958</v>
      </c>
    </row>
    <row r="724" spans="1:3">
      <c r="A724" s="28">
        <v>44961</v>
      </c>
      <c r="B724" s="29">
        <v>70.384699999999995</v>
      </c>
      <c r="C724" s="28">
        <f t="shared" si="20"/>
        <v>44958</v>
      </c>
    </row>
    <row r="725" spans="1:3">
      <c r="A725" s="28">
        <v>44960</v>
      </c>
      <c r="B725" s="29">
        <v>70.041399999999996</v>
      </c>
      <c r="C725" s="28">
        <f t="shared" si="20"/>
        <v>44958</v>
      </c>
    </row>
    <row r="726" spans="1:3">
      <c r="A726" s="28">
        <v>44959</v>
      </c>
      <c r="B726" s="29">
        <v>70.121700000000004</v>
      </c>
      <c r="C726" s="28">
        <f t="shared" si="20"/>
        <v>44958</v>
      </c>
    </row>
    <row r="727" spans="1:3">
      <c r="A727" s="28">
        <v>44958</v>
      </c>
      <c r="B727" s="29">
        <v>70.517399999999995</v>
      </c>
      <c r="C727" s="28">
        <f t="shared" si="20"/>
        <v>44958</v>
      </c>
    </row>
    <row r="728" spans="1:3">
      <c r="A728" s="28">
        <v>44957</v>
      </c>
      <c r="B728" s="29">
        <v>69.592699999999994</v>
      </c>
      <c r="C728" s="28">
        <f t="shared" si="20"/>
        <v>44927</v>
      </c>
    </row>
    <row r="729" spans="1:3">
      <c r="A729" s="28">
        <v>44954</v>
      </c>
      <c r="B729" s="29">
        <v>69.337199999999996</v>
      </c>
      <c r="C729" s="28">
        <f t="shared" si="20"/>
        <v>44927</v>
      </c>
    </row>
    <row r="730" spans="1:3">
      <c r="A730" s="28">
        <v>44953</v>
      </c>
      <c r="B730" s="29">
        <v>69.126300000000001</v>
      </c>
      <c r="C730" s="28">
        <f t="shared" si="20"/>
        <v>44927</v>
      </c>
    </row>
    <row r="731" spans="1:3">
      <c r="A731" s="28">
        <v>44952</v>
      </c>
      <c r="B731" s="29">
        <v>68.957300000000004</v>
      </c>
      <c r="C731" s="28">
        <f t="shared" si="20"/>
        <v>44927</v>
      </c>
    </row>
    <row r="732" spans="1:3">
      <c r="A732" s="28">
        <v>44951</v>
      </c>
      <c r="B732" s="29">
        <v>68.752899999999997</v>
      </c>
      <c r="C732" s="28">
        <f t="shared" si="20"/>
        <v>44927</v>
      </c>
    </row>
    <row r="733" spans="1:3">
      <c r="A733" s="28">
        <v>44950</v>
      </c>
      <c r="B733" s="29">
        <v>68.628799999999998</v>
      </c>
      <c r="C733" s="28">
        <f t="shared" si="20"/>
        <v>44927</v>
      </c>
    </row>
    <row r="734" spans="1:3">
      <c r="A734" s="28">
        <v>44947</v>
      </c>
      <c r="B734" s="29">
        <v>68.665599999999998</v>
      </c>
      <c r="C734" s="28">
        <f t="shared" si="20"/>
        <v>44927</v>
      </c>
    </row>
    <row r="735" spans="1:3">
      <c r="A735" s="28">
        <v>44946</v>
      </c>
      <c r="B735" s="29">
        <v>68.846699999999998</v>
      </c>
      <c r="C735" s="28">
        <f t="shared" si="20"/>
        <v>44927</v>
      </c>
    </row>
    <row r="736" spans="1:3">
      <c r="A736" s="28">
        <v>44945</v>
      </c>
      <c r="B736" s="29">
        <v>68.872799999999998</v>
      </c>
      <c r="C736" s="28">
        <f t="shared" si="20"/>
        <v>44927</v>
      </c>
    </row>
    <row r="737" spans="1:3">
      <c r="A737" s="28">
        <v>44944</v>
      </c>
      <c r="B737" s="29">
        <v>68.664400000000001</v>
      </c>
      <c r="C737" s="28">
        <f t="shared" si="20"/>
        <v>44927</v>
      </c>
    </row>
    <row r="738" spans="1:3">
      <c r="A738" s="28">
        <v>44943</v>
      </c>
      <c r="B738" s="29">
        <v>68.289199999999994</v>
      </c>
      <c r="C738" s="28">
        <f t="shared" si="20"/>
        <v>44927</v>
      </c>
    </row>
    <row r="739" spans="1:3">
      <c r="A739" s="28">
        <v>44940</v>
      </c>
      <c r="B739" s="29">
        <v>67.574399999999997</v>
      </c>
      <c r="C739" s="28">
        <f t="shared" si="20"/>
        <v>44927</v>
      </c>
    </row>
    <row r="740" spans="1:3">
      <c r="A740" s="28">
        <v>44939</v>
      </c>
      <c r="B740" s="29">
        <v>67.777500000000003</v>
      </c>
      <c r="C740" s="28">
        <f t="shared" si="20"/>
        <v>44927</v>
      </c>
    </row>
    <row r="741" spans="1:3">
      <c r="A741" s="28">
        <v>44938</v>
      </c>
      <c r="B741" s="29">
        <v>69.020200000000003</v>
      </c>
      <c r="C741" s="28">
        <f t="shared" si="20"/>
        <v>44927</v>
      </c>
    </row>
    <row r="742" spans="1:3">
      <c r="A742" s="28">
        <v>44937</v>
      </c>
      <c r="B742" s="29">
        <v>69.609399999999994</v>
      </c>
      <c r="C742" s="28">
        <f t="shared" si="20"/>
        <v>44927</v>
      </c>
    </row>
    <row r="743" spans="1:3">
      <c r="A743" s="28">
        <v>44936</v>
      </c>
      <c r="B743" s="29">
        <v>70.300200000000004</v>
      </c>
      <c r="C743" s="28">
        <f t="shared" si="20"/>
        <v>44927</v>
      </c>
    </row>
    <row r="744" spans="1:3">
      <c r="A744" s="28">
        <v>44926</v>
      </c>
      <c r="B744" s="29">
        <v>70.337500000000006</v>
      </c>
      <c r="C744" s="28">
        <f t="shared" si="20"/>
        <v>44896</v>
      </c>
    </row>
    <row r="745" spans="1:3">
      <c r="A745" s="28">
        <v>44925</v>
      </c>
      <c r="B745" s="29">
        <v>71.977800000000002</v>
      </c>
      <c r="C745" s="28">
        <f t="shared" si="20"/>
        <v>44896</v>
      </c>
    </row>
    <row r="746" spans="1:3">
      <c r="A746" s="28">
        <v>44924</v>
      </c>
      <c r="B746" s="29">
        <v>71.326099999999997</v>
      </c>
      <c r="C746" s="28">
        <f t="shared" si="20"/>
        <v>44896</v>
      </c>
    </row>
    <row r="747" spans="1:3">
      <c r="A747" s="28">
        <v>44923</v>
      </c>
      <c r="B747" s="29">
        <v>69.934600000000003</v>
      </c>
      <c r="C747" s="28">
        <f t="shared" si="20"/>
        <v>44896</v>
      </c>
    </row>
    <row r="748" spans="1:3">
      <c r="A748" s="28">
        <v>44922</v>
      </c>
      <c r="B748" s="29">
        <v>68.448700000000002</v>
      </c>
      <c r="C748" s="28">
        <f t="shared" si="20"/>
        <v>44896</v>
      </c>
    </row>
    <row r="749" spans="1:3">
      <c r="A749" s="28">
        <v>44919</v>
      </c>
      <c r="B749" s="29">
        <v>68.676000000000002</v>
      </c>
      <c r="C749" s="28">
        <f t="shared" si="20"/>
        <v>44896</v>
      </c>
    </row>
    <row r="750" spans="1:3">
      <c r="A750" s="28">
        <v>44918</v>
      </c>
      <c r="B750" s="29">
        <v>72.130600000000001</v>
      </c>
      <c r="C750" s="28">
        <f t="shared" si="20"/>
        <v>44896</v>
      </c>
    </row>
    <row r="751" spans="1:3">
      <c r="A751" s="28">
        <v>44917</v>
      </c>
      <c r="B751" s="29">
        <v>70.525599999999997</v>
      </c>
      <c r="C751" s="28">
        <f t="shared" si="20"/>
        <v>44896</v>
      </c>
    </row>
    <row r="752" spans="1:3">
      <c r="A752" s="28">
        <v>44916</v>
      </c>
      <c r="B752" s="29">
        <v>69.003699999999995</v>
      </c>
      <c r="C752" s="28">
        <f t="shared" si="20"/>
        <v>44896</v>
      </c>
    </row>
    <row r="753" spans="1:3">
      <c r="A753" s="28">
        <v>44915</v>
      </c>
      <c r="B753" s="29">
        <v>66.347399999999993</v>
      </c>
      <c r="C753" s="28">
        <f t="shared" si="20"/>
        <v>44896</v>
      </c>
    </row>
    <row r="754" spans="1:3">
      <c r="A754" s="28">
        <v>44912</v>
      </c>
      <c r="B754" s="29">
        <v>64.607799999999997</v>
      </c>
      <c r="C754" s="28">
        <f t="shared" si="20"/>
        <v>44896</v>
      </c>
    </row>
    <row r="755" spans="1:3">
      <c r="A755" s="28">
        <v>44911</v>
      </c>
      <c r="B755" s="29">
        <v>64.301500000000004</v>
      </c>
      <c r="C755" s="28">
        <f t="shared" si="20"/>
        <v>44896</v>
      </c>
    </row>
    <row r="756" spans="1:3">
      <c r="A756" s="28">
        <v>44910</v>
      </c>
      <c r="B756" s="29">
        <v>63.359000000000002</v>
      </c>
      <c r="C756" s="28">
        <f t="shared" si="20"/>
        <v>44896</v>
      </c>
    </row>
    <row r="757" spans="1:3">
      <c r="A757" s="28">
        <v>44909</v>
      </c>
      <c r="B757" s="29">
        <v>63.212000000000003</v>
      </c>
      <c r="C757" s="28">
        <f t="shared" si="20"/>
        <v>44896</v>
      </c>
    </row>
    <row r="758" spans="1:3">
      <c r="A758" s="28">
        <v>44908</v>
      </c>
      <c r="B758" s="29">
        <v>62.767400000000002</v>
      </c>
      <c r="C758" s="28">
        <f t="shared" si="20"/>
        <v>44896</v>
      </c>
    </row>
    <row r="759" spans="1:3">
      <c r="A759" s="28">
        <v>44905</v>
      </c>
      <c r="B759" s="29">
        <v>62.381300000000003</v>
      </c>
      <c r="C759" s="28">
        <f t="shared" si="20"/>
        <v>44896</v>
      </c>
    </row>
    <row r="760" spans="1:3">
      <c r="A760" s="28">
        <v>44904</v>
      </c>
      <c r="B760" s="29">
        <v>62.572200000000002</v>
      </c>
      <c r="C760" s="28">
        <f t="shared" si="20"/>
        <v>44896</v>
      </c>
    </row>
    <row r="761" spans="1:3">
      <c r="A761" s="28">
        <v>44903</v>
      </c>
      <c r="B761" s="29">
        <v>62.937199999999997</v>
      </c>
      <c r="C761" s="28">
        <f t="shared" si="20"/>
        <v>44896</v>
      </c>
    </row>
    <row r="762" spans="1:3">
      <c r="A762" s="28">
        <v>44902</v>
      </c>
      <c r="B762" s="29">
        <v>62.910299999999999</v>
      </c>
      <c r="C762" s="28">
        <f t="shared" si="20"/>
        <v>44896</v>
      </c>
    </row>
    <row r="763" spans="1:3">
      <c r="A763" s="28">
        <v>44901</v>
      </c>
      <c r="B763" s="29">
        <v>62.184899999999999</v>
      </c>
      <c r="C763" s="28">
        <f t="shared" si="20"/>
        <v>44896</v>
      </c>
    </row>
    <row r="764" spans="1:3">
      <c r="A764" s="28">
        <v>44898</v>
      </c>
      <c r="B764" s="29">
        <v>61.774900000000002</v>
      </c>
      <c r="C764" s="28">
        <f t="shared" si="20"/>
        <v>44896</v>
      </c>
    </row>
    <row r="765" spans="1:3">
      <c r="A765" s="28">
        <v>44897</v>
      </c>
      <c r="B765" s="29">
        <v>61.1479</v>
      </c>
      <c r="C765" s="28">
        <f t="shared" si="20"/>
        <v>44896</v>
      </c>
    </row>
    <row r="766" spans="1:3">
      <c r="A766" s="28">
        <v>44896</v>
      </c>
      <c r="B766" s="29">
        <v>60.880299999999998</v>
      </c>
      <c r="C766" s="28">
        <f t="shared" si="20"/>
        <v>44896</v>
      </c>
    </row>
    <row r="767" spans="1:3">
      <c r="A767" s="28">
        <v>44895</v>
      </c>
      <c r="B767" s="29">
        <v>61.074199999999998</v>
      </c>
      <c r="C767" s="28">
        <f t="shared" si="20"/>
        <v>44866</v>
      </c>
    </row>
    <row r="768" spans="1:3">
      <c r="A768" s="28">
        <v>44894</v>
      </c>
      <c r="B768" s="29">
        <v>60.752000000000002</v>
      </c>
      <c r="C768" s="28">
        <f t="shared" si="20"/>
        <v>44866</v>
      </c>
    </row>
    <row r="769" spans="1:3">
      <c r="A769" s="28">
        <v>44891</v>
      </c>
      <c r="B769" s="29">
        <v>60.479700000000001</v>
      </c>
      <c r="C769" s="28">
        <f t="shared" si="20"/>
        <v>44866</v>
      </c>
    </row>
    <row r="770" spans="1:3">
      <c r="A770" s="28">
        <v>44890</v>
      </c>
      <c r="B770" s="29">
        <v>60.386600000000001</v>
      </c>
      <c r="C770" s="28">
        <f t="shared" si="20"/>
        <v>44866</v>
      </c>
    </row>
    <row r="771" spans="1:3">
      <c r="A771" s="28">
        <v>44889</v>
      </c>
      <c r="B771" s="29">
        <v>60.504300000000001</v>
      </c>
      <c r="C771" s="28">
        <f t="shared" ref="C771:C834" si="21">DATE(YEAR(A771),MONTH(A771),1)</f>
        <v>44866</v>
      </c>
    </row>
    <row r="772" spans="1:3">
      <c r="A772" s="28">
        <v>44888</v>
      </c>
      <c r="B772" s="29">
        <v>60.656599999999997</v>
      </c>
      <c r="C772" s="28">
        <f t="shared" si="21"/>
        <v>44866</v>
      </c>
    </row>
    <row r="773" spans="1:3">
      <c r="A773" s="28">
        <v>44887</v>
      </c>
      <c r="B773" s="29">
        <v>60.737900000000003</v>
      </c>
      <c r="C773" s="28">
        <f t="shared" si="21"/>
        <v>44866</v>
      </c>
    </row>
    <row r="774" spans="1:3">
      <c r="A774" s="28">
        <v>44884</v>
      </c>
      <c r="B774" s="29">
        <v>60.374099999999999</v>
      </c>
      <c r="C774" s="28">
        <f t="shared" si="21"/>
        <v>44866</v>
      </c>
    </row>
    <row r="775" spans="1:3">
      <c r="A775" s="28">
        <v>44883</v>
      </c>
      <c r="B775" s="29">
        <v>60.389400000000002</v>
      </c>
      <c r="C775" s="28">
        <f t="shared" si="21"/>
        <v>44866</v>
      </c>
    </row>
    <row r="776" spans="1:3">
      <c r="A776" s="28">
        <v>44882</v>
      </c>
      <c r="B776" s="29">
        <v>60.348399999999998</v>
      </c>
      <c r="C776" s="28">
        <f t="shared" si="21"/>
        <v>44866</v>
      </c>
    </row>
    <row r="777" spans="1:3">
      <c r="A777" s="28">
        <v>44881</v>
      </c>
      <c r="B777" s="29">
        <v>60.311599999999999</v>
      </c>
      <c r="C777" s="28">
        <f t="shared" si="21"/>
        <v>44866</v>
      </c>
    </row>
    <row r="778" spans="1:3">
      <c r="A778" s="28">
        <v>44880</v>
      </c>
      <c r="B778" s="29">
        <v>60.398200000000003</v>
      </c>
      <c r="C778" s="28">
        <f t="shared" si="21"/>
        <v>44866</v>
      </c>
    </row>
    <row r="779" spans="1:3">
      <c r="A779" s="28">
        <v>44877</v>
      </c>
      <c r="B779" s="29">
        <v>60.2179</v>
      </c>
      <c r="C779" s="28">
        <f t="shared" si="21"/>
        <v>44866</v>
      </c>
    </row>
    <row r="780" spans="1:3">
      <c r="A780" s="28">
        <v>44876</v>
      </c>
      <c r="B780" s="29">
        <v>61.243400000000001</v>
      </c>
      <c r="C780" s="28">
        <f t="shared" si="21"/>
        <v>44866</v>
      </c>
    </row>
    <row r="781" spans="1:3">
      <c r="A781" s="28">
        <v>44875</v>
      </c>
      <c r="B781" s="29">
        <v>61.061100000000003</v>
      </c>
      <c r="C781" s="28">
        <f t="shared" si="21"/>
        <v>44866</v>
      </c>
    </row>
    <row r="782" spans="1:3">
      <c r="A782" s="28">
        <v>44874</v>
      </c>
      <c r="B782" s="29">
        <v>60.977400000000003</v>
      </c>
      <c r="C782" s="28">
        <f t="shared" si="21"/>
        <v>44866</v>
      </c>
    </row>
    <row r="783" spans="1:3">
      <c r="A783" s="28">
        <v>44873</v>
      </c>
      <c r="B783" s="29">
        <v>61.236699999999999</v>
      </c>
      <c r="C783" s="28">
        <f t="shared" si="21"/>
        <v>44866</v>
      </c>
    </row>
    <row r="784" spans="1:3">
      <c r="A784" s="28">
        <v>44869</v>
      </c>
      <c r="B784" s="29">
        <v>62.095500000000001</v>
      </c>
      <c r="C784" s="28">
        <f t="shared" si="21"/>
        <v>44866</v>
      </c>
    </row>
    <row r="785" spans="1:3">
      <c r="A785" s="28">
        <v>44868</v>
      </c>
      <c r="B785" s="29">
        <v>61.6175</v>
      </c>
      <c r="C785" s="28">
        <f t="shared" si="21"/>
        <v>44866</v>
      </c>
    </row>
    <row r="786" spans="1:3">
      <c r="A786" s="28">
        <v>44867</v>
      </c>
      <c r="B786" s="29">
        <v>61.427500000000002</v>
      </c>
      <c r="C786" s="28">
        <f t="shared" si="21"/>
        <v>44866</v>
      </c>
    </row>
    <row r="787" spans="1:3">
      <c r="A787" s="28">
        <v>44866</v>
      </c>
      <c r="B787" s="29">
        <v>61.622900000000001</v>
      </c>
      <c r="C787" s="28">
        <f t="shared" si="21"/>
        <v>44866</v>
      </c>
    </row>
    <row r="788" spans="1:3">
      <c r="A788" s="28">
        <v>44863</v>
      </c>
      <c r="B788" s="29">
        <v>61.534300000000002</v>
      </c>
      <c r="C788" s="28">
        <f t="shared" si="21"/>
        <v>44835</v>
      </c>
    </row>
    <row r="789" spans="1:3">
      <c r="A789" s="28">
        <v>44862</v>
      </c>
      <c r="B789" s="29">
        <v>61.358899999999998</v>
      </c>
      <c r="C789" s="28">
        <f t="shared" si="21"/>
        <v>44835</v>
      </c>
    </row>
    <row r="790" spans="1:3">
      <c r="A790" s="28">
        <v>44861</v>
      </c>
      <c r="B790" s="29">
        <v>61.427700000000002</v>
      </c>
      <c r="C790" s="28">
        <f t="shared" si="21"/>
        <v>44835</v>
      </c>
    </row>
    <row r="791" spans="1:3">
      <c r="A791" s="28">
        <v>44860</v>
      </c>
      <c r="B791" s="29">
        <v>61.332599999999999</v>
      </c>
      <c r="C791" s="28">
        <f t="shared" si="21"/>
        <v>44835</v>
      </c>
    </row>
    <row r="792" spans="1:3">
      <c r="A792" s="28">
        <v>44859</v>
      </c>
      <c r="B792" s="29">
        <v>61.1629</v>
      </c>
      <c r="C792" s="28">
        <f t="shared" si="21"/>
        <v>44835</v>
      </c>
    </row>
    <row r="793" spans="1:3">
      <c r="A793" s="28">
        <v>44856</v>
      </c>
      <c r="B793" s="29">
        <v>61.195799999999998</v>
      </c>
      <c r="C793" s="28">
        <f t="shared" si="21"/>
        <v>44835</v>
      </c>
    </row>
    <row r="794" spans="1:3">
      <c r="A794" s="28">
        <v>44855</v>
      </c>
      <c r="B794" s="29">
        <v>61.501800000000003</v>
      </c>
      <c r="C794" s="28">
        <f t="shared" si="21"/>
        <v>44835</v>
      </c>
    </row>
    <row r="795" spans="1:3">
      <c r="A795" s="28">
        <v>44854</v>
      </c>
      <c r="B795" s="29">
        <v>61.590499999999999</v>
      </c>
      <c r="C795" s="28">
        <f t="shared" si="21"/>
        <v>44835</v>
      </c>
    </row>
    <row r="796" spans="1:3">
      <c r="A796" s="28">
        <v>44853</v>
      </c>
      <c r="B796" s="29">
        <v>61.703200000000002</v>
      </c>
      <c r="C796" s="28">
        <f t="shared" si="21"/>
        <v>44835</v>
      </c>
    </row>
    <row r="797" spans="1:3">
      <c r="A797" s="28">
        <v>44852</v>
      </c>
      <c r="B797" s="29">
        <v>61.763399999999997</v>
      </c>
      <c r="C797" s="28">
        <f t="shared" si="21"/>
        <v>44835</v>
      </c>
    </row>
    <row r="798" spans="1:3">
      <c r="A798" s="28">
        <v>44849</v>
      </c>
      <c r="B798" s="29">
        <v>63.055799999999998</v>
      </c>
      <c r="C798" s="28">
        <f t="shared" si="21"/>
        <v>44835</v>
      </c>
    </row>
    <row r="799" spans="1:3">
      <c r="A799" s="28">
        <v>44848</v>
      </c>
      <c r="B799" s="29">
        <v>63.491700000000002</v>
      </c>
      <c r="C799" s="28">
        <f t="shared" si="21"/>
        <v>44835</v>
      </c>
    </row>
    <row r="800" spans="1:3">
      <c r="A800" s="28">
        <v>44847</v>
      </c>
      <c r="B800" s="29">
        <v>63.755899999999997</v>
      </c>
      <c r="C800" s="28">
        <f t="shared" si="21"/>
        <v>44835</v>
      </c>
    </row>
    <row r="801" spans="1:3">
      <c r="A801" s="28">
        <v>44846</v>
      </c>
      <c r="B801" s="29">
        <v>63.683999999999997</v>
      </c>
      <c r="C801" s="28">
        <f t="shared" si="21"/>
        <v>44835</v>
      </c>
    </row>
    <row r="802" spans="1:3">
      <c r="A802" s="28">
        <v>44845</v>
      </c>
      <c r="B802" s="29">
        <v>62.312600000000003</v>
      </c>
      <c r="C802" s="28">
        <f t="shared" si="21"/>
        <v>44835</v>
      </c>
    </row>
    <row r="803" spans="1:3">
      <c r="A803" s="28">
        <v>44842</v>
      </c>
      <c r="B803" s="29">
        <v>61.247500000000002</v>
      </c>
      <c r="C803" s="28">
        <f t="shared" si="21"/>
        <v>44835</v>
      </c>
    </row>
    <row r="804" spans="1:3">
      <c r="A804" s="28">
        <v>44841</v>
      </c>
      <c r="B804" s="29">
        <v>60.253399999999999</v>
      </c>
      <c r="C804" s="28">
        <f t="shared" si="21"/>
        <v>44835</v>
      </c>
    </row>
    <row r="805" spans="1:3">
      <c r="A805" s="28">
        <v>44840</v>
      </c>
      <c r="B805" s="29">
        <v>59.404299999999999</v>
      </c>
      <c r="C805" s="28">
        <f t="shared" si="21"/>
        <v>44835</v>
      </c>
    </row>
    <row r="806" spans="1:3">
      <c r="A806" s="28">
        <v>44839</v>
      </c>
      <c r="B806" s="29">
        <v>58.7913</v>
      </c>
      <c r="C806" s="28">
        <f t="shared" si="21"/>
        <v>44835</v>
      </c>
    </row>
    <row r="807" spans="1:3">
      <c r="A807" s="28">
        <v>44838</v>
      </c>
      <c r="B807" s="29">
        <v>57.566400000000002</v>
      </c>
      <c r="C807" s="28">
        <f t="shared" si="21"/>
        <v>44835</v>
      </c>
    </row>
    <row r="808" spans="1:3">
      <c r="A808" s="28">
        <v>44835</v>
      </c>
      <c r="B808" s="29">
        <v>55.298699999999997</v>
      </c>
      <c r="C808" s="28">
        <f t="shared" si="21"/>
        <v>44835</v>
      </c>
    </row>
    <row r="809" spans="1:3">
      <c r="A809" s="28">
        <v>44834</v>
      </c>
      <c r="B809" s="29">
        <v>57.412999999999997</v>
      </c>
      <c r="C809" s="28">
        <f t="shared" si="21"/>
        <v>44805</v>
      </c>
    </row>
    <row r="810" spans="1:3">
      <c r="A810" s="28">
        <v>44833</v>
      </c>
      <c r="B810" s="29">
        <v>58.448500000000003</v>
      </c>
      <c r="C810" s="28">
        <f t="shared" si="21"/>
        <v>44805</v>
      </c>
    </row>
    <row r="811" spans="1:3">
      <c r="A811" s="28">
        <v>44832</v>
      </c>
      <c r="B811" s="29">
        <v>58.175600000000003</v>
      </c>
      <c r="C811" s="28">
        <f t="shared" si="21"/>
        <v>44805</v>
      </c>
    </row>
    <row r="812" spans="1:3">
      <c r="A812" s="28">
        <v>44831</v>
      </c>
      <c r="B812" s="29">
        <v>57.999000000000002</v>
      </c>
      <c r="C812" s="28">
        <f t="shared" si="21"/>
        <v>44805</v>
      </c>
    </row>
    <row r="813" spans="1:3">
      <c r="A813" s="28">
        <v>44828</v>
      </c>
      <c r="B813" s="29">
        <v>58.1006</v>
      </c>
      <c r="C813" s="28">
        <f t="shared" si="21"/>
        <v>44805</v>
      </c>
    </row>
    <row r="814" spans="1:3">
      <c r="A814" s="28">
        <v>44827</v>
      </c>
      <c r="B814" s="29">
        <v>59.831800000000001</v>
      </c>
      <c r="C814" s="28">
        <f t="shared" si="21"/>
        <v>44805</v>
      </c>
    </row>
    <row r="815" spans="1:3">
      <c r="A815" s="28">
        <v>44826</v>
      </c>
      <c r="B815" s="29">
        <v>60.868499999999997</v>
      </c>
      <c r="C815" s="28">
        <f t="shared" si="21"/>
        <v>44805</v>
      </c>
    </row>
    <row r="816" spans="1:3">
      <c r="A816" s="28">
        <v>44825</v>
      </c>
      <c r="B816" s="29">
        <v>60.015799999999999</v>
      </c>
      <c r="C816" s="28">
        <f t="shared" si="21"/>
        <v>44805</v>
      </c>
    </row>
    <row r="817" spans="1:3">
      <c r="A817" s="28">
        <v>44824</v>
      </c>
      <c r="B817" s="29">
        <v>60.166200000000003</v>
      </c>
      <c r="C817" s="28">
        <f t="shared" si="21"/>
        <v>44805</v>
      </c>
    </row>
    <row r="818" spans="1:3">
      <c r="A818" s="28">
        <v>44821</v>
      </c>
      <c r="B818" s="29">
        <v>60.031599999999997</v>
      </c>
      <c r="C818" s="28">
        <f t="shared" si="21"/>
        <v>44805</v>
      </c>
    </row>
    <row r="819" spans="1:3">
      <c r="A819" s="28">
        <v>44820</v>
      </c>
      <c r="B819" s="29">
        <v>59.6663</v>
      </c>
      <c r="C819" s="28">
        <f t="shared" si="21"/>
        <v>44805</v>
      </c>
    </row>
    <row r="820" spans="1:3">
      <c r="A820" s="28">
        <v>44819</v>
      </c>
      <c r="B820" s="29">
        <v>59.775100000000002</v>
      </c>
      <c r="C820" s="28">
        <f t="shared" si="21"/>
        <v>44805</v>
      </c>
    </row>
    <row r="821" spans="1:3">
      <c r="A821" s="28">
        <v>44818</v>
      </c>
      <c r="B821" s="29">
        <v>60.067599999999999</v>
      </c>
      <c r="C821" s="28">
        <f t="shared" si="21"/>
        <v>44805</v>
      </c>
    </row>
    <row r="822" spans="1:3">
      <c r="A822" s="28">
        <v>44817</v>
      </c>
      <c r="B822" s="29">
        <v>60.456800000000001</v>
      </c>
      <c r="C822" s="28">
        <f t="shared" si="21"/>
        <v>44805</v>
      </c>
    </row>
    <row r="823" spans="1:3">
      <c r="A823" s="28">
        <v>44814</v>
      </c>
      <c r="B823" s="29">
        <v>60.4696</v>
      </c>
      <c r="C823" s="28">
        <f t="shared" si="21"/>
        <v>44805</v>
      </c>
    </row>
    <row r="824" spans="1:3">
      <c r="A824" s="28">
        <v>44813</v>
      </c>
      <c r="B824" s="29">
        <v>60.801000000000002</v>
      </c>
      <c r="C824" s="28">
        <f t="shared" si="21"/>
        <v>44805</v>
      </c>
    </row>
    <row r="825" spans="1:3">
      <c r="A825" s="28">
        <v>44812</v>
      </c>
      <c r="B825" s="29">
        <v>61.181399999999996</v>
      </c>
      <c r="C825" s="28">
        <f t="shared" si="21"/>
        <v>44805</v>
      </c>
    </row>
    <row r="826" spans="1:3">
      <c r="A826" s="28">
        <v>44811</v>
      </c>
      <c r="B826" s="29">
        <v>60.854399999999998</v>
      </c>
      <c r="C826" s="28">
        <f t="shared" si="21"/>
        <v>44805</v>
      </c>
    </row>
    <row r="827" spans="1:3">
      <c r="A827" s="28">
        <v>44810</v>
      </c>
      <c r="B827" s="29">
        <v>60.903300000000002</v>
      </c>
      <c r="C827" s="28">
        <f t="shared" si="21"/>
        <v>44805</v>
      </c>
    </row>
    <row r="828" spans="1:3">
      <c r="A828" s="28">
        <v>44807</v>
      </c>
      <c r="B828" s="29">
        <v>60.371299999999998</v>
      </c>
      <c r="C828" s="28">
        <f t="shared" si="21"/>
        <v>44805</v>
      </c>
    </row>
    <row r="829" spans="1:3">
      <c r="A829" s="28">
        <v>44806</v>
      </c>
      <c r="B829" s="29">
        <v>60.237000000000002</v>
      </c>
      <c r="C829" s="28">
        <f t="shared" si="21"/>
        <v>44805</v>
      </c>
    </row>
    <row r="830" spans="1:3">
      <c r="A830" s="28">
        <v>44805</v>
      </c>
      <c r="B830" s="29">
        <v>60.238599999999998</v>
      </c>
      <c r="C830" s="28">
        <f t="shared" si="21"/>
        <v>44805</v>
      </c>
    </row>
    <row r="831" spans="1:3">
      <c r="A831" s="28">
        <v>44804</v>
      </c>
      <c r="B831" s="29">
        <v>60.367699999999999</v>
      </c>
      <c r="C831" s="28">
        <f t="shared" si="21"/>
        <v>44774</v>
      </c>
    </row>
    <row r="832" spans="1:3">
      <c r="A832" s="28">
        <v>44803</v>
      </c>
      <c r="B832" s="29">
        <v>60.363599999999998</v>
      </c>
      <c r="C832" s="28">
        <f t="shared" si="21"/>
        <v>44774</v>
      </c>
    </row>
    <row r="833" spans="1:3">
      <c r="A833" s="28">
        <v>44800</v>
      </c>
      <c r="B833" s="29">
        <v>60.092399999999998</v>
      </c>
      <c r="C833" s="28">
        <f t="shared" si="21"/>
        <v>44774</v>
      </c>
    </row>
    <row r="834" spans="1:3">
      <c r="A834" s="28">
        <v>44799</v>
      </c>
      <c r="B834" s="29">
        <v>59.7699</v>
      </c>
      <c r="C834" s="28">
        <f t="shared" si="21"/>
        <v>44774</v>
      </c>
    </row>
    <row r="835" spans="1:3">
      <c r="A835" s="28">
        <v>44798</v>
      </c>
      <c r="B835" s="29">
        <v>59.997399999999999</v>
      </c>
      <c r="C835" s="28">
        <f t="shared" ref="C835:C898" si="22">DATE(YEAR(A835),MONTH(A835),1)</f>
        <v>44774</v>
      </c>
    </row>
    <row r="836" spans="1:3">
      <c r="A836" s="28">
        <v>44797</v>
      </c>
      <c r="B836" s="29">
        <v>59.896299999999997</v>
      </c>
      <c r="C836" s="28">
        <f t="shared" si="22"/>
        <v>44774</v>
      </c>
    </row>
    <row r="837" spans="1:3">
      <c r="A837" s="28">
        <v>44796</v>
      </c>
      <c r="B837" s="29">
        <v>59.741900000000001</v>
      </c>
      <c r="C837" s="28">
        <f t="shared" si="22"/>
        <v>44774</v>
      </c>
    </row>
    <row r="838" spans="1:3">
      <c r="A838" s="28">
        <v>44793</v>
      </c>
      <c r="B838" s="29">
        <v>59.132100000000001</v>
      </c>
      <c r="C838" s="28">
        <f t="shared" si="22"/>
        <v>44774</v>
      </c>
    </row>
    <row r="839" spans="1:3">
      <c r="A839" s="28">
        <v>44792</v>
      </c>
      <c r="B839" s="29">
        <v>59.957000000000001</v>
      </c>
      <c r="C839" s="28">
        <f t="shared" si="22"/>
        <v>44774</v>
      </c>
    </row>
    <row r="840" spans="1:3">
      <c r="A840" s="28">
        <v>44791</v>
      </c>
      <c r="B840" s="29">
        <v>60.755200000000002</v>
      </c>
      <c r="C840" s="28">
        <f t="shared" si="22"/>
        <v>44774</v>
      </c>
    </row>
    <row r="841" spans="1:3">
      <c r="A841" s="28">
        <v>44790</v>
      </c>
      <c r="B841" s="29">
        <v>61.424700000000001</v>
      </c>
      <c r="C841" s="28">
        <f t="shared" si="22"/>
        <v>44774</v>
      </c>
    </row>
    <row r="842" spans="1:3">
      <c r="A842" s="28">
        <v>44789</v>
      </c>
      <c r="B842" s="29">
        <v>61.374699999999997</v>
      </c>
      <c r="C842" s="28">
        <f t="shared" si="22"/>
        <v>44774</v>
      </c>
    </row>
    <row r="843" spans="1:3">
      <c r="A843" s="28">
        <v>44786</v>
      </c>
      <c r="B843" s="29">
        <v>60.899299999999997</v>
      </c>
      <c r="C843" s="28">
        <f t="shared" si="22"/>
        <v>44774</v>
      </c>
    </row>
    <row r="844" spans="1:3">
      <c r="A844" s="28">
        <v>44785</v>
      </c>
      <c r="B844" s="29">
        <v>60.622900000000001</v>
      </c>
      <c r="C844" s="28">
        <f t="shared" si="22"/>
        <v>44774</v>
      </c>
    </row>
    <row r="845" spans="1:3">
      <c r="A845" s="28">
        <v>44784</v>
      </c>
      <c r="B845" s="29">
        <v>60.4542</v>
      </c>
      <c r="C845" s="28">
        <f t="shared" si="22"/>
        <v>44774</v>
      </c>
    </row>
    <row r="846" spans="1:3">
      <c r="A846" s="28">
        <v>44783</v>
      </c>
      <c r="B846" s="29">
        <v>60.381399999999999</v>
      </c>
      <c r="C846" s="28">
        <f t="shared" si="22"/>
        <v>44774</v>
      </c>
    </row>
    <row r="847" spans="1:3">
      <c r="A847" s="28">
        <v>44782</v>
      </c>
      <c r="B847" s="29">
        <v>60.316400000000002</v>
      </c>
      <c r="C847" s="28">
        <f t="shared" si="22"/>
        <v>44774</v>
      </c>
    </row>
    <row r="848" spans="1:3">
      <c r="A848" s="28">
        <v>44779</v>
      </c>
      <c r="B848" s="29">
        <v>60.369599999999998</v>
      </c>
      <c r="C848" s="28">
        <f t="shared" si="22"/>
        <v>44774</v>
      </c>
    </row>
    <row r="849" spans="1:3">
      <c r="A849" s="28">
        <v>44778</v>
      </c>
      <c r="B849" s="29">
        <v>60.258000000000003</v>
      </c>
      <c r="C849" s="28">
        <f t="shared" si="22"/>
        <v>44774</v>
      </c>
    </row>
    <row r="850" spans="1:3">
      <c r="A850" s="28">
        <v>44777</v>
      </c>
      <c r="B850" s="29">
        <v>60.237400000000001</v>
      </c>
      <c r="C850" s="28">
        <f t="shared" si="22"/>
        <v>44774</v>
      </c>
    </row>
    <row r="851" spans="1:3">
      <c r="A851" s="28">
        <v>44776</v>
      </c>
      <c r="B851" s="29">
        <v>60.159500000000001</v>
      </c>
      <c r="C851" s="28">
        <f t="shared" si="22"/>
        <v>44774</v>
      </c>
    </row>
    <row r="852" spans="1:3">
      <c r="A852" s="28">
        <v>44775</v>
      </c>
      <c r="B852" s="29">
        <v>62.050600000000003</v>
      </c>
      <c r="C852" s="28">
        <f t="shared" si="22"/>
        <v>44774</v>
      </c>
    </row>
    <row r="853" spans="1:3">
      <c r="A853" s="28">
        <v>44772</v>
      </c>
      <c r="B853" s="29">
        <v>61.310099999999998</v>
      </c>
      <c r="C853" s="28">
        <f t="shared" si="22"/>
        <v>44743</v>
      </c>
    </row>
    <row r="854" spans="1:3">
      <c r="A854" s="28">
        <v>44771</v>
      </c>
      <c r="B854" s="29">
        <v>60.203099999999999</v>
      </c>
      <c r="C854" s="28">
        <f t="shared" si="22"/>
        <v>44743</v>
      </c>
    </row>
    <row r="855" spans="1:3">
      <c r="A855" s="28">
        <v>44770</v>
      </c>
      <c r="B855" s="29">
        <v>60.219799999999999</v>
      </c>
      <c r="C855" s="28">
        <f t="shared" si="22"/>
        <v>44743</v>
      </c>
    </row>
    <row r="856" spans="1:3">
      <c r="A856" s="28">
        <v>44769</v>
      </c>
      <c r="B856" s="29">
        <v>58.660499999999999</v>
      </c>
      <c r="C856" s="28">
        <f t="shared" si="22"/>
        <v>44743</v>
      </c>
    </row>
    <row r="857" spans="1:3">
      <c r="A857" s="28">
        <v>44768</v>
      </c>
      <c r="B857" s="29">
        <v>57.7821</v>
      </c>
      <c r="C857" s="28">
        <f t="shared" si="22"/>
        <v>44743</v>
      </c>
    </row>
    <row r="858" spans="1:3">
      <c r="A858" s="28">
        <v>44765</v>
      </c>
      <c r="B858" s="29">
        <v>57.3917</v>
      </c>
      <c r="C858" s="28">
        <f t="shared" si="22"/>
        <v>44743</v>
      </c>
    </row>
    <row r="859" spans="1:3">
      <c r="A859" s="28">
        <v>44764</v>
      </c>
      <c r="B859" s="29">
        <v>56.478299999999997</v>
      </c>
      <c r="C859" s="28">
        <f t="shared" si="22"/>
        <v>44743</v>
      </c>
    </row>
    <row r="860" spans="1:3">
      <c r="A860" s="28">
        <v>44763</v>
      </c>
      <c r="B860" s="29">
        <v>54.8491</v>
      </c>
      <c r="C860" s="28">
        <f t="shared" si="22"/>
        <v>44743</v>
      </c>
    </row>
    <row r="861" spans="1:3">
      <c r="A861" s="28">
        <v>44762</v>
      </c>
      <c r="B861" s="29">
        <v>55.436999999999998</v>
      </c>
      <c r="C861" s="28">
        <f t="shared" si="22"/>
        <v>44743</v>
      </c>
    </row>
    <row r="862" spans="1:3">
      <c r="A862" s="28">
        <v>44761</v>
      </c>
      <c r="B862" s="29">
        <v>56.561599999999999</v>
      </c>
      <c r="C862" s="28">
        <f t="shared" si="22"/>
        <v>44743</v>
      </c>
    </row>
    <row r="863" spans="1:3">
      <c r="A863" s="28">
        <v>44758</v>
      </c>
      <c r="B863" s="29">
        <v>57.832299999999996</v>
      </c>
      <c r="C863" s="28">
        <f t="shared" si="22"/>
        <v>44743</v>
      </c>
    </row>
    <row r="864" spans="1:3">
      <c r="A864" s="28">
        <v>44757</v>
      </c>
      <c r="B864" s="29">
        <v>58.256799999999998</v>
      </c>
      <c r="C864" s="28">
        <f t="shared" si="22"/>
        <v>44743</v>
      </c>
    </row>
    <row r="865" spans="1:3">
      <c r="A865" s="28">
        <v>44756</v>
      </c>
      <c r="B865" s="29">
        <v>58.532200000000003</v>
      </c>
      <c r="C865" s="28">
        <f t="shared" si="22"/>
        <v>44743</v>
      </c>
    </row>
    <row r="866" spans="1:3">
      <c r="A866" s="28">
        <v>44755</v>
      </c>
      <c r="B866" s="29">
        <v>58.854100000000003</v>
      </c>
      <c r="C866" s="28">
        <f t="shared" si="22"/>
        <v>44743</v>
      </c>
    </row>
    <row r="867" spans="1:3">
      <c r="A867" s="28">
        <v>44754</v>
      </c>
      <c r="B867" s="29">
        <v>61.304499999999997</v>
      </c>
      <c r="C867" s="28">
        <f t="shared" si="22"/>
        <v>44743</v>
      </c>
    </row>
    <row r="868" spans="1:3">
      <c r="A868" s="28">
        <v>44751</v>
      </c>
      <c r="B868" s="29">
        <v>61.266399999999997</v>
      </c>
      <c r="C868" s="28">
        <f t="shared" si="22"/>
        <v>44743</v>
      </c>
    </row>
    <row r="869" spans="1:3">
      <c r="A869" s="28">
        <v>44750</v>
      </c>
      <c r="B869" s="29">
        <v>63.142699999999998</v>
      </c>
      <c r="C869" s="28">
        <f t="shared" si="22"/>
        <v>44743</v>
      </c>
    </row>
    <row r="870" spans="1:3">
      <c r="A870" s="28">
        <v>44749</v>
      </c>
      <c r="B870" s="29">
        <v>62.911000000000001</v>
      </c>
      <c r="C870" s="28">
        <f t="shared" si="22"/>
        <v>44743</v>
      </c>
    </row>
    <row r="871" spans="1:3">
      <c r="A871" s="28">
        <v>44748</v>
      </c>
      <c r="B871" s="29">
        <v>58.511800000000001</v>
      </c>
      <c r="C871" s="28">
        <f t="shared" si="22"/>
        <v>44743</v>
      </c>
    </row>
    <row r="872" spans="1:3">
      <c r="A872" s="28">
        <v>44747</v>
      </c>
      <c r="B872" s="29">
        <v>55.085799999999999</v>
      </c>
      <c r="C872" s="28">
        <f t="shared" si="22"/>
        <v>44743</v>
      </c>
    </row>
    <row r="873" spans="1:3">
      <c r="A873" s="28">
        <v>44744</v>
      </c>
      <c r="B873" s="29">
        <v>53.767600000000002</v>
      </c>
      <c r="C873" s="28">
        <f t="shared" si="22"/>
        <v>44743</v>
      </c>
    </row>
    <row r="874" spans="1:3">
      <c r="A874" s="28">
        <v>44743</v>
      </c>
      <c r="B874" s="29">
        <v>52.512300000000003</v>
      </c>
      <c r="C874" s="28">
        <f t="shared" si="22"/>
        <v>44743</v>
      </c>
    </row>
    <row r="875" spans="1:3">
      <c r="A875" s="28">
        <v>44742</v>
      </c>
      <c r="B875" s="29">
        <v>51.158000000000001</v>
      </c>
      <c r="C875" s="28">
        <f t="shared" si="22"/>
        <v>44713</v>
      </c>
    </row>
    <row r="876" spans="1:3">
      <c r="A876" s="28">
        <v>44741</v>
      </c>
      <c r="B876" s="29">
        <v>52.969900000000003</v>
      </c>
      <c r="C876" s="28">
        <f t="shared" si="22"/>
        <v>44713</v>
      </c>
    </row>
    <row r="877" spans="1:3">
      <c r="A877" s="28">
        <v>44740</v>
      </c>
      <c r="B877" s="29">
        <v>53.364100000000001</v>
      </c>
      <c r="C877" s="28">
        <f t="shared" si="22"/>
        <v>44713</v>
      </c>
    </row>
    <row r="878" spans="1:3">
      <c r="A878" s="28">
        <v>44737</v>
      </c>
      <c r="B878" s="29">
        <v>53.323399999999999</v>
      </c>
      <c r="C878" s="28">
        <f t="shared" si="22"/>
        <v>44713</v>
      </c>
    </row>
    <row r="879" spans="1:3">
      <c r="A879" s="28">
        <v>44736</v>
      </c>
      <c r="B879" s="29">
        <v>53.357799999999997</v>
      </c>
      <c r="C879" s="28">
        <f t="shared" si="22"/>
        <v>44713</v>
      </c>
    </row>
    <row r="880" spans="1:3">
      <c r="A880" s="28">
        <v>44735</v>
      </c>
      <c r="B880" s="29">
        <v>53.278799999999997</v>
      </c>
      <c r="C880" s="28">
        <f t="shared" si="22"/>
        <v>44713</v>
      </c>
    </row>
    <row r="881" spans="1:3">
      <c r="A881" s="28">
        <v>44734</v>
      </c>
      <c r="B881" s="29">
        <v>54.708100000000002</v>
      </c>
      <c r="C881" s="28">
        <f t="shared" si="22"/>
        <v>44713</v>
      </c>
    </row>
    <row r="882" spans="1:3">
      <c r="A882" s="28">
        <v>44733</v>
      </c>
      <c r="B882" s="29">
        <v>56.172699999999999</v>
      </c>
      <c r="C882" s="28">
        <f t="shared" si="22"/>
        <v>44713</v>
      </c>
    </row>
    <row r="883" spans="1:3">
      <c r="A883" s="28">
        <v>44730</v>
      </c>
      <c r="B883" s="29">
        <v>56.710099999999997</v>
      </c>
      <c r="C883" s="28">
        <f t="shared" si="22"/>
        <v>44713</v>
      </c>
    </row>
    <row r="884" spans="1:3">
      <c r="A884" s="28">
        <v>44729</v>
      </c>
      <c r="B884" s="29">
        <v>56.869100000000003</v>
      </c>
      <c r="C884" s="28">
        <f t="shared" si="22"/>
        <v>44713</v>
      </c>
    </row>
    <row r="885" spans="1:3">
      <c r="A885" s="28">
        <v>44728</v>
      </c>
      <c r="B885" s="29">
        <v>56.662399999999998</v>
      </c>
      <c r="C885" s="28">
        <f t="shared" si="22"/>
        <v>44713</v>
      </c>
    </row>
    <row r="886" spans="1:3">
      <c r="A886" s="28">
        <v>44727</v>
      </c>
      <c r="B886" s="29">
        <v>57.092599999999997</v>
      </c>
      <c r="C886" s="28">
        <f t="shared" si="22"/>
        <v>44713</v>
      </c>
    </row>
    <row r="887" spans="1:3">
      <c r="A887" s="28">
        <v>44723</v>
      </c>
      <c r="B887" s="29">
        <v>57.777999999999999</v>
      </c>
      <c r="C887" s="28">
        <f t="shared" si="22"/>
        <v>44713</v>
      </c>
    </row>
    <row r="888" spans="1:3">
      <c r="A888" s="28">
        <v>44722</v>
      </c>
      <c r="B888" s="29">
        <v>58.389499999999998</v>
      </c>
      <c r="C888" s="28">
        <f t="shared" si="22"/>
        <v>44713</v>
      </c>
    </row>
    <row r="889" spans="1:3">
      <c r="A889" s="28">
        <v>44721</v>
      </c>
      <c r="B889" s="29">
        <v>60.228200000000001</v>
      </c>
      <c r="C889" s="28">
        <f t="shared" si="22"/>
        <v>44713</v>
      </c>
    </row>
    <row r="890" spans="1:3">
      <c r="A890" s="28">
        <v>44720</v>
      </c>
      <c r="B890" s="29">
        <v>60.956499999999998</v>
      </c>
      <c r="C890" s="28">
        <f t="shared" si="22"/>
        <v>44713</v>
      </c>
    </row>
    <row r="891" spans="1:3">
      <c r="A891" s="28">
        <v>44719</v>
      </c>
      <c r="B891" s="29">
        <v>61.109400000000001</v>
      </c>
      <c r="C891" s="28">
        <f t="shared" si="22"/>
        <v>44713</v>
      </c>
    </row>
    <row r="892" spans="1:3">
      <c r="A892" s="28">
        <v>44716</v>
      </c>
      <c r="B892" s="29">
        <v>61.965899999999998</v>
      </c>
      <c r="C892" s="28">
        <f t="shared" si="22"/>
        <v>44713</v>
      </c>
    </row>
    <row r="893" spans="1:3">
      <c r="A893" s="28">
        <v>44715</v>
      </c>
      <c r="B893" s="29">
        <v>61.575000000000003</v>
      </c>
      <c r="C893" s="28">
        <f t="shared" si="22"/>
        <v>44713</v>
      </c>
    </row>
    <row r="894" spans="1:3">
      <c r="A894" s="28">
        <v>44714</v>
      </c>
      <c r="B894" s="29">
        <v>61.473300000000002</v>
      </c>
      <c r="C894" s="28">
        <f t="shared" si="22"/>
        <v>44713</v>
      </c>
    </row>
    <row r="895" spans="1:3">
      <c r="A895" s="28">
        <v>44713</v>
      </c>
      <c r="B895" s="29">
        <v>61.606900000000003</v>
      </c>
      <c r="C895" s="28">
        <f t="shared" si="22"/>
        <v>44713</v>
      </c>
    </row>
    <row r="896" spans="1:3">
      <c r="A896" s="28">
        <v>44712</v>
      </c>
      <c r="B896" s="29">
        <v>63.097499999999997</v>
      </c>
      <c r="C896" s="28">
        <f t="shared" si="22"/>
        <v>44682</v>
      </c>
    </row>
    <row r="897" spans="1:3">
      <c r="A897" s="28">
        <v>44709</v>
      </c>
      <c r="B897" s="29">
        <v>66.402900000000002</v>
      </c>
      <c r="C897" s="28">
        <f t="shared" si="22"/>
        <v>44682</v>
      </c>
    </row>
    <row r="898" spans="1:3">
      <c r="A898" s="28">
        <v>44708</v>
      </c>
      <c r="B898" s="29">
        <v>62.049500000000002</v>
      </c>
      <c r="C898" s="28">
        <f t="shared" si="22"/>
        <v>44682</v>
      </c>
    </row>
    <row r="899" spans="1:3">
      <c r="A899" s="28">
        <v>44707</v>
      </c>
      <c r="B899" s="29">
        <v>56.299599999999998</v>
      </c>
      <c r="C899" s="28">
        <f t="shared" ref="C899:C962" si="23">DATE(YEAR(A899),MONTH(A899),1)</f>
        <v>44682</v>
      </c>
    </row>
    <row r="900" spans="1:3">
      <c r="A900" s="28">
        <v>44706</v>
      </c>
      <c r="B900" s="29">
        <v>56.969000000000001</v>
      </c>
      <c r="C900" s="28">
        <f t="shared" si="23"/>
        <v>44682</v>
      </c>
    </row>
    <row r="901" spans="1:3">
      <c r="A901" s="28">
        <v>44705</v>
      </c>
      <c r="B901" s="29">
        <v>58.2087</v>
      </c>
      <c r="C901" s="28">
        <f t="shared" si="23"/>
        <v>44682</v>
      </c>
    </row>
    <row r="902" spans="1:3">
      <c r="A902" s="28">
        <v>44702</v>
      </c>
      <c r="B902" s="29">
        <v>58.886200000000002</v>
      </c>
      <c r="C902" s="28">
        <f t="shared" si="23"/>
        <v>44682</v>
      </c>
    </row>
    <row r="903" spans="1:3">
      <c r="A903" s="28">
        <v>44701</v>
      </c>
      <c r="B903" s="29">
        <v>62.403100000000002</v>
      </c>
      <c r="C903" s="28">
        <f t="shared" si="23"/>
        <v>44682</v>
      </c>
    </row>
    <row r="904" spans="1:3">
      <c r="A904" s="28">
        <v>44700</v>
      </c>
      <c r="B904" s="29">
        <v>63.564300000000003</v>
      </c>
      <c r="C904" s="28">
        <f t="shared" si="23"/>
        <v>44682</v>
      </c>
    </row>
    <row r="905" spans="1:3">
      <c r="A905" s="28">
        <v>44699</v>
      </c>
      <c r="B905" s="29">
        <v>63.5428</v>
      </c>
      <c r="C905" s="28">
        <f t="shared" si="23"/>
        <v>44682</v>
      </c>
    </row>
    <row r="906" spans="1:3">
      <c r="A906" s="28">
        <v>44698</v>
      </c>
      <c r="B906" s="29">
        <v>63.444499999999998</v>
      </c>
      <c r="C906" s="28">
        <f t="shared" si="23"/>
        <v>44682</v>
      </c>
    </row>
    <row r="907" spans="1:3">
      <c r="A907" s="28">
        <v>44695</v>
      </c>
      <c r="B907" s="29">
        <v>63.779899999999998</v>
      </c>
      <c r="C907" s="28">
        <f t="shared" si="23"/>
        <v>44682</v>
      </c>
    </row>
    <row r="908" spans="1:3">
      <c r="A908" s="28">
        <v>44694</v>
      </c>
      <c r="B908" s="29">
        <v>65.791600000000003</v>
      </c>
      <c r="C908" s="28">
        <f t="shared" si="23"/>
        <v>44682</v>
      </c>
    </row>
    <row r="909" spans="1:3">
      <c r="A909" s="28">
        <v>44693</v>
      </c>
      <c r="B909" s="29">
        <v>68.838899999999995</v>
      </c>
      <c r="C909" s="28">
        <f t="shared" si="23"/>
        <v>44682</v>
      </c>
    </row>
    <row r="910" spans="1:3">
      <c r="A910" s="28">
        <v>44688</v>
      </c>
      <c r="B910" s="29">
        <v>67.384299999999996</v>
      </c>
      <c r="C910" s="28">
        <f t="shared" si="23"/>
        <v>44682</v>
      </c>
    </row>
    <row r="911" spans="1:3">
      <c r="A911" s="28">
        <v>44687</v>
      </c>
      <c r="B911" s="29">
        <v>66.237799999999993</v>
      </c>
      <c r="C911" s="28">
        <f t="shared" si="23"/>
        <v>44682</v>
      </c>
    </row>
    <row r="912" spans="1:3">
      <c r="A912" s="28">
        <v>44686</v>
      </c>
      <c r="B912" s="29">
        <v>69.415999999999997</v>
      </c>
      <c r="C912" s="28">
        <f t="shared" si="23"/>
        <v>44682</v>
      </c>
    </row>
    <row r="913" spans="1:3">
      <c r="A913" s="28">
        <v>44681</v>
      </c>
      <c r="B913" s="29">
        <v>71.023700000000005</v>
      </c>
      <c r="C913" s="28">
        <f t="shared" si="23"/>
        <v>44652</v>
      </c>
    </row>
    <row r="914" spans="1:3">
      <c r="A914" s="28">
        <v>44680</v>
      </c>
      <c r="B914" s="29">
        <v>72.295299999999997</v>
      </c>
      <c r="C914" s="28">
        <f t="shared" si="23"/>
        <v>44652</v>
      </c>
    </row>
    <row r="915" spans="1:3">
      <c r="A915" s="28">
        <v>44679</v>
      </c>
      <c r="B915" s="29">
        <v>72.876400000000004</v>
      </c>
      <c r="C915" s="28">
        <f t="shared" si="23"/>
        <v>44652</v>
      </c>
    </row>
    <row r="916" spans="1:3">
      <c r="A916" s="28">
        <v>44678</v>
      </c>
      <c r="B916" s="29">
        <v>72.7089</v>
      </c>
      <c r="C916" s="28">
        <f t="shared" si="23"/>
        <v>44652</v>
      </c>
    </row>
    <row r="917" spans="1:3">
      <c r="A917" s="28">
        <v>44677</v>
      </c>
      <c r="B917" s="29">
        <v>73.361099999999993</v>
      </c>
      <c r="C917" s="28">
        <f t="shared" si="23"/>
        <v>44652</v>
      </c>
    </row>
    <row r="918" spans="1:3">
      <c r="A918" s="28">
        <v>44674</v>
      </c>
      <c r="B918" s="29">
        <v>73.504999999999995</v>
      </c>
      <c r="C918" s="28">
        <f t="shared" si="23"/>
        <v>44652</v>
      </c>
    </row>
    <row r="919" spans="1:3">
      <c r="A919" s="28">
        <v>44673</v>
      </c>
      <c r="B919" s="29">
        <v>74.998999999999995</v>
      </c>
      <c r="C919" s="28">
        <f t="shared" si="23"/>
        <v>44652</v>
      </c>
    </row>
    <row r="920" spans="1:3">
      <c r="A920" s="28">
        <v>44672</v>
      </c>
      <c r="B920" s="29">
        <v>77.0809</v>
      </c>
      <c r="C920" s="28">
        <f t="shared" si="23"/>
        <v>44652</v>
      </c>
    </row>
    <row r="921" spans="1:3">
      <c r="A921" s="28">
        <v>44671</v>
      </c>
      <c r="B921" s="29">
        <v>79.028700000000001</v>
      </c>
      <c r="C921" s="28">
        <f t="shared" si="23"/>
        <v>44652</v>
      </c>
    </row>
    <row r="922" spans="1:3">
      <c r="A922" s="28">
        <v>44670</v>
      </c>
      <c r="B922" s="29">
        <v>79.4529</v>
      </c>
      <c r="C922" s="28">
        <f t="shared" si="23"/>
        <v>44652</v>
      </c>
    </row>
    <row r="923" spans="1:3">
      <c r="A923" s="28">
        <v>44667</v>
      </c>
      <c r="B923" s="29">
        <v>80.043700000000001</v>
      </c>
      <c r="C923" s="28">
        <f t="shared" si="23"/>
        <v>44652</v>
      </c>
    </row>
    <row r="924" spans="1:3">
      <c r="A924" s="28">
        <v>44666</v>
      </c>
      <c r="B924" s="29">
        <v>81.287999999999997</v>
      </c>
      <c r="C924" s="28">
        <f t="shared" si="23"/>
        <v>44652</v>
      </c>
    </row>
    <row r="925" spans="1:3">
      <c r="A925" s="28">
        <v>44665</v>
      </c>
      <c r="B925" s="29">
        <v>79.847099999999998</v>
      </c>
      <c r="C925" s="28">
        <f t="shared" si="23"/>
        <v>44652</v>
      </c>
    </row>
    <row r="926" spans="1:3">
      <c r="A926" s="28">
        <v>44664</v>
      </c>
      <c r="B926" s="29">
        <v>79.627399999999994</v>
      </c>
      <c r="C926" s="28">
        <f t="shared" si="23"/>
        <v>44652</v>
      </c>
    </row>
    <row r="927" spans="1:3">
      <c r="A927" s="28">
        <v>44663</v>
      </c>
      <c r="B927" s="29">
        <v>79.159599999999998</v>
      </c>
      <c r="C927" s="28">
        <f t="shared" si="23"/>
        <v>44652</v>
      </c>
    </row>
    <row r="928" spans="1:3">
      <c r="A928" s="28">
        <v>44660</v>
      </c>
      <c r="B928" s="29">
        <v>74.850099999999998</v>
      </c>
      <c r="C928" s="28">
        <f t="shared" si="23"/>
        <v>44652</v>
      </c>
    </row>
    <row r="929" spans="1:3">
      <c r="A929" s="28">
        <v>44659</v>
      </c>
      <c r="B929" s="29">
        <v>76.2547</v>
      </c>
      <c r="C929" s="28">
        <f t="shared" si="23"/>
        <v>44652</v>
      </c>
    </row>
    <row r="930" spans="1:3">
      <c r="A930" s="28">
        <v>44658</v>
      </c>
      <c r="B930" s="29">
        <v>82.596199999999996</v>
      </c>
      <c r="C930" s="28">
        <f t="shared" si="23"/>
        <v>44652</v>
      </c>
    </row>
    <row r="931" spans="1:3">
      <c r="A931" s="28">
        <v>44657</v>
      </c>
      <c r="B931" s="29">
        <v>83.352000000000004</v>
      </c>
      <c r="C931" s="28">
        <f t="shared" si="23"/>
        <v>44652</v>
      </c>
    </row>
    <row r="932" spans="1:3">
      <c r="A932" s="28">
        <v>44656</v>
      </c>
      <c r="B932" s="29">
        <v>83.593199999999996</v>
      </c>
      <c r="C932" s="28">
        <f t="shared" si="23"/>
        <v>44652</v>
      </c>
    </row>
    <row r="933" spans="1:3">
      <c r="A933" s="28">
        <v>44653</v>
      </c>
      <c r="B933" s="29">
        <v>83.4285</v>
      </c>
      <c r="C933" s="28">
        <f t="shared" si="23"/>
        <v>44652</v>
      </c>
    </row>
    <row r="934" spans="1:3">
      <c r="A934" s="28">
        <v>44652</v>
      </c>
      <c r="B934" s="29">
        <v>83.409700000000001</v>
      </c>
      <c r="C934" s="28">
        <f t="shared" si="23"/>
        <v>44652</v>
      </c>
    </row>
    <row r="935" spans="1:3">
      <c r="A935" s="28">
        <v>44651</v>
      </c>
      <c r="B935" s="29">
        <v>84.085099999999997</v>
      </c>
      <c r="C935" s="28">
        <f t="shared" si="23"/>
        <v>44621</v>
      </c>
    </row>
    <row r="936" spans="1:3">
      <c r="A936" s="28">
        <v>44650</v>
      </c>
      <c r="B936" s="29">
        <v>86.284300000000002</v>
      </c>
      <c r="C936" s="28">
        <f t="shared" si="23"/>
        <v>44621</v>
      </c>
    </row>
    <row r="937" spans="1:3">
      <c r="A937" s="28">
        <v>44649</v>
      </c>
      <c r="B937" s="29">
        <v>93.712500000000006</v>
      </c>
      <c r="C937" s="28">
        <f t="shared" si="23"/>
        <v>44621</v>
      </c>
    </row>
    <row r="938" spans="1:3">
      <c r="A938" s="28">
        <v>44646</v>
      </c>
      <c r="B938" s="29">
        <v>95.661799999999999</v>
      </c>
      <c r="C938" s="28">
        <f t="shared" si="23"/>
        <v>44621</v>
      </c>
    </row>
    <row r="939" spans="1:3">
      <c r="A939" s="28">
        <v>44645</v>
      </c>
      <c r="B939" s="29">
        <v>96.0458</v>
      </c>
      <c r="C939" s="28">
        <f t="shared" si="23"/>
        <v>44621</v>
      </c>
    </row>
    <row r="940" spans="1:3">
      <c r="A940" s="28">
        <v>44644</v>
      </c>
      <c r="B940" s="29">
        <v>103.1618</v>
      </c>
      <c r="C940" s="28">
        <f t="shared" si="23"/>
        <v>44621</v>
      </c>
    </row>
    <row r="941" spans="1:3">
      <c r="A941" s="28">
        <v>44643</v>
      </c>
      <c r="B941" s="29">
        <v>104.0741</v>
      </c>
      <c r="C941" s="28">
        <f t="shared" si="23"/>
        <v>44621</v>
      </c>
    </row>
    <row r="942" spans="1:3">
      <c r="A942" s="28">
        <v>44642</v>
      </c>
      <c r="B942" s="29">
        <v>104.6819</v>
      </c>
      <c r="C942" s="28">
        <f t="shared" si="23"/>
        <v>44621</v>
      </c>
    </row>
    <row r="943" spans="1:3">
      <c r="A943" s="28">
        <v>44639</v>
      </c>
      <c r="B943" s="29">
        <v>103.9524</v>
      </c>
      <c r="C943" s="28">
        <f t="shared" si="23"/>
        <v>44621</v>
      </c>
    </row>
    <row r="944" spans="1:3">
      <c r="A944" s="28">
        <v>44638</v>
      </c>
      <c r="B944" s="29">
        <v>104.80119999999999</v>
      </c>
      <c r="C944" s="28">
        <f t="shared" si="23"/>
        <v>44621</v>
      </c>
    </row>
    <row r="945" spans="1:3">
      <c r="A945" s="28">
        <v>44637</v>
      </c>
      <c r="B945" s="29">
        <v>108.0521</v>
      </c>
      <c r="C945" s="28">
        <f t="shared" si="23"/>
        <v>44621</v>
      </c>
    </row>
    <row r="946" spans="1:3">
      <c r="A946" s="28">
        <v>44636</v>
      </c>
      <c r="B946" s="29">
        <v>111.4823</v>
      </c>
      <c r="C946" s="28">
        <f t="shared" si="23"/>
        <v>44621</v>
      </c>
    </row>
    <row r="947" spans="1:3">
      <c r="A947" s="28">
        <v>44635</v>
      </c>
      <c r="B947" s="29">
        <v>115.19629999999999</v>
      </c>
      <c r="C947" s="28">
        <f t="shared" si="23"/>
        <v>44621</v>
      </c>
    </row>
    <row r="948" spans="1:3">
      <c r="A948" s="28">
        <v>44632</v>
      </c>
      <c r="B948" s="29">
        <v>116.7517</v>
      </c>
      <c r="C948" s="28">
        <f t="shared" si="23"/>
        <v>44621</v>
      </c>
    </row>
    <row r="949" spans="1:3">
      <c r="A949" s="28">
        <v>44631</v>
      </c>
      <c r="B949" s="29">
        <v>120.3785</v>
      </c>
      <c r="C949" s="28">
        <f t="shared" si="23"/>
        <v>44621</v>
      </c>
    </row>
    <row r="950" spans="1:3">
      <c r="A950" s="28">
        <v>44630</v>
      </c>
      <c r="B950" s="29">
        <v>116.0847</v>
      </c>
      <c r="C950" s="28">
        <f t="shared" si="23"/>
        <v>44621</v>
      </c>
    </row>
    <row r="951" spans="1:3">
      <c r="A951" s="28">
        <v>44626</v>
      </c>
      <c r="B951" s="29">
        <v>105.8124</v>
      </c>
      <c r="C951" s="28">
        <f t="shared" si="23"/>
        <v>44621</v>
      </c>
    </row>
    <row r="952" spans="1:3">
      <c r="A952" s="28">
        <v>44625</v>
      </c>
      <c r="B952" s="29">
        <v>105.8124</v>
      </c>
      <c r="C952" s="28">
        <f t="shared" si="23"/>
        <v>44621</v>
      </c>
    </row>
    <row r="953" spans="1:3">
      <c r="A953" s="28">
        <v>44624</v>
      </c>
      <c r="B953" s="29">
        <v>111.7564</v>
      </c>
      <c r="C953" s="28">
        <f t="shared" si="23"/>
        <v>44621</v>
      </c>
    </row>
    <row r="954" spans="1:3">
      <c r="A954" s="28">
        <v>44623</v>
      </c>
      <c r="B954" s="29">
        <v>103.2487</v>
      </c>
      <c r="C954" s="28">
        <f t="shared" si="23"/>
        <v>44621</v>
      </c>
    </row>
    <row r="955" spans="1:3">
      <c r="A955" s="28">
        <v>44622</v>
      </c>
      <c r="B955" s="29">
        <v>91.745699999999999</v>
      </c>
      <c r="C955" s="28">
        <f t="shared" si="23"/>
        <v>44621</v>
      </c>
    </row>
    <row r="956" spans="1:3">
      <c r="A956" s="28">
        <v>44621</v>
      </c>
      <c r="B956" s="29">
        <v>93.558899999999994</v>
      </c>
      <c r="C956" s="28">
        <f t="shared" si="23"/>
        <v>44621</v>
      </c>
    </row>
    <row r="957" spans="1:3">
      <c r="A957" s="28">
        <v>44618</v>
      </c>
      <c r="B957" s="29">
        <v>83.548500000000004</v>
      </c>
      <c r="C957" s="28">
        <f t="shared" si="23"/>
        <v>44593</v>
      </c>
    </row>
    <row r="958" spans="1:3">
      <c r="A958" s="28">
        <v>44617</v>
      </c>
      <c r="B958" s="29">
        <v>86.928799999999995</v>
      </c>
      <c r="C958" s="28">
        <f t="shared" si="23"/>
        <v>44593</v>
      </c>
    </row>
    <row r="959" spans="1:3">
      <c r="A959" s="28">
        <v>44615</v>
      </c>
      <c r="B959" s="29">
        <v>80.419399999999996</v>
      </c>
      <c r="C959" s="28">
        <f t="shared" si="23"/>
        <v>44593</v>
      </c>
    </row>
    <row r="960" spans="1:3">
      <c r="A960" s="28">
        <v>44614</v>
      </c>
      <c r="B960" s="29">
        <v>76.767099999999999</v>
      </c>
      <c r="C960" s="28">
        <f t="shared" si="23"/>
        <v>44593</v>
      </c>
    </row>
    <row r="961" spans="1:3">
      <c r="A961" s="28">
        <v>44611</v>
      </c>
      <c r="B961" s="29">
        <v>75.761899999999997</v>
      </c>
      <c r="C961" s="28">
        <f t="shared" si="23"/>
        <v>44593</v>
      </c>
    </row>
    <row r="962" spans="1:3">
      <c r="A962" s="28">
        <v>44610</v>
      </c>
      <c r="B962" s="29">
        <v>75.752700000000004</v>
      </c>
      <c r="C962" s="28">
        <f t="shared" si="23"/>
        <v>44593</v>
      </c>
    </row>
    <row r="963" spans="1:3">
      <c r="A963" s="28">
        <v>44609</v>
      </c>
      <c r="B963" s="29">
        <v>75.014099999999999</v>
      </c>
      <c r="C963" s="28">
        <f t="shared" ref="C963:C1026" si="24">DATE(YEAR(A963),MONTH(A963),1)</f>
        <v>44593</v>
      </c>
    </row>
    <row r="964" spans="1:3">
      <c r="A964" s="28">
        <v>44608</v>
      </c>
      <c r="B964" s="29">
        <v>76.165999999999997</v>
      </c>
      <c r="C964" s="28">
        <f t="shared" si="24"/>
        <v>44593</v>
      </c>
    </row>
    <row r="965" spans="1:3">
      <c r="A965" s="28">
        <v>44607</v>
      </c>
      <c r="B965" s="29">
        <v>76.5762</v>
      </c>
      <c r="C965" s="28">
        <f t="shared" si="24"/>
        <v>44593</v>
      </c>
    </row>
    <row r="966" spans="1:3">
      <c r="A966" s="28">
        <v>44604</v>
      </c>
      <c r="B966" s="29">
        <v>74.986699999999999</v>
      </c>
      <c r="C966" s="28">
        <f t="shared" si="24"/>
        <v>44593</v>
      </c>
    </row>
    <row r="967" spans="1:3">
      <c r="A967" s="28">
        <v>44603</v>
      </c>
      <c r="B967" s="29">
        <v>74.724100000000007</v>
      </c>
      <c r="C967" s="28">
        <f t="shared" si="24"/>
        <v>44593</v>
      </c>
    </row>
    <row r="968" spans="1:3">
      <c r="A968" s="28">
        <v>44602</v>
      </c>
      <c r="B968" s="29">
        <v>74.801500000000004</v>
      </c>
      <c r="C968" s="28">
        <f t="shared" si="24"/>
        <v>44593</v>
      </c>
    </row>
    <row r="969" spans="1:3">
      <c r="A969" s="28">
        <v>44601</v>
      </c>
      <c r="B969" s="29">
        <v>75.304199999999994</v>
      </c>
      <c r="C969" s="28">
        <f t="shared" si="24"/>
        <v>44593</v>
      </c>
    </row>
    <row r="970" spans="1:3">
      <c r="A970" s="28">
        <v>44600</v>
      </c>
      <c r="B970" s="29">
        <v>75.680599999999998</v>
      </c>
      <c r="C970" s="28">
        <f t="shared" si="24"/>
        <v>44593</v>
      </c>
    </row>
    <row r="971" spans="1:3">
      <c r="A971" s="28">
        <v>44597</v>
      </c>
      <c r="B971" s="29">
        <v>76.050899999999999</v>
      </c>
      <c r="C971" s="28">
        <f t="shared" si="24"/>
        <v>44593</v>
      </c>
    </row>
    <row r="972" spans="1:3">
      <c r="A972" s="28">
        <v>44596</v>
      </c>
      <c r="B972" s="29">
        <v>76.650099999999995</v>
      </c>
      <c r="C972" s="28">
        <f t="shared" si="24"/>
        <v>44593</v>
      </c>
    </row>
    <row r="973" spans="1:3">
      <c r="A973" s="28">
        <v>44595</v>
      </c>
      <c r="B973" s="29">
        <v>76.484899999999996</v>
      </c>
      <c r="C973" s="28">
        <f t="shared" si="24"/>
        <v>44593</v>
      </c>
    </row>
    <row r="974" spans="1:3">
      <c r="A974" s="28">
        <v>44594</v>
      </c>
      <c r="B974" s="29">
        <v>77.130200000000002</v>
      </c>
      <c r="C974" s="28">
        <f t="shared" si="24"/>
        <v>44593</v>
      </c>
    </row>
    <row r="975" spans="1:3">
      <c r="A975" s="28">
        <v>44593</v>
      </c>
      <c r="B975" s="29">
        <v>77.470200000000006</v>
      </c>
      <c r="C975" s="28">
        <f t="shared" si="24"/>
        <v>44593</v>
      </c>
    </row>
    <row r="976" spans="1:3">
      <c r="A976" s="28">
        <v>44590</v>
      </c>
      <c r="B976" s="29">
        <v>77.817400000000006</v>
      </c>
      <c r="C976" s="28">
        <f t="shared" si="24"/>
        <v>44562</v>
      </c>
    </row>
    <row r="977" spans="1:3">
      <c r="A977" s="28">
        <v>44589</v>
      </c>
      <c r="B977" s="29">
        <v>78.947000000000003</v>
      </c>
      <c r="C977" s="28">
        <f t="shared" si="24"/>
        <v>44562</v>
      </c>
    </row>
    <row r="978" spans="1:3">
      <c r="A978" s="28">
        <v>44588</v>
      </c>
      <c r="B978" s="29">
        <v>78.943700000000007</v>
      </c>
      <c r="C978" s="28">
        <f t="shared" si="24"/>
        <v>44562</v>
      </c>
    </row>
    <row r="979" spans="1:3">
      <c r="A979" s="28">
        <v>44587</v>
      </c>
      <c r="B979" s="29">
        <v>78.642200000000003</v>
      </c>
      <c r="C979" s="28">
        <f t="shared" si="24"/>
        <v>44562</v>
      </c>
    </row>
    <row r="980" spans="1:3">
      <c r="A980" s="28">
        <v>44586</v>
      </c>
      <c r="B980" s="29">
        <v>77.364900000000006</v>
      </c>
      <c r="C980" s="28">
        <f t="shared" si="24"/>
        <v>44562</v>
      </c>
    </row>
    <row r="981" spans="1:3">
      <c r="A981" s="28">
        <v>44583</v>
      </c>
      <c r="B981" s="29">
        <v>76.690299999999993</v>
      </c>
      <c r="C981" s="28">
        <f t="shared" si="24"/>
        <v>44562</v>
      </c>
    </row>
    <row r="982" spans="1:3">
      <c r="A982" s="28">
        <v>44582</v>
      </c>
      <c r="B982" s="29">
        <v>76.440799999999996</v>
      </c>
      <c r="C982" s="28">
        <f t="shared" si="24"/>
        <v>44562</v>
      </c>
    </row>
    <row r="983" spans="1:3">
      <c r="A983" s="28">
        <v>44581</v>
      </c>
      <c r="B983" s="29">
        <v>76.869699999999995</v>
      </c>
      <c r="C983" s="28">
        <f t="shared" si="24"/>
        <v>44562</v>
      </c>
    </row>
    <row r="984" spans="1:3">
      <c r="A984" s="28">
        <v>44580</v>
      </c>
      <c r="B984" s="29">
        <v>76.334699999999998</v>
      </c>
      <c r="C984" s="28">
        <f t="shared" si="24"/>
        <v>44562</v>
      </c>
    </row>
    <row r="985" spans="1:3">
      <c r="A985" s="28">
        <v>44579</v>
      </c>
      <c r="B985" s="29">
        <v>76.040400000000005</v>
      </c>
      <c r="C985" s="28">
        <f t="shared" si="24"/>
        <v>44562</v>
      </c>
    </row>
    <row r="986" spans="1:3">
      <c r="A986" s="28">
        <v>44576</v>
      </c>
      <c r="B986" s="29">
        <v>75.766800000000003</v>
      </c>
      <c r="C986" s="28">
        <f t="shared" si="24"/>
        <v>44562</v>
      </c>
    </row>
    <row r="987" spans="1:3">
      <c r="A987" s="28">
        <v>44575</v>
      </c>
      <c r="B987" s="29">
        <v>74.568600000000004</v>
      </c>
      <c r="C987" s="28">
        <f t="shared" si="24"/>
        <v>44562</v>
      </c>
    </row>
    <row r="988" spans="1:3">
      <c r="A988" s="28">
        <v>44574</v>
      </c>
      <c r="B988" s="29">
        <v>74.527699999999996</v>
      </c>
      <c r="C988" s="28">
        <f t="shared" si="24"/>
        <v>44562</v>
      </c>
    </row>
    <row r="989" spans="1:3">
      <c r="A989" s="28">
        <v>44573</v>
      </c>
      <c r="B989" s="29">
        <v>74.835499999999996</v>
      </c>
      <c r="C989" s="28">
        <f t="shared" si="24"/>
        <v>44562</v>
      </c>
    </row>
    <row r="990" spans="1:3">
      <c r="A990" s="28">
        <v>44572</v>
      </c>
      <c r="B990" s="29">
        <v>75.131500000000003</v>
      </c>
      <c r="C990" s="28">
        <f t="shared" si="24"/>
        <v>44562</v>
      </c>
    </row>
    <row r="991" spans="1:3">
      <c r="A991" s="28">
        <v>44561</v>
      </c>
      <c r="B991" s="29">
        <v>74.292599999999993</v>
      </c>
      <c r="C991" s="28">
        <f t="shared" si="24"/>
        <v>44531</v>
      </c>
    </row>
    <row r="992" spans="1:3">
      <c r="A992" s="28">
        <v>44560</v>
      </c>
      <c r="B992" s="29">
        <v>73.651399999999995</v>
      </c>
      <c r="C992" s="28">
        <f t="shared" si="24"/>
        <v>44531</v>
      </c>
    </row>
    <row r="993" spans="1:3">
      <c r="A993" s="28">
        <v>44559</v>
      </c>
      <c r="B993" s="29">
        <v>73.495900000000006</v>
      </c>
      <c r="C993" s="28">
        <f t="shared" si="24"/>
        <v>44531</v>
      </c>
    </row>
    <row r="994" spans="1:3">
      <c r="A994" s="28">
        <v>44558</v>
      </c>
      <c r="B994" s="29">
        <v>73.232900000000001</v>
      </c>
      <c r="C994" s="28">
        <f t="shared" si="24"/>
        <v>44531</v>
      </c>
    </row>
    <row r="995" spans="1:3">
      <c r="A995" s="28">
        <v>44555</v>
      </c>
      <c r="B995" s="29">
        <v>73.188599999999994</v>
      </c>
      <c r="C995" s="28">
        <f t="shared" si="24"/>
        <v>44531</v>
      </c>
    </row>
    <row r="996" spans="1:3">
      <c r="A996" s="28">
        <v>44554</v>
      </c>
      <c r="B996" s="29">
        <v>73.3583</v>
      </c>
      <c r="C996" s="28">
        <f t="shared" si="24"/>
        <v>44531</v>
      </c>
    </row>
    <row r="997" spans="1:3">
      <c r="A997" s="28">
        <v>44553</v>
      </c>
      <c r="B997" s="29">
        <v>73.790099999999995</v>
      </c>
      <c r="C997" s="28">
        <f t="shared" si="24"/>
        <v>44531</v>
      </c>
    </row>
    <row r="998" spans="1:3">
      <c r="A998" s="28">
        <v>44552</v>
      </c>
      <c r="B998" s="29">
        <v>73.820599999999999</v>
      </c>
      <c r="C998" s="28">
        <f t="shared" si="24"/>
        <v>44531</v>
      </c>
    </row>
    <row r="999" spans="1:3">
      <c r="A999" s="28">
        <v>44551</v>
      </c>
      <c r="B999" s="29">
        <v>74.294700000000006</v>
      </c>
      <c r="C999" s="28">
        <f t="shared" si="24"/>
        <v>44531</v>
      </c>
    </row>
    <row r="1000" spans="1:3">
      <c r="A1000" s="28">
        <v>44548</v>
      </c>
      <c r="B1000" s="29">
        <v>73.733000000000004</v>
      </c>
      <c r="C1000" s="28">
        <f t="shared" si="24"/>
        <v>44531</v>
      </c>
    </row>
    <row r="1001" spans="1:3">
      <c r="A1001" s="28">
        <v>44547</v>
      </c>
      <c r="B1001" s="29">
        <v>73.570800000000006</v>
      </c>
      <c r="C1001" s="28">
        <f t="shared" si="24"/>
        <v>44531</v>
      </c>
    </row>
    <row r="1002" spans="1:3">
      <c r="A1002" s="28">
        <v>44546</v>
      </c>
      <c r="B1002" s="29">
        <v>73.850999999999999</v>
      </c>
      <c r="C1002" s="28">
        <f t="shared" si="24"/>
        <v>44531</v>
      </c>
    </row>
    <row r="1003" spans="1:3">
      <c r="A1003" s="28">
        <v>44545</v>
      </c>
      <c r="B1003" s="29">
        <v>73.469800000000006</v>
      </c>
      <c r="C1003" s="28">
        <f t="shared" si="24"/>
        <v>44531</v>
      </c>
    </row>
    <row r="1004" spans="1:3">
      <c r="A1004" s="28">
        <v>44544</v>
      </c>
      <c r="B1004" s="29">
        <v>73.410700000000006</v>
      </c>
      <c r="C1004" s="28">
        <f t="shared" si="24"/>
        <v>44531</v>
      </c>
    </row>
    <row r="1005" spans="1:3">
      <c r="A1005" s="28">
        <v>44541</v>
      </c>
      <c r="B1005" s="29">
        <v>73.605900000000005</v>
      </c>
      <c r="C1005" s="28">
        <f t="shared" si="24"/>
        <v>44531</v>
      </c>
    </row>
    <row r="1006" spans="1:3">
      <c r="A1006" s="28">
        <v>44540</v>
      </c>
      <c r="B1006" s="29">
        <v>73.599800000000002</v>
      </c>
      <c r="C1006" s="28">
        <f t="shared" si="24"/>
        <v>44531</v>
      </c>
    </row>
    <row r="1007" spans="1:3">
      <c r="A1007" s="28">
        <v>44539</v>
      </c>
      <c r="B1007" s="29">
        <v>73.845299999999995</v>
      </c>
      <c r="C1007" s="28">
        <f t="shared" si="24"/>
        <v>44531</v>
      </c>
    </row>
    <row r="1008" spans="1:3">
      <c r="A1008" s="28">
        <v>44538</v>
      </c>
      <c r="B1008" s="29">
        <v>74.139899999999997</v>
      </c>
      <c r="C1008" s="28">
        <f t="shared" si="24"/>
        <v>44531</v>
      </c>
    </row>
    <row r="1009" spans="1:3">
      <c r="A1009" s="28">
        <v>44537</v>
      </c>
      <c r="B1009" s="29">
        <v>73.669399999999996</v>
      </c>
      <c r="C1009" s="28">
        <f t="shared" si="24"/>
        <v>44531</v>
      </c>
    </row>
    <row r="1010" spans="1:3">
      <c r="A1010" s="28">
        <v>44534</v>
      </c>
      <c r="B1010" s="29">
        <v>73.742599999999996</v>
      </c>
      <c r="C1010" s="28">
        <f t="shared" si="24"/>
        <v>44531</v>
      </c>
    </row>
    <row r="1011" spans="1:3">
      <c r="A1011" s="28">
        <v>44533</v>
      </c>
      <c r="B1011" s="29">
        <v>74.063699999999997</v>
      </c>
      <c r="C1011" s="28">
        <f t="shared" si="24"/>
        <v>44531</v>
      </c>
    </row>
    <row r="1012" spans="1:3">
      <c r="A1012" s="28">
        <v>44532</v>
      </c>
      <c r="B1012" s="29">
        <v>73.974599999999995</v>
      </c>
      <c r="C1012" s="28">
        <f t="shared" si="24"/>
        <v>44531</v>
      </c>
    </row>
    <row r="1013" spans="1:3">
      <c r="A1013" s="28">
        <v>44531</v>
      </c>
      <c r="B1013" s="29">
        <v>74.892600000000002</v>
      </c>
      <c r="C1013" s="28">
        <f t="shared" si="24"/>
        <v>44531</v>
      </c>
    </row>
    <row r="1014" spans="1:3">
      <c r="A1014" s="28">
        <v>44530</v>
      </c>
      <c r="B1014" s="29">
        <v>74.981800000000007</v>
      </c>
      <c r="C1014" s="28">
        <f t="shared" si="24"/>
        <v>44501</v>
      </c>
    </row>
    <row r="1015" spans="1:3">
      <c r="A1015" s="28">
        <v>44527</v>
      </c>
      <c r="B1015" s="29">
        <v>75.587299999999999</v>
      </c>
      <c r="C1015" s="28">
        <f t="shared" si="24"/>
        <v>44501</v>
      </c>
    </row>
    <row r="1016" spans="1:3">
      <c r="A1016" s="28">
        <v>44526</v>
      </c>
      <c r="B1016" s="29">
        <v>74.600399999999993</v>
      </c>
      <c r="C1016" s="28">
        <f t="shared" si="24"/>
        <v>44501</v>
      </c>
    </row>
    <row r="1017" spans="1:3">
      <c r="A1017" s="28">
        <v>44525</v>
      </c>
      <c r="B1017" s="29">
        <v>74.372600000000006</v>
      </c>
      <c r="C1017" s="28">
        <f t="shared" si="24"/>
        <v>44501</v>
      </c>
    </row>
    <row r="1018" spans="1:3">
      <c r="A1018" s="28">
        <v>44524</v>
      </c>
      <c r="B1018" s="29">
        <v>74.832700000000003</v>
      </c>
      <c r="C1018" s="28">
        <f t="shared" si="24"/>
        <v>44501</v>
      </c>
    </row>
    <row r="1019" spans="1:3">
      <c r="A1019" s="28">
        <v>44523</v>
      </c>
      <c r="B1019" s="29">
        <v>73.450599999999994</v>
      </c>
      <c r="C1019" s="28">
        <f t="shared" si="24"/>
        <v>44501</v>
      </c>
    </row>
    <row r="1020" spans="1:3">
      <c r="A1020" s="28">
        <v>44520</v>
      </c>
      <c r="B1020" s="29">
        <v>72.761700000000005</v>
      </c>
      <c r="C1020" s="28">
        <f t="shared" si="24"/>
        <v>44501</v>
      </c>
    </row>
    <row r="1021" spans="1:3">
      <c r="A1021" s="28">
        <v>44519</v>
      </c>
      <c r="B1021" s="29">
        <v>72.602199999999996</v>
      </c>
      <c r="C1021" s="28">
        <f t="shared" si="24"/>
        <v>44501</v>
      </c>
    </row>
    <row r="1022" spans="1:3">
      <c r="A1022" s="28">
        <v>44518</v>
      </c>
      <c r="B1022" s="29">
        <v>72.822800000000001</v>
      </c>
      <c r="C1022" s="28">
        <f t="shared" si="24"/>
        <v>44501</v>
      </c>
    </row>
    <row r="1023" spans="1:3">
      <c r="A1023" s="28">
        <v>44517</v>
      </c>
      <c r="B1023" s="29">
        <v>72.555300000000003</v>
      </c>
      <c r="C1023" s="28">
        <f t="shared" si="24"/>
        <v>44501</v>
      </c>
    </row>
    <row r="1024" spans="1:3">
      <c r="A1024" s="28">
        <v>44516</v>
      </c>
      <c r="B1024" s="29">
        <v>72.272400000000005</v>
      </c>
      <c r="C1024" s="28">
        <f t="shared" si="24"/>
        <v>44501</v>
      </c>
    </row>
    <row r="1025" spans="1:3">
      <c r="A1025" s="28">
        <v>44513</v>
      </c>
      <c r="B1025" s="29">
        <v>71.811800000000005</v>
      </c>
      <c r="C1025" s="28">
        <f t="shared" si="24"/>
        <v>44501</v>
      </c>
    </row>
    <row r="1026" spans="1:3">
      <c r="A1026" s="28">
        <v>44512</v>
      </c>
      <c r="B1026" s="29">
        <v>71.196399999999997</v>
      </c>
      <c r="C1026" s="28">
        <f t="shared" si="24"/>
        <v>44501</v>
      </c>
    </row>
    <row r="1027" spans="1:3">
      <c r="A1027" s="28">
        <v>44511</v>
      </c>
      <c r="B1027" s="29">
        <v>70.694999999999993</v>
      </c>
      <c r="C1027" s="28">
        <f t="shared" ref="C1027:C1090" si="25">DATE(YEAR(A1027),MONTH(A1027),1)</f>
        <v>44501</v>
      </c>
    </row>
    <row r="1028" spans="1:3">
      <c r="A1028" s="28">
        <v>44510</v>
      </c>
      <c r="B1028" s="29">
        <v>71.286600000000007</v>
      </c>
      <c r="C1028" s="28">
        <f t="shared" si="25"/>
        <v>44501</v>
      </c>
    </row>
    <row r="1029" spans="1:3">
      <c r="A1029" s="28">
        <v>44509</v>
      </c>
      <c r="B1029" s="29">
        <v>71.397499999999994</v>
      </c>
      <c r="C1029" s="28">
        <f t="shared" si="25"/>
        <v>44501</v>
      </c>
    </row>
    <row r="1030" spans="1:3">
      <c r="A1030" s="28">
        <v>44504</v>
      </c>
      <c r="B1030" s="29">
        <v>71.4876</v>
      </c>
      <c r="C1030" s="28">
        <f t="shared" si="25"/>
        <v>44501</v>
      </c>
    </row>
    <row r="1031" spans="1:3">
      <c r="A1031" s="28">
        <v>44503</v>
      </c>
      <c r="B1031" s="29">
        <v>71.478300000000004</v>
      </c>
      <c r="C1031" s="28">
        <f t="shared" si="25"/>
        <v>44501</v>
      </c>
    </row>
    <row r="1032" spans="1:3">
      <c r="A1032" s="28">
        <v>44502</v>
      </c>
      <c r="B1032" s="29">
        <v>71.086299999999994</v>
      </c>
      <c r="C1032" s="28">
        <f t="shared" si="25"/>
        <v>44501</v>
      </c>
    </row>
    <row r="1033" spans="1:3">
      <c r="A1033" s="28">
        <v>44499</v>
      </c>
      <c r="B1033" s="29">
        <v>70.52</v>
      </c>
      <c r="C1033" s="28">
        <f t="shared" si="25"/>
        <v>44470</v>
      </c>
    </row>
    <row r="1034" spans="1:3">
      <c r="A1034" s="28">
        <v>44498</v>
      </c>
      <c r="B1034" s="29">
        <v>70.520700000000005</v>
      </c>
      <c r="C1034" s="28">
        <f t="shared" si="25"/>
        <v>44470</v>
      </c>
    </row>
    <row r="1035" spans="1:3">
      <c r="A1035" s="28">
        <v>44497</v>
      </c>
      <c r="B1035" s="29">
        <v>69.810400000000001</v>
      </c>
      <c r="C1035" s="28">
        <f t="shared" si="25"/>
        <v>44470</v>
      </c>
    </row>
    <row r="1036" spans="1:3">
      <c r="A1036" s="28">
        <v>44496</v>
      </c>
      <c r="B1036" s="29">
        <v>69.552599999999998</v>
      </c>
      <c r="C1036" s="28">
        <f t="shared" si="25"/>
        <v>44470</v>
      </c>
    </row>
    <row r="1037" spans="1:3">
      <c r="A1037" s="28">
        <v>44495</v>
      </c>
      <c r="B1037" s="29">
        <v>70.134500000000003</v>
      </c>
      <c r="C1037" s="28">
        <f t="shared" si="25"/>
        <v>44470</v>
      </c>
    </row>
    <row r="1038" spans="1:3">
      <c r="A1038" s="28">
        <v>44492</v>
      </c>
      <c r="B1038" s="29">
        <v>70.862300000000005</v>
      </c>
      <c r="C1038" s="28">
        <f t="shared" si="25"/>
        <v>44470</v>
      </c>
    </row>
    <row r="1039" spans="1:3">
      <c r="A1039" s="28">
        <v>44491</v>
      </c>
      <c r="B1039" s="29">
        <v>70.990399999999994</v>
      </c>
      <c r="C1039" s="28">
        <f t="shared" si="25"/>
        <v>44470</v>
      </c>
    </row>
    <row r="1040" spans="1:3">
      <c r="A1040" s="28">
        <v>44490</v>
      </c>
      <c r="B1040" s="29">
        <v>71.055499999999995</v>
      </c>
      <c r="C1040" s="28">
        <f t="shared" si="25"/>
        <v>44470</v>
      </c>
    </row>
    <row r="1041" spans="1:3">
      <c r="A1041" s="28">
        <v>44489</v>
      </c>
      <c r="B1041" s="29">
        <v>70.967399999999998</v>
      </c>
      <c r="C1041" s="28">
        <f t="shared" si="25"/>
        <v>44470</v>
      </c>
    </row>
    <row r="1042" spans="1:3">
      <c r="A1042" s="28">
        <v>44488</v>
      </c>
      <c r="B1042" s="29">
        <v>71.171400000000006</v>
      </c>
      <c r="C1042" s="28">
        <f t="shared" si="25"/>
        <v>44470</v>
      </c>
    </row>
    <row r="1043" spans="1:3">
      <c r="A1043" s="28">
        <v>44485</v>
      </c>
      <c r="B1043" s="29">
        <v>71.237099999999998</v>
      </c>
      <c r="C1043" s="28">
        <f t="shared" si="25"/>
        <v>44470</v>
      </c>
    </row>
    <row r="1044" spans="1:3">
      <c r="A1044" s="28">
        <v>44484</v>
      </c>
      <c r="B1044" s="29">
        <v>71.784599999999998</v>
      </c>
      <c r="C1044" s="28">
        <f t="shared" si="25"/>
        <v>44470</v>
      </c>
    </row>
    <row r="1045" spans="1:3">
      <c r="A1045" s="28">
        <v>44483</v>
      </c>
      <c r="B1045" s="29">
        <v>71.857699999999994</v>
      </c>
      <c r="C1045" s="28">
        <f t="shared" si="25"/>
        <v>44470</v>
      </c>
    </row>
    <row r="1046" spans="1:3">
      <c r="A1046" s="28">
        <v>44482</v>
      </c>
      <c r="B1046" s="29">
        <v>71.880099999999999</v>
      </c>
      <c r="C1046" s="28">
        <f t="shared" si="25"/>
        <v>44470</v>
      </c>
    </row>
    <row r="1047" spans="1:3">
      <c r="A1047" s="28">
        <v>44481</v>
      </c>
      <c r="B1047" s="29">
        <v>71.637299999999996</v>
      </c>
      <c r="C1047" s="28">
        <f t="shared" si="25"/>
        <v>44470</v>
      </c>
    </row>
    <row r="1048" spans="1:3">
      <c r="A1048" s="28">
        <v>44478</v>
      </c>
      <c r="B1048" s="29">
        <v>71.988200000000006</v>
      </c>
      <c r="C1048" s="28">
        <f t="shared" si="25"/>
        <v>44470</v>
      </c>
    </row>
    <row r="1049" spans="1:3">
      <c r="A1049" s="28">
        <v>44477</v>
      </c>
      <c r="B1049" s="29">
        <v>72.285399999999996</v>
      </c>
      <c r="C1049" s="28">
        <f t="shared" si="25"/>
        <v>44470</v>
      </c>
    </row>
    <row r="1050" spans="1:3">
      <c r="A1050" s="28">
        <v>44476</v>
      </c>
      <c r="B1050" s="29">
        <v>72.568200000000004</v>
      </c>
      <c r="C1050" s="28">
        <f t="shared" si="25"/>
        <v>44470</v>
      </c>
    </row>
    <row r="1051" spans="1:3">
      <c r="A1051" s="28">
        <v>44475</v>
      </c>
      <c r="B1051" s="29">
        <v>72.568600000000004</v>
      </c>
      <c r="C1051" s="28">
        <f t="shared" si="25"/>
        <v>44470</v>
      </c>
    </row>
    <row r="1052" spans="1:3">
      <c r="A1052" s="28">
        <v>44474</v>
      </c>
      <c r="B1052" s="29">
        <v>72.923900000000003</v>
      </c>
      <c r="C1052" s="28">
        <f t="shared" si="25"/>
        <v>44470</v>
      </c>
    </row>
    <row r="1053" spans="1:3">
      <c r="A1053" s="28">
        <v>44471</v>
      </c>
      <c r="B1053" s="29">
        <v>72.921499999999995</v>
      </c>
      <c r="C1053" s="28">
        <f t="shared" si="25"/>
        <v>44470</v>
      </c>
    </row>
    <row r="1054" spans="1:3">
      <c r="A1054" s="28">
        <v>44470</v>
      </c>
      <c r="B1054" s="29">
        <v>72.664199999999994</v>
      </c>
      <c r="C1054" s="28">
        <f t="shared" si="25"/>
        <v>44470</v>
      </c>
    </row>
    <row r="1055" spans="1:3">
      <c r="A1055" s="28">
        <v>44469</v>
      </c>
      <c r="B1055" s="29">
        <v>72.760800000000003</v>
      </c>
      <c r="C1055" s="28">
        <f t="shared" si="25"/>
        <v>44440</v>
      </c>
    </row>
    <row r="1056" spans="1:3">
      <c r="A1056" s="28">
        <v>44468</v>
      </c>
      <c r="B1056" s="29">
        <v>72.508300000000006</v>
      </c>
      <c r="C1056" s="28">
        <f t="shared" si="25"/>
        <v>44440</v>
      </c>
    </row>
    <row r="1057" spans="1:3">
      <c r="A1057" s="28">
        <v>44467</v>
      </c>
      <c r="B1057" s="29">
        <v>72.661299999999997</v>
      </c>
      <c r="C1057" s="28">
        <f t="shared" si="25"/>
        <v>44440</v>
      </c>
    </row>
    <row r="1058" spans="1:3">
      <c r="A1058" s="28">
        <v>44464</v>
      </c>
      <c r="B1058" s="29">
        <v>73.008099999999999</v>
      </c>
      <c r="C1058" s="28">
        <f t="shared" si="25"/>
        <v>44440</v>
      </c>
    </row>
    <row r="1059" spans="1:3">
      <c r="A1059" s="28">
        <v>44463</v>
      </c>
      <c r="B1059" s="29">
        <v>72.724500000000006</v>
      </c>
      <c r="C1059" s="28">
        <f t="shared" si="25"/>
        <v>44440</v>
      </c>
    </row>
    <row r="1060" spans="1:3">
      <c r="A1060" s="28">
        <v>44462</v>
      </c>
      <c r="B1060" s="29">
        <v>72.880600000000001</v>
      </c>
      <c r="C1060" s="28">
        <f t="shared" si="25"/>
        <v>44440</v>
      </c>
    </row>
    <row r="1061" spans="1:3">
      <c r="A1061" s="28">
        <v>44461</v>
      </c>
      <c r="B1061" s="29">
        <v>73.206699999999998</v>
      </c>
      <c r="C1061" s="28">
        <f t="shared" si="25"/>
        <v>44440</v>
      </c>
    </row>
    <row r="1062" spans="1:3">
      <c r="A1062" s="28">
        <v>44460</v>
      </c>
      <c r="B1062" s="29">
        <v>73.331500000000005</v>
      </c>
      <c r="C1062" s="28">
        <f t="shared" si="25"/>
        <v>44440</v>
      </c>
    </row>
    <row r="1063" spans="1:3">
      <c r="A1063" s="28">
        <v>44457</v>
      </c>
      <c r="B1063" s="29">
        <v>72.560199999999995</v>
      </c>
      <c r="C1063" s="28">
        <f t="shared" si="25"/>
        <v>44440</v>
      </c>
    </row>
    <row r="1064" spans="1:3">
      <c r="A1064" s="28">
        <v>44456</v>
      </c>
      <c r="B1064" s="29">
        <v>72.432900000000004</v>
      </c>
      <c r="C1064" s="28">
        <f t="shared" si="25"/>
        <v>44440</v>
      </c>
    </row>
    <row r="1065" spans="1:3">
      <c r="A1065" s="28">
        <v>44455</v>
      </c>
      <c r="B1065" s="29">
        <v>72.852000000000004</v>
      </c>
      <c r="C1065" s="28">
        <f t="shared" si="25"/>
        <v>44440</v>
      </c>
    </row>
    <row r="1066" spans="1:3">
      <c r="A1066" s="28">
        <v>44454</v>
      </c>
      <c r="B1066" s="29">
        <v>72.717100000000002</v>
      </c>
      <c r="C1066" s="28">
        <f t="shared" si="25"/>
        <v>44440</v>
      </c>
    </row>
    <row r="1067" spans="1:3">
      <c r="A1067" s="28">
        <v>44453</v>
      </c>
      <c r="B1067" s="29">
        <v>73.084100000000007</v>
      </c>
      <c r="C1067" s="28">
        <f t="shared" si="25"/>
        <v>44440</v>
      </c>
    </row>
    <row r="1068" spans="1:3">
      <c r="A1068" s="28">
        <v>44450</v>
      </c>
      <c r="B1068" s="29">
        <v>72.760000000000005</v>
      </c>
      <c r="C1068" s="28">
        <f t="shared" si="25"/>
        <v>44440</v>
      </c>
    </row>
    <row r="1069" spans="1:3">
      <c r="A1069" s="28">
        <v>44449</v>
      </c>
      <c r="B1069" s="29">
        <v>73.129000000000005</v>
      </c>
      <c r="C1069" s="28">
        <f t="shared" si="25"/>
        <v>44440</v>
      </c>
    </row>
    <row r="1070" spans="1:3">
      <c r="A1070" s="28">
        <v>44448</v>
      </c>
      <c r="B1070" s="29">
        <v>73.442099999999996</v>
      </c>
      <c r="C1070" s="28">
        <f t="shared" si="25"/>
        <v>44440</v>
      </c>
    </row>
    <row r="1071" spans="1:3">
      <c r="A1071" s="28">
        <v>44447</v>
      </c>
      <c r="B1071" s="29">
        <v>73.190899999999999</v>
      </c>
      <c r="C1071" s="28">
        <f t="shared" si="25"/>
        <v>44440</v>
      </c>
    </row>
    <row r="1072" spans="1:3">
      <c r="A1072" s="28">
        <v>44446</v>
      </c>
      <c r="B1072" s="29">
        <v>72.953800000000001</v>
      </c>
      <c r="C1072" s="28">
        <f t="shared" si="25"/>
        <v>44440</v>
      </c>
    </row>
    <row r="1073" spans="1:3">
      <c r="A1073" s="28">
        <v>44443</v>
      </c>
      <c r="B1073" s="29">
        <v>72.854500000000002</v>
      </c>
      <c r="C1073" s="28">
        <f t="shared" si="25"/>
        <v>44440</v>
      </c>
    </row>
    <row r="1074" spans="1:3">
      <c r="A1074" s="28">
        <v>44442</v>
      </c>
      <c r="B1074" s="29">
        <v>72.849100000000007</v>
      </c>
      <c r="C1074" s="28">
        <f t="shared" si="25"/>
        <v>44440</v>
      </c>
    </row>
    <row r="1075" spans="1:3">
      <c r="A1075" s="28">
        <v>44441</v>
      </c>
      <c r="B1075" s="29">
        <v>73.191199999999995</v>
      </c>
      <c r="C1075" s="28">
        <f t="shared" si="25"/>
        <v>44440</v>
      </c>
    </row>
    <row r="1076" spans="1:3">
      <c r="A1076" s="28">
        <v>44440</v>
      </c>
      <c r="B1076" s="29">
        <v>73.278099999999995</v>
      </c>
      <c r="C1076" s="28">
        <f t="shared" si="25"/>
        <v>44440</v>
      </c>
    </row>
    <row r="1077" spans="1:3">
      <c r="A1077" s="28">
        <v>44439</v>
      </c>
      <c r="B1077" s="29">
        <v>73.574399999999997</v>
      </c>
      <c r="C1077" s="28">
        <f t="shared" si="25"/>
        <v>44409</v>
      </c>
    </row>
    <row r="1078" spans="1:3">
      <c r="A1078" s="28">
        <v>44436</v>
      </c>
      <c r="B1078" s="29">
        <v>73.986599999999996</v>
      </c>
      <c r="C1078" s="28">
        <f t="shared" si="25"/>
        <v>44409</v>
      </c>
    </row>
    <row r="1079" spans="1:3">
      <c r="A1079" s="28">
        <v>44435</v>
      </c>
      <c r="B1079" s="29">
        <v>73.990799999999993</v>
      </c>
      <c r="C1079" s="28">
        <f t="shared" si="25"/>
        <v>44409</v>
      </c>
    </row>
    <row r="1080" spans="1:3">
      <c r="A1080" s="28">
        <v>44434</v>
      </c>
      <c r="B1080" s="29">
        <v>73.742800000000003</v>
      </c>
      <c r="C1080" s="28">
        <f t="shared" si="25"/>
        <v>44409</v>
      </c>
    </row>
    <row r="1081" spans="1:3">
      <c r="A1081" s="28">
        <v>44433</v>
      </c>
      <c r="B1081" s="29">
        <v>73.9465</v>
      </c>
      <c r="C1081" s="28">
        <f t="shared" si="25"/>
        <v>44409</v>
      </c>
    </row>
    <row r="1082" spans="1:3">
      <c r="A1082" s="28">
        <v>44432</v>
      </c>
      <c r="B1082" s="29">
        <v>74.066599999999994</v>
      </c>
      <c r="C1082" s="28">
        <f t="shared" si="25"/>
        <v>44409</v>
      </c>
    </row>
    <row r="1083" spans="1:3">
      <c r="A1083" s="28">
        <v>44429</v>
      </c>
      <c r="B1083" s="29">
        <v>74.364000000000004</v>
      </c>
      <c r="C1083" s="28">
        <f t="shared" si="25"/>
        <v>44409</v>
      </c>
    </row>
    <row r="1084" spans="1:3">
      <c r="A1084" s="28">
        <v>44428</v>
      </c>
      <c r="B1084" s="29">
        <v>74.150300000000001</v>
      </c>
      <c r="C1084" s="28">
        <f t="shared" si="25"/>
        <v>44409</v>
      </c>
    </row>
    <row r="1085" spans="1:3">
      <c r="A1085" s="28">
        <v>44427</v>
      </c>
      <c r="B1085" s="29">
        <v>73.463300000000004</v>
      </c>
      <c r="C1085" s="28">
        <f t="shared" si="25"/>
        <v>44409</v>
      </c>
    </row>
    <row r="1086" spans="1:3">
      <c r="A1086" s="28">
        <v>44426</v>
      </c>
      <c r="B1086" s="29">
        <v>73.475300000000004</v>
      </c>
      <c r="C1086" s="28">
        <f t="shared" si="25"/>
        <v>44409</v>
      </c>
    </row>
    <row r="1087" spans="1:3">
      <c r="A1087" s="28">
        <v>44425</v>
      </c>
      <c r="B1087" s="29">
        <v>73.391999999999996</v>
      </c>
      <c r="C1087" s="28">
        <f t="shared" si="25"/>
        <v>44409</v>
      </c>
    </row>
    <row r="1088" spans="1:3">
      <c r="A1088" s="28">
        <v>44422</v>
      </c>
      <c r="B1088" s="29">
        <v>73.472099999999998</v>
      </c>
      <c r="C1088" s="28">
        <f t="shared" si="25"/>
        <v>44409</v>
      </c>
    </row>
    <row r="1089" spans="1:3">
      <c r="A1089" s="28">
        <v>44421</v>
      </c>
      <c r="B1089" s="29">
        <v>73.567099999999996</v>
      </c>
      <c r="C1089" s="28">
        <f t="shared" si="25"/>
        <v>44409</v>
      </c>
    </row>
    <row r="1090" spans="1:3">
      <c r="A1090" s="28">
        <v>44420</v>
      </c>
      <c r="B1090" s="29">
        <v>73.969499999999996</v>
      </c>
      <c r="C1090" s="28">
        <f t="shared" si="25"/>
        <v>44409</v>
      </c>
    </row>
    <row r="1091" spans="1:3">
      <c r="A1091" s="28">
        <v>44419</v>
      </c>
      <c r="B1091" s="29">
        <v>73.596199999999996</v>
      </c>
      <c r="C1091" s="28">
        <f t="shared" ref="C1091:C1154" si="26">DATE(YEAR(A1091),MONTH(A1091),1)</f>
        <v>44409</v>
      </c>
    </row>
    <row r="1092" spans="1:3">
      <c r="A1092" s="28">
        <v>44418</v>
      </c>
      <c r="B1092" s="29">
        <v>73.507800000000003</v>
      </c>
      <c r="C1092" s="28">
        <f t="shared" si="26"/>
        <v>44409</v>
      </c>
    </row>
    <row r="1093" spans="1:3">
      <c r="A1093" s="28">
        <v>44415</v>
      </c>
      <c r="B1093" s="29">
        <v>73.130399999999995</v>
      </c>
      <c r="C1093" s="28">
        <f t="shared" si="26"/>
        <v>44409</v>
      </c>
    </row>
    <row r="1094" spans="1:3">
      <c r="A1094" s="28">
        <v>44414</v>
      </c>
      <c r="B1094" s="29">
        <v>73.168000000000006</v>
      </c>
      <c r="C1094" s="28">
        <f t="shared" si="26"/>
        <v>44409</v>
      </c>
    </row>
    <row r="1095" spans="1:3">
      <c r="A1095" s="28">
        <v>44413</v>
      </c>
      <c r="B1095" s="29">
        <v>72.785700000000006</v>
      </c>
      <c r="C1095" s="28">
        <f t="shared" si="26"/>
        <v>44409</v>
      </c>
    </row>
    <row r="1096" spans="1:3">
      <c r="A1096" s="28">
        <v>44412</v>
      </c>
      <c r="B1096" s="29">
        <v>72.872399999999999</v>
      </c>
      <c r="C1096" s="28">
        <f t="shared" si="26"/>
        <v>44409</v>
      </c>
    </row>
    <row r="1097" spans="1:3">
      <c r="A1097" s="28">
        <v>44411</v>
      </c>
      <c r="B1097" s="29">
        <v>73.015600000000006</v>
      </c>
      <c r="C1097" s="28">
        <f t="shared" si="26"/>
        <v>44409</v>
      </c>
    </row>
    <row r="1098" spans="1:3">
      <c r="A1098" s="28">
        <v>44408</v>
      </c>
      <c r="B1098" s="29">
        <v>73.138800000000003</v>
      </c>
      <c r="C1098" s="28">
        <f t="shared" si="26"/>
        <v>44378</v>
      </c>
    </row>
    <row r="1099" spans="1:3">
      <c r="A1099" s="28">
        <v>44407</v>
      </c>
      <c r="B1099" s="29">
        <v>73.190399999999997</v>
      </c>
      <c r="C1099" s="28">
        <f t="shared" si="26"/>
        <v>44378</v>
      </c>
    </row>
    <row r="1100" spans="1:3">
      <c r="A1100" s="28">
        <v>44406</v>
      </c>
      <c r="B1100" s="29">
        <v>73.608800000000002</v>
      </c>
      <c r="C1100" s="28">
        <f t="shared" si="26"/>
        <v>44378</v>
      </c>
    </row>
    <row r="1101" spans="1:3">
      <c r="A1101" s="28">
        <v>44405</v>
      </c>
      <c r="B1101" s="29">
        <v>73.847099999999998</v>
      </c>
      <c r="C1101" s="28">
        <f t="shared" si="26"/>
        <v>44378</v>
      </c>
    </row>
    <row r="1102" spans="1:3">
      <c r="A1102" s="28">
        <v>44404</v>
      </c>
      <c r="B1102" s="29">
        <v>74.097999999999999</v>
      </c>
      <c r="C1102" s="28">
        <f t="shared" si="26"/>
        <v>44378</v>
      </c>
    </row>
    <row r="1103" spans="1:3">
      <c r="A1103" s="28">
        <v>44401</v>
      </c>
      <c r="B1103" s="29">
        <v>73.766300000000001</v>
      </c>
      <c r="C1103" s="28">
        <f t="shared" si="26"/>
        <v>44378</v>
      </c>
    </row>
    <row r="1104" spans="1:3">
      <c r="A1104" s="28">
        <v>44400</v>
      </c>
      <c r="B1104" s="29">
        <v>73.694500000000005</v>
      </c>
      <c r="C1104" s="28">
        <f t="shared" si="26"/>
        <v>44378</v>
      </c>
    </row>
    <row r="1105" spans="1:3">
      <c r="A1105" s="28">
        <v>44399</v>
      </c>
      <c r="B1105" s="29">
        <v>74.494699999999995</v>
      </c>
      <c r="C1105" s="28">
        <f t="shared" si="26"/>
        <v>44378</v>
      </c>
    </row>
    <row r="1106" spans="1:3">
      <c r="A1106" s="28">
        <v>44398</v>
      </c>
      <c r="B1106" s="29">
        <v>74.491</v>
      </c>
      <c r="C1106" s="28">
        <f t="shared" si="26"/>
        <v>44378</v>
      </c>
    </row>
    <row r="1107" spans="1:3">
      <c r="A1107" s="28">
        <v>44397</v>
      </c>
      <c r="B1107" s="29">
        <v>74.346299999999999</v>
      </c>
      <c r="C1107" s="28">
        <f t="shared" si="26"/>
        <v>44378</v>
      </c>
    </row>
    <row r="1108" spans="1:3">
      <c r="A1108" s="28">
        <v>44394</v>
      </c>
      <c r="B1108" s="29">
        <v>74.165599999999998</v>
      </c>
      <c r="C1108" s="28">
        <f t="shared" si="26"/>
        <v>44378</v>
      </c>
    </row>
    <row r="1109" spans="1:3">
      <c r="A1109" s="28">
        <v>44393</v>
      </c>
      <c r="B1109" s="29">
        <v>74.219700000000003</v>
      </c>
      <c r="C1109" s="28">
        <f t="shared" si="26"/>
        <v>44378</v>
      </c>
    </row>
    <row r="1110" spans="1:3">
      <c r="A1110" s="28">
        <v>44392</v>
      </c>
      <c r="B1110" s="29">
        <v>74.123599999999996</v>
      </c>
      <c r="C1110" s="28">
        <f t="shared" si="26"/>
        <v>44378</v>
      </c>
    </row>
    <row r="1111" spans="1:3">
      <c r="A1111" s="28">
        <v>44391</v>
      </c>
      <c r="B1111" s="29">
        <v>74.058899999999994</v>
      </c>
      <c r="C1111" s="28">
        <f t="shared" si="26"/>
        <v>44378</v>
      </c>
    </row>
    <row r="1112" spans="1:3">
      <c r="A1112" s="28">
        <v>44390</v>
      </c>
      <c r="B1112" s="29">
        <v>74.633600000000001</v>
      </c>
      <c r="C1112" s="28">
        <f t="shared" si="26"/>
        <v>44378</v>
      </c>
    </row>
    <row r="1113" spans="1:3">
      <c r="A1113" s="28">
        <v>44387</v>
      </c>
      <c r="B1113" s="29">
        <v>74.467500000000001</v>
      </c>
      <c r="C1113" s="28">
        <f t="shared" si="26"/>
        <v>44378</v>
      </c>
    </row>
    <row r="1114" spans="1:3">
      <c r="A1114" s="28">
        <v>44386</v>
      </c>
      <c r="B1114" s="29">
        <v>75.1952</v>
      </c>
      <c r="C1114" s="28">
        <f t="shared" si="26"/>
        <v>44378</v>
      </c>
    </row>
    <row r="1115" spans="1:3">
      <c r="A1115" s="28">
        <v>44385</v>
      </c>
      <c r="B1115" s="29">
        <v>74.058000000000007</v>
      </c>
      <c r="C1115" s="28">
        <f t="shared" si="26"/>
        <v>44378</v>
      </c>
    </row>
    <row r="1116" spans="1:3">
      <c r="A1116" s="28">
        <v>44384</v>
      </c>
      <c r="B1116" s="29">
        <v>73.266000000000005</v>
      </c>
      <c r="C1116" s="28">
        <f t="shared" si="26"/>
        <v>44378</v>
      </c>
    </row>
    <row r="1117" spans="1:3">
      <c r="A1117" s="28">
        <v>44383</v>
      </c>
      <c r="B1117" s="29">
        <v>73.353999999999999</v>
      </c>
      <c r="C1117" s="28">
        <f t="shared" si="26"/>
        <v>44378</v>
      </c>
    </row>
    <row r="1118" spans="1:3">
      <c r="A1118" s="28">
        <v>44380</v>
      </c>
      <c r="B1118" s="29">
        <v>73.617500000000007</v>
      </c>
      <c r="C1118" s="28">
        <f t="shared" si="26"/>
        <v>44378</v>
      </c>
    </row>
    <row r="1119" spans="1:3">
      <c r="A1119" s="28">
        <v>44379</v>
      </c>
      <c r="B1119" s="29">
        <v>72.908600000000007</v>
      </c>
      <c r="C1119" s="28">
        <f t="shared" si="26"/>
        <v>44378</v>
      </c>
    </row>
    <row r="1120" spans="1:3">
      <c r="A1120" s="28">
        <v>44378</v>
      </c>
      <c r="B1120" s="29">
        <v>72.723399999999998</v>
      </c>
      <c r="C1120" s="28">
        <f t="shared" si="26"/>
        <v>44378</v>
      </c>
    </row>
    <row r="1121" spans="1:3">
      <c r="A1121" s="28">
        <v>44377</v>
      </c>
      <c r="B1121" s="29">
        <v>72.372299999999996</v>
      </c>
      <c r="C1121" s="28">
        <f t="shared" si="26"/>
        <v>44348</v>
      </c>
    </row>
    <row r="1122" spans="1:3">
      <c r="A1122" s="28">
        <v>44376</v>
      </c>
      <c r="B1122" s="29">
        <v>72.177700000000002</v>
      </c>
      <c r="C1122" s="28">
        <f t="shared" si="26"/>
        <v>44348</v>
      </c>
    </row>
    <row r="1123" spans="1:3">
      <c r="A1123" s="28">
        <v>44373</v>
      </c>
      <c r="B1123" s="29">
        <v>72.169399999999996</v>
      </c>
      <c r="C1123" s="28">
        <f t="shared" si="26"/>
        <v>44348</v>
      </c>
    </row>
    <row r="1124" spans="1:3">
      <c r="A1124" s="28">
        <v>44372</v>
      </c>
      <c r="B1124" s="29">
        <v>72.325999999999993</v>
      </c>
      <c r="C1124" s="28">
        <f t="shared" si="26"/>
        <v>44348</v>
      </c>
    </row>
    <row r="1125" spans="1:3">
      <c r="A1125" s="28">
        <v>44371</v>
      </c>
      <c r="B1125" s="29">
        <v>72.667100000000005</v>
      </c>
      <c r="C1125" s="28">
        <f t="shared" si="26"/>
        <v>44348</v>
      </c>
    </row>
    <row r="1126" spans="1:3">
      <c r="A1126" s="28">
        <v>44370</v>
      </c>
      <c r="B1126" s="29">
        <v>73.1661</v>
      </c>
      <c r="C1126" s="28">
        <f t="shared" si="26"/>
        <v>44348</v>
      </c>
    </row>
    <row r="1127" spans="1:3">
      <c r="A1127" s="28">
        <v>44369</v>
      </c>
      <c r="B1127" s="29">
        <v>73.198700000000002</v>
      </c>
      <c r="C1127" s="28">
        <f t="shared" si="26"/>
        <v>44348</v>
      </c>
    </row>
    <row r="1128" spans="1:3">
      <c r="A1128" s="28">
        <v>44366</v>
      </c>
      <c r="B1128" s="29">
        <v>72.221599999999995</v>
      </c>
      <c r="C1128" s="28">
        <f t="shared" si="26"/>
        <v>44348</v>
      </c>
    </row>
    <row r="1129" spans="1:3">
      <c r="A1129" s="28">
        <v>44365</v>
      </c>
      <c r="B1129" s="29">
        <v>72.504800000000003</v>
      </c>
      <c r="C1129" s="28">
        <f t="shared" si="26"/>
        <v>44348</v>
      </c>
    </row>
    <row r="1130" spans="1:3">
      <c r="A1130" s="28">
        <v>44364</v>
      </c>
      <c r="B1130" s="29">
        <v>72.032300000000006</v>
      </c>
      <c r="C1130" s="28">
        <f t="shared" si="26"/>
        <v>44348</v>
      </c>
    </row>
    <row r="1131" spans="1:3">
      <c r="A1131" s="28">
        <v>44363</v>
      </c>
      <c r="B1131" s="29">
        <v>71.831800000000001</v>
      </c>
      <c r="C1131" s="28">
        <f t="shared" si="26"/>
        <v>44348</v>
      </c>
    </row>
    <row r="1132" spans="1:3">
      <c r="A1132" s="28">
        <v>44359</v>
      </c>
      <c r="B1132" s="29">
        <v>71.679699999999997</v>
      </c>
      <c r="C1132" s="28">
        <f t="shared" si="26"/>
        <v>44348</v>
      </c>
    </row>
    <row r="1133" spans="1:3">
      <c r="A1133" s="28">
        <v>44358</v>
      </c>
      <c r="B1133" s="29">
        <v>72.197400000000002</v>
      </c>
      <c r="C1133" s="28">
        <f t="shared" si="26"/>
        <v>44348</v>
      </c>
    </row>
    <row r="1134" spans="1:3">
      <c r="A1134" s="28">
        <v>44357</v>
      </c>
      <c r="B1134" s="29">
        <v>72.082899999999995</v>
      </c>
      <c r="C1134" s="28">
        <f t="shared" si="26"/>
        <v>44348</v>
      </c>
    </row>
    <row r="1135" spans="1:3">
      <c r="A1135" s="28">
        <v>44356</v>
      </c>
      <c r="B1135" s="29">
        <v>72.825599999999994</v>
      </c>
      <c r="C1135" s="28">
        <f t="shared" si="26"/>
        <v>44348</v>
      </c>
    </row>
    <row r="1136" spans="1:3">
      <c r="A1136" s="28">
        <v>44355</v>
      </c>
      <c r="B1136" s="29">
        <v>72.929400000000001</v>
      </c>
      <c r="C1136" s="28">
        <f t="shared" si="26"/>
        <v>44348</v>
      </c>
    </row>
    <row r="1137" spans="1:3">
      <c r="A1137" s="28">
        <v>44352</v>
      </c>
      <c r="B1137" s="29">
        <v>73.272099999999995</v>
      </c>
      <c r="C1137" s="28">
        <f t="shared" si="26"/>
        <v>44348</v>
      </c>
    </row>
    <row r="1138" spans="1:3">
      <c r="A1138" s="28">
        <v>44351</v>
      </c>
      <c r="B1138" s="29">
        <v>73.263599999999997</v>
      </c>
      <c r="C1138" s="28">
        <f t="shared" si="26"/>
        <v>44348</v>
      </c>
    </row>
    <row r="1139" spans="1:3">
      <c r="A1139" s="28">
        <v>44350</v>
      </c>
      <c r="B1139" s="29">
        <v>73.497900000000001</v>
      </c>
      <c r="C1139" s="28">
        <f t="shared" si="26"/>
        <v>44348</v>
      </c>
    </row>
    <row r="1140" spans="1:3">
      <c r="A1140" s="28">
        <v>44349</v>
      </c>
      <c r="B1140" s="29">
        <v>73.241100000000003</v>
      </c>
      <c r="C1140" s="28">
        <f t="shared" si="26"/>
        <v>44348</v>
      </c>
    </row>
    <row r="1141" spans="1:3">
      <c r="A1141" s="28">
        <v>44348</v>
      </c>
      <c r="B1141" s="29">
        <v>73.296499999999995</v>
      </c>
      <c r="C1141" s="28">
        <f t="shared" si="26"/>
        <v>44348</v>
      </c>
    </row>
    <row r="1142" spans="1:3">
      <c r="A1142" s="28">
        <v>44345</v>
      </c>
      <c r="B1142" s="29">
        <v>73.587000000000003</v>
      </c>
      <c r="C1142" s="28">
        <f t="shared" si="26"/>
        <v>44317</v>
      </c>
    </row>
    <row r="1143" spans="1:3">
      <c r="A1143" s="28">
        <v>44344</v>
      </c>
      <c r="B1143" s="29">
        <v>73.457999999999998</v>
      </c>
      <c r="C1143" s="28">
        <f t="shared" si="26"/>
        <v>44317</v>
      </c>
    </row>
    <row r="1144" spans="1:3">
      <c r="A1144" s="28">
        <v>44343</v>
      </c>
      <c r="B1144" s="29">
        <v>73.473699999999994</v>
      </c>
      <c r="C1144" s="28">
        <f t="shared" si="26"/>
        <v>44317</v>
      </c>
    </row>
    <row r="1145" spans="1:3">
      <c r="A1145" s="28">
        <v>44342</v>
      </c>
      <c r="B1145" s="29">
        <v>73.396299999999997</v>
      </c>
      <c r="C1145" s="28">
        <f t="shared" si="26"/>
        <v>44317</v>
      </c>
    </row>
    <row r="1146" spans="1:3">
      <c r="A1146" s="28">
        <v>44341</v>
      </c>
      <c r="B1146" s="29">
        <v>73.526600000000002</v>
      </c>
      <c r="C1146" s="28">
        <f t="shared" si="26"/>
        <v>44317</v>
      </c>
    </row>
    <row r="1147" spans="1:3">
      <c r="A1147" s="28">
        <v>44338</v>
      </c>
      <c r="B1147" s="29">
        <v>73.580299999999994</v>
      </c>
      <c r="C1147" s="28">
        <f t="shared" si="26"/>
        <v>44317</v>
      </c>
    </row>
    <row r="1148" spans="1:3">
      <c r="A1148" s="28">
        <v>44337</v>
      </c>
      <c r="B1148" s="29">
        <v>73.600700000000003</v>
      </c>
      <c r="C1148" s="28">
        <f t="shared" si="26"/>
        <v>44317</v>
      </c>
    </row>
    <row r="1149" spans="1:3">
      <c r="A1149" s="28">
        <v>44336</v>
      </c>
      <c r="B1149" s="29">
        <v>73.677800000000005</v>
      </c>
      <c r="C1149" s="28">
        <f t="shared" si="26"/>
        <v>44317</v>
      </c>
    </row>
    <row r="1150" spans="1:3">
      <c r="A1150" s="28">
        <v>44335</v>
      </c>
      <c r="B1150" s="29">
        <v>73.699200000000005</v>
      </c>
      <c r="C1150" s="28">
        <f t="shared" si="26"/>
        <v>44317</v>
      </c>
    </row>
    <row r="1151" spans="1:3">
      <c r="A1151" s="28">
        <v>44334</v>
      </c>
      <c r="B1151" s="29">
        <v>73.853700000000003</v>
      </c>
      <c r="C1151" s="28">
        <f t="shared" si="26"/>
        <v>44317</v>
      </c>
    </row>
    <row r="1152" spans="1:3">
      <c r="A1152" s="28">
        <v>44331</v>
      </c>
      <c r="B1152" s="29">
        <v>73.996799999999993</v>
      </c>
      <c r="C1152" s="28">
        <f t="shared" si="26"/>
        <v>44317</v>
      </c>
    </row>
    <row r="1153" spans="1:3">
      <c r="A1153" s="28">
        <v>44330</v>
      </c>
      <c r="B1153" s="29">
        <v>74.3566</v>
      </c>
      <c r="C1153" s="28">
        <f t="shared" si="26"/>
        <v>44317</v>
      </c>
    </row>
    <row r="1154" spans="1:3">
      <c r="A1154" s="28">
        <v>44329</v>
      </c>
      <c r="B1154" s="29">
        <v>74.040000000000006</v>
      </c>
      <c r="C1154" s="28">
        <f t="shared" si="26"/>
        <v>44317</v>
      </c>
    </row>
    <row r="1155" spans="1:3">
      <c r="A1155" s="28">
        <v>44328</v>
      </c>
      <c r="B1155" s="29">
        <v>74.156700000000001</v>
      </c>
      <c r="C1155" s="28">
        <f t="shared" ref="C1155:C1218" si="27">DATE(YEAR(A1155),MONTH(A1155),1)</f>
        <v>44317</v>
      </c>
    </row>
    <row r="1156" spans="1:3">
      <c r="A1156" s="28">
        <v>44324</v>
      </c>
      <c r="B1156" s="29">
        <v>74.137299999999996</v>
      </c>
      <c r="C1156" s="28">
        <f t="shared" si="27"/>
        <v>44317</v>
      </c>
    </row>
    <row r="1157" spans="1:3">
      <c r="A1157" s="28">
        <v>44323</v>
      </c>
      <c r="B1157" s="29">
        <v>74.576999999999998</v>
      </c>
      <c r="C1157" s="28">
        <f t="shared" si="27"/>
        <v>44317</v>
      </c>
    </row>
    <row r="1158" spans="1:3">
      <c r="A1158" s="28">
        <v>44322</v>
      </c>
      <c r="B1158" s="29">
        <v>74.861699999999999</v>
      </c>
      <c r="C1158" s="28">
        <f t="shared" si="27"/>
        <v>44317</v>
      </c>
    </row>
    <row r="1159" spans="1:3">
      <c r="A1159" s="28">
        <v>44321</v>
      </c>
      <c r="B1159" s="29">
        <v>75.256699999999995</v>
      </c>
      <c r="C1159" s="28">
        <f t="shared" si="27"/>
        <v>44317</v>
      </c>
    </row>
    <row r="1160" spans="1:3">
      <c r="A1160" s="28">
        <v>44317</v>
      </c>
      <c r="B1160" s="29">
        <v>74.845100000000002</v>
      </c>
      <c r="C1160" s="28">
        <f t="shared" si="27"/>
        <v>44317</v>
      </c>
    </row>
    <row r="1161" spans="1:3">
      <c r="A1161" s="28">
        <v>44316</v>
      </c>
      <c r="B1161" s="29">
        <v>74.382300000000001</v>
      </c>
      <c r="C1161" s="28">
        <f t="shared" si="27"/>
        <v>44287</v>
      </c>
    </row>
    <row r="1162" spans="1:3">
      <c r="A1162" s="28">
        <v>44315</v>
      </c>
      <c r="B1162" s="29">
        <v>74.938999999999993</v>
      </c>
      <c r="C1162" s="28">
        <f t="shared" si="27"/>
        <v>44287</v>
      </c>
    </row>
    <row r="1163" spans="1:3">
      <c r="A1163" s="28">
        <v>44314</v>
      </c>
      <c r="B1163" s="29">
        <v>74.957800000000006</v>
      </c>
      <c r="C1163" s="28">
        <f t="shared" si="27"/>
        <v>44287</v>
      </c>
    </row>
    <row r="1164" spans="1:3">
      <c r="A1164" s="28">
        <v>44313</v>
      </c>
      <c r="B1164" s="29">
        <v>74.768000000000001</v>
      </c>
      <c r="C1164" s="28">
        <f t="shared" si="27"/>
        <v>44287</v>
      </c>
    </row>
    <row r="1165" spans="1:3">
      <c r="A1165" s="28">
        <v>44310</v>
      </c>
      <c r="B1165" s="29">
        <v>75.089299999999994</v>
      </c>
      <c r="C1165" s="28">
        <f t="shared" si="27"/>
        <v>44287</v>
      </c>
    </row>
    <row r="1166" spans="1:3">
      <c r="A1166" s="28">
        <v>44309</v>
      </c>
      <c r="B1166" s="29">
        <v>76.421700000000001</v>
      </c>
      <c r="C1166" s="28">
        <f t="shared" si="27"/>
        <v>44287</v>
      </c>
    </row>
    <row r="1167" spans="1:3">
      <c r="A1167" s="28">
        <v>44308</v>
      </c>
      <c r="B1167" s="29">
        <v>76.819800000000001</v>
      </c>
      <c r="C1167" s="28">
        <f t="shared" si="27"/>
        <v>44287</v>
      </c>
    </row>
    <row r="1168" spans="1:3">
      <c r="A1168" s="28">
        <v>44307</v>
      </c>
      <c r="B1168" s="29">
        <v>76.015500000000003</v>
      </c>
      <c r="C1168" s="28">
        <f t="shared" si="27"/>
        <v>44287</v>
      </c>
    </row>
    <row r="1169" spans="1:3">
      <c r="A1169" s="28">
        <v>44306</v>
      </c>
      <c r="B1169" s="29">
        <v>76.249099999999999</v>
      </c>
      <c r="C1169" s="28">
        <f t="shared" si="27"/>
        <v>44287</v>
      </c>
    </row>
    <row r="1170" spans="1:3">
      <c r="A1170" s="28">
        <v>44303</v>
      </c>
      <c r="B1170" s="29">
        <v>75.5535</v>
      </c>
      <c r="C1170" s="28">
        <f t="shared" si="27"/>
        <v>44287</v>
      </c>
    </row>
    <row r="1171" spans="1:3">
      <c r="A1171" s="28">
        <v>44302</v>
      </c>
      <c r="B1171" s="29">
        <v>76.980800000000002</v>
      </c>
      <c r="C1171" s="28">
        <f t="shared" si="27"/>
        <v>44287</v>
      </c>
    </row>
    <row r="1172" spans="1:3">
      <c r="A1172" s="28">
        <v>44301</v>
      </c>
      <c r="B1172" s="29">
        <v>75.682599999999994</v>
      </c>
      <c r="C1172" s="28">
        <f t="shared" si="27"/>
        <v>44287</v>
      </c>
    </row>
    <row r="1173" spans="1:3">
      <c r="A1173" s="28">
        <v>44300</v>
      </c>
      <c r="B1173" s="29">
        <v>77.253500000000003</v>
      </c>
      <c r="C1173" s="28">
        <f t="shared" si="27"/>
        <v>44287</v>
      </c>
    </row>
    <row r="1174" spans="1:3">
      <c r="A1174" s="28">
        <v>44299</v>
      </c>
      <c r="B1174" s="29">
        <v>77.510400000000004</v>
      </c>
      <c r="C1174" s="28">
        <f t="shared" si="27"/>
        <v>44287</v>
      </c>
    </row>
    <row r="1175" spans="1:3">
      <c r="A1175" s="28">
        <v>44296</v>
      </c>
      <c r="B1175" s="29">
        <v>77.165700000000001</v>
      </c>
      <c r="C1175" s="28">
        <f t="shared" si="27"/>
        <v>44287</v>
      </c>
    </row>
    <row r="1176" spans="1:3">
      <c r="A1176" s="28">
        <v>44295</v>
      </c>
      <c r="B1176" s="29">
        <v>77.101100000000002</v>
      </c>
      <c r="C1176" s="28">
        <f t="shared" si="27"/>
        <v>44287</v>
      </c>
    </row>
    <row r="1177" spans="1:3">
      <c r="A1177" s="28">
        <v>44294</v>
      </c>
      <c r="B1177" s="29">
        <v>77.772999999999996</v>
      </c>
      <c r="C1177" s="28">
        <f t="shared" si="27"/>
        <v>44287</v>
      </c>
    </row>
    <row r="1178" spans="1:3">
      <c r="A1178" s="28">
        <v>44293</v>
      </c>
      <c r="B1178" s="29">
        <v>76.380200000000002</v>
      </c>
      <c r="C1178" s="28">
        <f t="shared" si="27"/>
        <v>44287</v>
      </c>
    </row>
    <row r="1179" spans="1:3">
      <c r="A1179" s="28">
        <v>44292</v>
      </c>
      <c r="B1179" s="29">
        <v>76.605199999999996</v>
      </c>
      <c r="C1179" s="28">
        <f t="shared" si="27"/>
        <v>44287</v>
      </c>
    </row>
    <row r="1180" spans="1:3">
      <c r="A1180" s="28">
        <v>44289</v>
      </c>
      <c r="B1180" s="29">
        <v>76.073400000000007</v>
      </c>
      <c r="C1180" s="28">
        <f t="shared" si="27"/>
        <v>44287</v>
      </c>
    </row>
    <row r="1181" spans="1:3">
      <c r="A1181" s="28">
        <v>44288</v>
      </c>
      <c r="B1181" s="29">
        <v>75.807299999999998</v>
      </c>
      <c r="C1181" s="28">
        <f t="shared" si="27"/>
        <v>44287</v>
      </c>
    </row>
    <row r="1182" spans="1:3">
      <c r="A1182" s="28">
        <v>44287</v>
      </c>
      <c r="B1182" s="29">
        <v>75.637299999999996</v>
      </c>
      <c r="C1182" s="28">
        <f t="shared" si="27"/>
        <v>44287</v>
      </c>
    </row>
    <row r="1183" spans="1:3">
      <c r="A1183" s="28">
        <v>44286</v>
      </c>
      <c r="B1183" s="29">
        <v>75.702299999999994</v>
      </c>
      <c r="C1183" s="28">
        <f t="shared" si="27"/>
        <v>44256</v>
      </c>
    </row>
    <row r="1184" spans="1:3">
      <c r="A1184" s="28">
        <v>44285</v>
      </c>
      <c r="B1184" s="29">
        <v>75.828699999999998</v>
      </c>
      <c r="C1184" s="28">
        <f t="shared" si="27"/>
        <v>44256</v>
      </c>
    </row>
    <row r="1185" spans="1:3">
      <c r="A1185" s="28">
        <v>44282</v>
      </c>
      <c r="B1185" s="29">
        <v>75.757599999999996</v>
      </c>
      <c r="C1185" s="28">
        <f t="shared" si="27"/>
        <v>44256</v>
      </c>
    </row>
    <row r="1186" spans="1:3">
      <c r="A1186" s="28">
        <v>44281</v>
      </c>
      <c r="B1186" s="29">
        <v>76.174099999999996</v>
      </c>
      <c r="C1186" s="28">
        <f t="shared" si="27"/>
        <v>44256</v>
      </c>
    </row>
    <row r="1187" spans="1:3">
      <c r="A1187" s="28">
        <v>44280</v>
      </c>
      <c r="B1187" s="29">
        <v>76.153499999999994</v>
      </c>
      <c r="C1187" s="28">
        <f t="shared" si="27"/>
        <v>44256</v>
      </c>
    </row>
    <row r="1188" spans="1:3">
      <c r="A1188" s="28">
        <v>44279</v>
      </c>
      <c r="B1188" s="29">
        <v>75.358500000000006</v>
      </c>
      <c r="C1188" s="28">
        <f t="shared" si="27"/>
        <v>44256</v>
      </c>
    </row>
    <row r="1189" spans="1:3">
      <c r="A1189" s="28">
        <v>44278</v>
      </c>
      <c r="B1189" s="29">
        <v>74.608500000000006</v>
      </c>
      <c r="C1189" s="28">
        <f t="shared" si="27"/>
        <v>44256</v>
      </c>
    </row>
    <row r="1190" spans="1:3">
      <c r="A1190" s="28">
        <v>44275</v>
      </c>
      <c r="B1190" s="29">
        <v>74.138999999999996</v>
      </c>
      <c r="C1190" s="28">
        <f t="shared" si="27"/>
        <v>44256</v>
      </c>
    </row>
    <row r="1191" spans="1:3">
      <c r="A1191" s="28">
        <v>44274</v>
      </c>
      <c r="B1191" s="29">
        <v>73.658199999999994</v>
      </c>
      <c r="C1191" s="28">
        <f t="shared" si="27"/>
        <v>44256</v>
      </c>
    </row>
    <row r="1192" spans="1:3">
      <c r="A1192" s="28">
        <v>44273</v>
      </c>
      <c r="B1192" s="29">
        <v>73.101900000000001</v>
      </c>
      <c r="C1192" s="28">
        <f t="shared" si="27"/>
        <v>44256</v>
      </c>
    </row>
    <row r="1193" spans="1:3">
      <c r="A1193" s="28">
        <v>44272</v>
      </c>
      <c r="B1193" s="29">
        <v>72.9619</v>
      </c>
      <c r="C1193" s="28">
        <f t="shared" si="27"/>
        <v>44256</v>
      </c>
    </row>
    <row r="1194" spans="1:3">
      <c r="A1194" s="28">
        <v>44271</v>
      </c>
      <c r="B1194" s="29">
        <v>73.231700000000004</v>
      </c>
      <c r="C1194" s="28">
        <f t="shared" si="27"/>
        <v>44256</v>
      </c>
    </row>
    <row r="1195" spans="1:3">
      <c r="A1195" s="28">
        <v>44268</v>
      </c>
      <c r="B1195" s="29">
        <v>73.508099999999999</v>
      </c>
      <c r="C1195" s="28">
        <f t="shared" si="27"/>
        <v>44256</v>
      </c>
    </row>
    <row r="1196" spans="1:3">
      <c r="A1196" s="28">
        <v>44267</v>
      </c>
      <c r="B1196" s="29">
        <v>73.499600000000001</v>
      </c>
      <c r="C1196" s="28">
        <f t="shared" si="27"/>
        <v>44256</v>
      </c>
    </row>
    <row r="1197" spans="1:3">
      <c r="A1197" s="28">
        <v>44266</v>
      </c>
      <c r="B1197" s="29">
        <v>74.039299999999997</v>
      </c>
      <c r="C1197" s="28">
        <f t="shared" si="27"/>
        <v>44256</v>
      </c>
    </row>
    <row r="1198" spans="1:3">
      <c r="A1198" s="28">
        <v>44265</v>
      </c>
      <c r="B1198" s="29">
        <v>74.263999999999996</v>
      </c>
      <c r="C1198" s="28">
        <f t="shared" si="27"/>
        <v>44256</v>
      </c>
    </row>
    <row r="1199" spans="1:3">
      <c r="A1199" s="28">
        <v>44261</v>
      </c>
      <c r="B1199" s="29">
        <v>74.427499999999995</v>
      </c>
      <c r="C1199" s="28">
        <f t="shared" si="27"/>
        <v>44256</v>
      </c>
    </row>
    <row r="1200" spans="1:3">
      <c r="A1200" s="28">
        <v>44260</v>
      </c>
      <c r="B1200" s="29">
        <v>73.7864</v>
      </c>
      <c r="C1200" s="28">
        <f t="shared" si="27"/>
        <v>44256</v>
      </c>
    </row>
    <row r="1201" spans="1:3">
      <c r="A1201" s="28">
        <v>44259</v>
      </c>
      <c r="B1201" s="29">
        <v>73.518699999999995</v>
      </c>
      <c r="C1201" s="28">
        <f t="shared" si="27"/>
        <v>44256</v>
      </c>
    </row>
    <row r="1202" spans="1:3">
      <c r="A1202" s="28">
        <v>44258</v>
      </c>
      <c r="B1202" s="29">
        <v>74.575500000000005</v>
      </c>
      <c r="C1202" s="28">
        <f t="shared" si="27"/>
        <v>44256</v>
      </c>
    </row>
    <row r="1203" spans="1:3">
      <c r="A1203" s="28">
        <v>44257</v>
      </c>
      <c r="B1203" s="29">
        <v>74.044799999999995</v>
      </c>
      <c r="C1203" s="28">
        <f t="shared" si="27"/>
        <v>44256</v>
      </c>
    </row>
    <row r="1204" spans="1:3">
      <c r="A1204" s="28">
        <v>44254</v>
      </c>
      <c r="B1204" s="29">
        <v>74.437299999999993</v>
      </c>
      <c r="C1204" s="28">
        <f t="shared" si="27"/>
        <v>44228</v>
      </c>
    </row>
    <row r="1205" spans="1:3">
      <c r="A1205" s="28">
        <v>44253</v>
      </c>
      <c r="B1205" s="29">
        <v>73.474699999999999</v>
      </c>
      <c r="C1205" s="28">
        <f t="shared" si="27"/>
        <v>44228</v>
      </c>
    </row>
    <row r="1206" spans="1:3">
      <c r="A1206" s="28">
        <v>44252</v>
      </c>
      <c r="B1206" s="29">
        <v>73.753200000000007</v>
      </c>
      <c r="C1206" s="28">
        <f t="shared" si="27"/>
        <v>44228</v>
      </c>
    </row>
    <row r="1207" spans="1:3">
      <c r="A1207" s="28">
        <v>44248</v>
      </c>
      <c r="B1207" s="29">
        <v>73.9833</v>
      </c>
      <c r="C1207" s="28">
        <f t="shared" si="27"/>
        <v>44228</v>
      </c>
    </row>
    <row r="1208" spans="1:3">
      <c r="A1208" s="28">
        <v>44247</v>
      </c>
      <c r="B1208" s="29">
        <v>73.971699999999998</v>
      </c>
      <c r="C1208" s="28">
        <f t="shared" si="27"/>
        <v>44228</v>
      </c>
    </row>
    <row r="1209" spans="1:3">
      <c r="A1209" s="28">
        <v>44246</v>
      </c>
      <c r="B1209" s="29">
        <v>73.775499999999994</v>
      </c>
      <c r="C1209" s="28">
        <f t="shared" si="27"/>
        <v>44228</v>
      </c>
    </row>
    <row r="1210" spans="1:3">
      <c r="A1210" s="28">
        <v>44245</v>
      </c>
      <c r="B1210" s="29">
        <v>73.766900000000007</v>
      </c>
      <c r="C1210" s="28">
        <f t="shared" si="27"/>
        <v>44228</v>
      </c>
    </row>
    <row r="1211" spans="1:3">
      <c r="A1211" s="28">
        <v>44244</v>
      </c>
      <c r="B1211" s="29">
        <v>73.289500000000004</v>
      </c>
      <c r="C1211" s="28">
        <f t="shared" si="27"/>
        <v>44228</v>
      </c>
    </row>
    <row r="1212" spans="1:3">
      <c r="A1212" s="28">
        <v>44243</v>
      </c>
      <c r="B1212" s="29">
        <v>73.309200000000004</v>
      </c>
      <c r="C1212" s="28">
        <f t="shared" si="27"/>
        <v>44228</v>
      </c>
    </row>
    <row r="1213" spans="1:3">
      <c r="A1213" s="28">
        <v>44240</v>
      </c>
      <c r="B1213" s="29">
        <v>73.937799999999996</v>
      </c>
      <c r="C1213" s="28">
        <f t="shared" si="27"/>
        <v>44228</v>
      </c>
    </row>
    <row r="1214" spans="1:3">
      <c r="A1214" s="28">
        <v>44239</v>
      </c>
      <c r="B1214" s="29">
        <v>73.757900000000006</v>
      </c>
      <c r="C1214" s="28">
        <f t="shared" si="27"/>
        <v>44228</v>
      </c>
    </row>
    <row r="1215" spans="1:3">
      <c r="A1215" s="28">
        <v>44238</v>
      </c>
      <c r="B1215" s="29">
        <v>73.852599999999995</v>
      </c>
      <c r="C1215" s="28">
        <f t="shared" si="27"/>
        <v>44228</v>
      </c>
    </row>
    <row r="1216" spans="1:3">
      <c r="A1216" s="28">
        <v>44237</v>
      </c>
      <c r="B1216" s="29">
        <v>74.119200000000006</v>
      </c>
      <c r="C1216" s="28">
        <f t="shared" si="27"/>
        <v>44228</v>
      </c>
    </row>
    <row r="1217" spans="1:3">
      <c r="A1217" s="28">
        <v>44236</v>
      </c>
      <c r="B1217" s="29">
        <v>74.260199999999998</v>
      </c>
      <c r="C1217" s="28">
        <f t="shared" si="27"/>
        <v>44228</v>
      </c>
    </row>
    <row r="1218" spans="1:3">
      <c r="A1218" s="28">
        <v>44233</v>
      </c>
      <c r="B1218" s="29">
        <v>75.110699999999994</v>
      </c>
      <c r="C1218" s="28">
        <f t="shared" si="27"/>
        <v>44228</v>
      </c>
    </row>
    <row r="1219" spans="1:3">
      <c r="A1219" s="28">
        <v>44232</v>
      </c>
      <c r="B1219" s="29">
        <v>75.729299999999995</v>
      </c>
      <c r="C1219" s="28">
        <f t="shared" ref="C1219:C1282" si="28">DATE(YEAR(A1219),MONTH(A1219),1)</f>
        <v>44228</v>
      </c>
    </row>
    <row r="1220" spans="1:3">
      <c r="A1220" s="28">
        <v>44231</v>
      </c>
      <c r="B1220" s="29">
        <v>76.080100000000002</v>
      </c>
      <c r="C1220" s="28">
        <f t="shared" si="28"/>
        <v>44228</v>
      </c>
    </row>
    <row r="1221" spans="1:3">
      <c r="A1221" s="28">
        <v>44230</v>
      </c>
      <c r="B1221" s="29">
        <v>75.905100000000004</v>
      </c>
      <c r="C1221" s="28">
        <f t="shared" si="28"/>
        <v>44228</v>
      </c>
    </row>
    <row r="1222" spans="1:3">
      <c r="A1222" s="28">
        <v>44229</v>
      </c>
      <c r="B1222" s="29">
        <v>75.505300000000005</v>
      </c>
      <c r="C1222" s="28">
        <f t="shared" si="28"/>
        <v>44228</v>
      </c>
    </row>
    <row r="1223" spans="1:3">
      <c r="A1223" s="28">
        <v>44226</v>
      </c>
      <c r="B1223" s="29">
        <v>76.252700000000004</v>
      </c>
      <c r="C1223" s="28">
        <f t="shared" si="28"/>
        <v>44197</v>
      </c>
    </row>
    <row r="1224" spans="1:3">
      <c r="A1224" s="28">
        <v>44225</v>
      </c>
      <c r="B1224" s="29">
        <v>76.185400000000001</v>
      </c>
      <c r="C1224" s="28">
        <f t="shared" si="28"/>
        <v>44197</v>
      </c>
    </row>
    <row r="1225" spans="1:3">
      <c r="A1225" s="28">
        <v>44224</v>
      </c>
      <c r="B1225" s="29">
        <v>75.040000000000006</v>
      </c>
      <c r="C1225" s="28">
        <f t="shared" si="28"/>
        <v>44197</v>
      </c>
    </row>
    <row r="1226" spans="1:3">
      <c r="A1226" s="28">
        <v>44223</v>
      </c>
      <c r="B1226" s="29">
        <v>75.635400000000004</v>
      </c>
      <c r="C1226" s="28">
        <f t="shared" si="28"/>
        <v>44197</v>
      </c>
    </row>
    <row r="1227" spans="1:3">
      <c r="A1227" s="28">
        <v>44222</v>
      </c>
      <c r="B1227" s="29">
        <v>74.856899999999996</v>
      </c>
      <c r="C1227" s="28">
        <f t="shared" si="28"/>
        <v>44197</v>
      </c>
    </row>
    <row r="1228" spans="1:3">
      <c r="A1228" s="28">
        <v>44219</v>
      </c>
      <c r="B1228" s="29">
        <v>74.361500000000007</v>
      </c>
      <c r="C1228" s="28">
        <f t="shared" si="28"/>
        <v>44197</v>
      </c>
    </row>
    <row r="1229" spans="1:3">
      <c r="A1229" s="28">
        <v>44218</v>
      </c>
      <c r="B1229" s="29">
        <v>73.369399999999999</v>
      </c>
      <c r="C1229" s="28">
        <f t="shared" si="28"/>
        <v>44197</v>
      </c>
    </row>
    <row r="1230" spans="1:3">
      <c r="A1230" s="28">
        <v>44217</v>
      </c>
      <c r="B1230" s="29">
        <v>73.355000000000004</v>
      </c>
      <c r="C1230" s="28">
        <f t="shared" si="28"/>
        <v>44197</v>
      </c>
    </row>
    <row r="1231" spans="1:3">
      <c r="A1231" s="28">
        <v>44216</v>
      </c>
      <c r="B1231" s="29">
        <v>73.724299999999999</v>
      </c>
      <c r="C1231" s="28">
        <f t="shared" si="28"/>
        <v>44197</v>
      </c>
    </row>
    <row r="1232" spans="1:3">
      <c r="A1232" s="28">
        <v>44215</v>
      </c>
      <c r="B1232" s="29">
        <v>73.973500000000001</v>
      </c>
      <c r="C1232" s="28">
        <f t="shared" si="28"/>
        <v>44197</v>
      </c>
    </row>
    <row r="1233" spans="1:3">
      <c r="A1233" s="28">
        <v>44212</v>
      </c>
      <c r="B1233" s="29">
        <v>73.545299999999997</v>
      </c>
      <c r="C1233" s="28">
        <f t="shared" si="28"/>
        <v>44197</v>
      </c>
    </row>
    <row r="1234" spans="1:3">
      <c r="A1234" s="28">
        <v>44211</v>
      </c>
      <c r="B1234" s="29">
        <v>73.796099999999996</v>
      </c>
      <c r="C1234" s="28">
        <f t="shared" si="28"/>
        <v>44197</v>
      </c>
    </row>
    <row r="1235" spans="1:3">
      <c r="A1235" s="28">
        <v>44210</v>
      </c>
      <c r="B1235" s="29">
        <v>73.526399999999995</v>
      </c>
      <c r="C1235" s="28">
        <f t="shared" si="28"/>
        <v>44197</v>
      </c>
    </row>
    <row r="1236" spans="1:3">
      <c r="A1236" s="28">
        <v>44209</v>
      </c>
      <c r="B1236" s="29">
        <v>74.266300000000001</v>
      </c>
      <c r="C1236" s="28">
        <f t="shared" si="28"/>
        <v>44197</v>
      </c>
    </row>
    <row r="1237" spans="1:3">
      <c r="A1237" s="28">
        <v>44208</v>
      </c>
      <c r="B1237" s="29">
        <v>74.515699999999995</v>
      </c>
      <c r="C1237" s="28">
        <f t="shared" si="28"/>
        <v>44197</v>
      </c>
    </row>
    <row r="1238" spans="1:3">
      <c r="A1238" s="28">
        <v>44197</v>
      </c>
      <c r="B1238" s="29">
        <v>73.875699999999995</v>
      </c>
      <c r="C1238" s="28">
        <f t="shared" si="28"/>
        <v>44197</v>
      </c>
    </row>
    <row r="1239" spans="1:3">
      <c r="A1239" s="28">
        <v>44196</v>
      </c>
      <c r="B1239" s="29">
        <v>73.875699999999995</v>
      </c>
      <c r="C1239" s="28">
        <f t="shared" si="28"/>
        <v>44166</v>
      </c>
    </row>
    <row r="1240" spans="1:3">
      <c r="A1240" s="28">
        <v>44195</v>
      </c>
      <c r="B1240" s="29">
        <v>73.656700000000001</v>
      </c>
      <c r="C1240" s="28">
        <f t="shared" si="28"/>
        <v>44166</v>
      </c>
    </row>
    <row r="1241" spans="1:3">
      <c r="A1241" s="28">
        <v>44194</v>
      </c>
      <c r="B1241" s="29">
        <v>73.717500000000001</v>
      </c>
      <c r="C1241" s="28">
        <f t="shared" si="28"/>
        <v>44166</v>
      </c>
    </row>
    <row r="1242" spans="1:3">
      <c r="A1242" s="28">
        <v>44191</v>
      </c>
      <c r="B1242" s="29">
        <v>73.692099999999996</v>
      </c>
      <c r="C1242" s="28">
        <f t="shared" si="28"/>
        <v>44166</v>
      </c>
    </row>
    <row r="1243" spans="1:3">
      <c r="A1243" s="28">
        <v>44190</v>
      </c>
      <c r="B1243" s="29">
        <v>74.839200000000005</v>
      </c>
      <c r="C1243" s="28">
        <f t="shared" si="28"/>
        <v>44166</v>
      </c>
    </row>
    <row r="1244" spans="1:3">
      <c r="A1244" s="28">
        <v>44189</v>
      </c>
      <c r="B1244" s="29">
        <v>75.457099999999997</v>
      </c>
      <c r="C1244" s="28">
        <f t="shared" si="28"/>
        <v>44166</v>
      </c>
    </row>
    <row r="1245" spans="1:3">
      <c r="A1245" s="28">
        <v>44188</v>
      </c>
      <c r="B1245" s="29">
        <v>75.349800000000002</v>
      </c>
      <c r="C1245" s="28">
        <f t="shared" si="28"/>
        <v>44166</v>
      </c>
    </row>
    <row r="1246" spans="1:3">
      <c r="A1246" s="28">
        <v>44187</v>
      </c>
      <c r="B1246" s="29">
        <v>74.6721</v>
      </c>
      <c r="C1246" s="28">
        <f t="shared" si="28"/>
        <v>44166</v>
      </c>
    </row>
    <row r="1247" spans="1:3">
      <c r="A1247" s="28">
        <v>44184</v>
      </c>
      <c r="B1247" s="29">
        <v>73.3155</v>
      </c>
      <c r="C1247" s="28">
        <f t="shared" si="28"/>
        <v>44166</v>
      </c>
    </row>
    <row r="1248" spans="1:3">
      <c r="A1248" s="28">
        <v>44183</v>
      </c>
      <c r="B1248" s="29">
        <v>72.978099999999998</v>
      </c>
      <c r="C1248" s="28">
        <f t="shared" si="28"/>
        <v>44166</v>
      </c>
    </row>
    <row r="1249" spans="1:3">
      <c r="A1249" s="28">
        <v>44182</v>
      </c>
      <c r="B1249" s="29">
        <v>73.420100000000005</v>
      </c>
      <c r="C1249" s="28">
        <f t="shared" si="28"/>
        <v>44166</v>
      </c>
    </row>
    <row r="1250" spans="1:3">
      <c r="A1250" s="28">
        <v>44181</v>
      </c>
      <c r="B1250" s="29">
        <v>73.445300000000003</v>
      </c>
      <c r="C1250" s="28">
        <f t="shared" si="28"/>
        <v>44166</v>
      </c>
    </row>
    <row r="1251" spans="1:3">
      <c r="A1251" s="28">
        <v>44180</v>
      </c>
      <c r="B1251" s="29">
        <v>72.927199999999999</v>
      </c>
      <c r="C1251" s="28">
        <f t="shared" si="28"/>
        <v>44166</v>
      </c>
    </row>
    <row r="1252" spans="1:3">
      <c r="A1252" s="28">
        <v>44177</v>
      </c>
      <c r="B1252" s="29">
        <v>73.119500000000002</v>
      </c>
      <c r="C1252" s="28">
        <f t="shared" si="28"/>
        <v>44166</v>
      </c>
    </row>
    <row r="1253" spans="1:3">
      <c r="A1253" s="28">
        <v>44176</v>
      </c>
      <c r="B1253" s="29">
        <v>73.712400000000002</v>
      </c>
      <c r="C1253" s="28">
        <f t="shared" si="28"/>
        <v>44166</v>
      </c>
    </row>
    <row r="1254" spans="1:3">
      <c r="A1254" s="28">
        <v>44175</v>
      </c>
      <c r="B1254" s="29">
        <v>73.305700000000002</v>
      </c>
      <c r="C1254" s="28">
        <f t="shared" si="28"/>
        <v>44166</v>
      </c>
    </row>
    <row r="1255" spans="1:3">
      <c r="A1255" s="28">
        <v>44174</v>
      </c>
      <c r="B1255" s="29">
        <v>73.661799999999999</v>
      </c>
      <c r="C1255" s="28">
        <f t="shared" si="28"/>
        <v>44166</v>
      </c>
    </row>
    <row r="1256" spans="1:3">
      <c r="A1256" s="28">
        <v>44173</v>
      </c>
      <c r="B1256" s="29">
        <v>74.250600000000006</v>
      </c>
      <c r="C1256" s="28">
        <f t="shared" si="28"/>
        <v>44166</v>
      </c>
    </row>
    <row r="1257" spans="1:3">
      <c r="A1257" s="28">
        <v>44170</v>
      </c>
      <c r="B1257" s="29">
        <v>74.252899999999997</v>
      </c>
      <c r="C1257" s="28">
        <f t="shared" si="28"/>
        <v>44166</v>
      </c>
    </row>
    <row r="1258" spans="1:3">
      <c r="A1258" s="28">
        <v>44169</v>
      </c>
      <c r="B1258" s="29">
        <v>75.199600000000004</v>
      </c>
      <c r="C1258" s="28">
        <f t="shared" si="28"/>
        <v>44166</v>
      </c>
    </row>
    <row r="1259" spans="1:3">
      <c r="A1259" s="28">
        <v>44168</v>
      </c>
      <c r="B1259" s="29">
        <v>75.615099999999998</v>
      </c>
      <c r="C1259" s="28">
        <f t="shared" si="28"/>
        <v>44166</v>
      </c>
    </row>
    <row r="1260" spans="1:3">
      <c r="A1260" s="28">
        <v>44167</v>
      </c>
      <c r="B1260" s="29">
        <v>76.320300000000003</v>
      </c>
      <c r="C1260" s="28">
        <f t="shared" si="28"/>
        <v>44166</v>
      </c>
    </row>
    <row r="1261" spans="1:3">
      <c r="A1261" s="28">
        <v>44166</v>
      </c>
      <c r="B1261" s="29">
        <v>76.1999</v>
      </c>
      <c r="C1261" s="28">
        <f t="shared" si="28"/>
        <v>44166</v>
      </c>
    </row>
    <row r="1262" spans="1:3">
      <c r="A1262" s="28">
        <v>44163</v>
      </c>
      <c r="B1262" s="29">
        <v>75.859899999999996</v>
      </c>
      <c r="C1262" s="28">
        <f t="shared" si="28"/>
        <v>44136</v>
      </c>
    </row>
    <row r="1263" spans="1:3">
      <c r="A1263" s="28">
        <v>44162</v>
      </c>
      <c r="B1263" s="29">
        <v>75.451800000000006</v>
      </c>
      <c r="C1263" s="28">
        <f t="shared" si="28"/>
        <v>44136</v>
      </c>
    </row>
    <row r="1264" spans="1:3">
      <c r="A1264" s="28">
        <v>44161</v>
      </c>
      <c r="B1264" s="29">
        <v>75.472700000000003</v>
      </c>
      <c r="C1264" s="28">
        <f t="shared" si="28"/>
        <v>44136</v>
      </c>
    </row>
    <row r="1265" spans="1:3">
      <c r="A1265" s="28">
        <v>44160</v>
      </c>
      <c r="B1265" s="29">
        <v>75.814599999999999</v>
      </c>
      <c r="C1265" s="28">
        <f t="shared" si="28"/>
        <v>44136</v>
      </c>
    </row>
    <row r="1266" spans="1:3">
      <c r="A1266" s="28">
        <v>44159</v>
      </c>
      <c r="B1266" s="29">
        <v>75.760000000000005</v>
      </c>
      <c r="C1266" s="28">
        <f t="shared" si="28"/>
        <v>44136</v>
      </c>
    </row>
    <row r="1267" spans="1:3">
      <c r="A1267" s="28">
        <v>44156</v>
      </c>
      <c r="B1267" s="29">
        <v>76.012</v>
      </c>
      <c r="C1267" s="28">
        <f t="shared" si="28"/>
        <v>44136</v>
      </c>
    </row>
    <row r="1268" spans="1:3">
      <c r="A1268" s="28">
        <v>44155</v>
      </c>
      <c r="B1268" s="29">
        <v>76.262699999999995</v>
      </c>
      <c r="C1268" s="28">
        <f t="shared" si="28"/>
        <v>44136</v>
      </c>
    </row>
    <row r="1269" spans="1:3">
      <c r="A1269" s="28">
        <v>44154</v>
      </c>
      <c r="B1269" s="29">
        <v>75.9268</v>
      </c>
      <c r="C1269" s="28">
        <f t="shared" si="28"/>
        <v>44136</v>
      </c>
    </row>
    <row r="1270" spans="1:3">
      <c r="A1270" s="28">
        <v>44153</v>
      </c>
      <c r="B1270" s="29">
        <v>76.253</v>
      </c>
      <c r="C1270" s="28">
        <f t="shared" si="28"/>
        <v>44136</v>
      </c>
    </row>
    <row r="1271" spans="1:3">
      <c r="A1271" s="28">
        <v>44152</v>
      </c>
      <c r="B1271" s="29">
        <v>76.919700000000006</v>
      </c>
      <c r="C1271" s="28">
        <f t="shared" si="28"/>
        <v>44136</v>
      </c>
    </row>
    <row r="1272" spans="1:3">
      <c r="A1272" s="28">
        <v>44149</v>
      </c>
      <c r="B1272" s="29">
        <v>77.3262</v>
      </c>
      <c r="C1272" s="28">
        <f t="shared" si="28"/>
        <v>44136</v>
      </c>
    </row>
    <row r="1273" spans="1:3">
      <c r="A1273" s="28">
        <v>44148</v>
      </c>
      <c r="B1273" s="29">
        <v>77.114800000000002</v>
      </c>
      <c r="C1273" s="28">
        <f t="shared" si="28"/>
        <v>44136</v>
      </c>
    </row>
    <row r="1274" spans="1:3">
      <c r="A1274" s="28">
        <v>44147</v>
      </c>
      <c r="B1274" s="29">
        <v>76.207499999999996</v>
      </c>
      <c r="C1274" s="28">
        <f t="shared" si="28"/>
        <v>44136</v>
      </c>
    </row>
    <row r="1275" spans="1:3">
      <c r="A1275" s="28">
        <v>44146</v>
      </c>
      <c r="B1275" s="29">
        <v>76.397800000000004</v>
      </c>
      <c r="C1275" s="28">
        <f t="shared" si="28"/>
        <v>44136</v>
      </c>
    </row>
    <row r="1276" spans="1:3">
      <c r="A1276" s="28">
        <v>44145</v>
      </c>
      <c r="B1276" s="29">
        <v>76.951499999999996</v>
      </c>
      <c r="C1276" s="28">
        <f t="shared" si="28"/>
        <v>44136</v>
      </c>
    </row>
    <row r="1277" spans="1:3">
      <c r="A1277" s="28">
        <v>44142</v>
      </c>
      <c r="B1277" s="29">
        <v>77.1875</v>
      </c>
      <c r="C1277" s="28">
        <f t="shared" si="28"/>
        <v>44136</v>
      </c>
    </row>
    <row r="1278" spans="1:3">
      <c r="A1278" s="28">
        <v>44141</v>
      </c>
      <c r="B1278" s="29">
        <v>78.4559</v>
      </c>
      <c r="C1278" s="28">
        <f t="shared" si="28"/>
        <v>44136</v>
      </c>
    </row>
    <row r="1279" spans="1:3">
      <c r="A1279" s="28">
        <v>44139</v>
      </c>
      <c r="B1279" s="29">
        <v>80.000600000000006</v>
      </c>
      <c r="C1279" s="28">
        <f t="shared" si="28"/>
        <v>44136</v>
      </c>
    </row>
    <row r="1280" spans="1:3">
      <c r="A1280" s="28">
        <v>44138</v>
      </c>
      <c r="B1280" s="29">
        <v>80.5749</v>
      </c>
      <c r="C1280" s="28">
        <f t="shared" si="28"/>
        <v>44136</v>
      </c>
    </row>
    <row r="1281" spans="1:3">
      <c r="A1281" s="28">
        <v>44135</v>
      </c>
      <c r="B1281" s="29">
        <v>79.332300000000004</v>
      </c>
      <c r="C1281" s="28">
        <f t="shared" si="28"/>
        <v>44105</v>
      </c>
    </row>
    <row r="1282" spans="1:3">
      <c r="A1282" s="28">
        <v>44134</v>
      </c>
      <c r="B1282" s="29">
        <v>78.869900000000001</v>
      </c>
      <c r="C1282" s="28">
        <f t="shared" si="28"/>
        <v>44105</v>
      </c>
    </row>
    <row r="1283" spans="1:3">
      <c r="A1283" s="28">
        <v>44133</v>
      </c>
      <c r="B1283" s="29">
        <v>77.552000000000007</v>
      </c>
      <c r="C1283" s="28">
        <f t="shared" ref="C1283:C1346" si="29">DATE(YEAR(A1283),MONTH(A1283),1)</f>
        <v>44105</v>
      </c>
    </row>
    <row r="1284" spans="1:3">
      <c r="A1284" s="28">
        <v>44132</v>
      </c>
      <c r="B1284" s="29">
        <v>76.455600000000004</v>
      </c>
      <c r="C1284" s="28">
        <f t="shared" si="29"/>
        <v>44105</v>
      </c>
    </row>
    <row r="1285" spans="1:3">
      <c r="A1285" s="28">
        <v>44131</v>
      </c>
      <c r="B1285" s="29">
        <v>76.444299999999998</v>
      </c>
      <c r="C1285" s="28">
        <f t="shared" si="29"/>
        <v>44105</v>
      </c>
    </row>
    <row r="1286" spans="1:3">
      <c r="A1286" s="28">
        <v>44128</v>
      </c>
      <c r="B1286" s="29">
        <v>76.466700000000003</v>
      </c>
      <c r="C1286" s="28">
        <f t="shared" si="29"/>
        <v>44105</v>
      </c>
    </row>
    <row r="1287" spans="1:3">
      <c r="A1287" s="28">
        <v>44127</v>
      </c>
      <c r="B1287" s="29">
        <v>77.0809</v>
      </c>
      <c r="C1287" s="28">
        <f t="shared" si="29"/>
        <v>44105</v>
      </c>
    </row>
    <row r="1288" spans="1:3">
      <c r="A1288" s="28">
        <v>44126</v>
      </c>
      <c r="B1288" s="29">
        <v>77.032200000000003</v>
      </c>
      <c r="C1288" s="28">
        <f t="shared" si="29"/>
        <v>44105</v>
      </c>
    </row>
    <row r="1289" spans="1:3">
      <c r="A1289" s="28">
        <v>44125</v>
      </c>
      <c r="B1289" s="29">
        <v>77.778000000000006</v>
      </c>
      <c r="C1289" s="28">
        <f t="shared" si="29"/>
        <v>44105</v>
      </c>
    </row>
    <row r="1290" spans="1:3">
      <c r="A1290" s="28">
        <v>44124</v>
      </c>
      <c r="B1290" s="29">
        <v>77.924099999999996</v>
      </c>
      <c r="C1290" s="28">
        <f t="shared" si="29"/>
        <v>44105</v>
      </c>
    </row>
    <row r="1291" spans="1:3">
      <c r="A1291" s="28">
        <v>44121</v>
      </c>
      <c r="B1291" s="29">
        <v>77.964399999999998</v>
      </c>
      <c r="C1291" s="28">
        <f t="shared" si="29"/>
        <v>44105</v>
      </c>
    </row>
    <row r="1292" spans="1:3">
      <c r="A1292" s="28">
        <v>44120</v>
      </c>
      <c r="B1292" s="29">
        <v>77.946100000000001</v>
      </c>
      <c r="C1292" s="28">
        <f t="shared" si="29"/>
        <v>44105</v>
      </c>
    </row>
    <row r="1293" spans="1:3">
      <c r="A1293" s="28">
        <v>44119</v>
      </c>
      <c r="B1293" s="29">
        <v>77.275899999999993</v>
      </c>
      <c r="C1293" s="28">
        <f t="shared" si="29"/>
        <v>44105</v>
      </c>
    </row>
    <row r="1294" spans="1:3">
      <c r="A1294" s="28">
        <v>44118</v>
      </c>
      <c r="B1294" s="29">
        <v>77.285499999999999</v>
      </c>
      <c r="C1294" s="28">
        <f t="shared" si="29"/>
        <v>44105</v>
      </c>
    </row>
    <row r="1295" spans="1:3">
      <c r="A1295" s="28">
        <v>44117</v>
      </c>
      <c r="B1295" s="29">
        <v>77.023899999999998</v>
      </c>
      <c r="C1295" s="28">
        <f t="shared" si="29"/>
        <v>44105</v>
      </c>
    </row>
    <row r="1296" spans="1:3">
      <c r="A1296" s="28">
        <v>44114</v>
      </c>
      <c r="B1296" s="29">
        <v>77.028400000000005</v>
      </c>
      <c r="C1296" s="28">
        <f t="shared" si="29"/>
        <v>44105</v>
      </c>
    </row>
    <row r="1297" spans="1:3">
      <c r="A1297" s="28">
        <v>44113</v>
      </c>
      <c r="B1297" s="29">
        <v>77.915700000000001</v>
      </c>
      <c r="C1297" s="28">
        <f t="shared" si="29"/>
        <v>44105</v>
      </c>
    </row>
    <row r="1298" spans="1:3">
      <c r="A1298" s="28">
        <v>44112</v>
      </c>
      <c r="B1298" s="29">
        <v>78.092100000000002</v>
      </c>
      <c r="C1298" s="28">
        <f t="shared" si="29"/>
        <v>44105</v>
      </c>
    </row>
    <row r="1299" spans="1:3">
      <c r="A1299" s="28">
        <v>44111</v>
      </c>
      <c r="B1299" s="29">
        <v>78.511899999999997</v>
      </c>
      <c r="C1299" s="28">
        <f t="shared" si="29"/>
        <v>44105</v>
      </c>
    </row>
    <row r="1300" spans="1:3">
      <c r="A1300" s="28">
        <v>44110</v>
      </c>
      <c r="B1300" s="29">
        <v>78.128100000000003</v>
      </c>
      <c r="C1300" s="28">
        <f t="shared" si="29"/>
        <v>44105</v>
      </c>
    </row>
    <row r="1301" spans="1:3">
      <c r="A1301" s="28">
        <v>44107</v>
      </c>
      <c r="B1301" s="29">
        <v>78.091499999999996</v>
      </c>
      <c r="C1301" s="28">
        <f t="shared" si="29"/>
        <v>44105</v>
      </c>
    </row>
    <row r="1302" spans="1:3">
      <c r="A1302" s="28">
        <v>44106</v>
      </c>
      <c r="B1302" s="29">
        <v>77.2774</v>
      </c>
      <c r="C1302" s="28">
        <f t="shared" si="29"/>
        <v>44105</v>
      </c>
    </row>
    <row r="1303" spans="1:3">
      <c r="A1303" s="28">
        <v>44105</v>
      </c>
      <c r="B1303" s="29">
        <v>78.784700000000001</v>
      </c>
      <c r="C1303" s="28">
        <f t="shared" si="29"/>
        <v>44105</v>
      </c>
    </row>
    <row r="1304" spans="1:3">
      <c r="A1304" s="28">
        <v>44104</v>
      </c>
      <c r="B1304" s="29">
        <v>79.6845</v>
      </c>
      <c r="C1304" s="28">
        <f t="shared" si="29"/>
        <v>44075</v>
      </c>
    </row>
    <row r="1305" spans="1:3">
      <c r="A1305" s="28">
        <v>44103</v>
      </c>
      <c r="B1305" s="29">
        <v>78.671300000000002</v>
      </c>
      <c r="C1305" s="28">
        <f t="shared" si="29"/>
        <v>44075</v>
      </c>
    </row>
    <row r="1306" spans="1:3">
      <c r="A1306" s="28">
        <v>44100</v>
      </c>
      <c r="B1306" s="29">
        <v>76.819500000000005</v>
      </c>
      <c r="C1306" s="28">
        <f t="shared" si="29"/>
        <v>44075</v>
      </c>
    </row>
    <row r="1307" spans="1:3">
      <c r="A1307" s="28">
        <v>44099</v>
      </c>
      <c r="B1307" s="29">
        <v>77.177999999999997</v>
      </c>
      <c r="C1307" s="28">
        <f t="shared" si="29"/>
        <v>44075</v>
      </c>
    </row>
    <row r="1308" spans="1:3">
      <c r="A1308" s="28">
        <v>44098</v>
      </c>
      <c r="B1308" s="29">
        <v>76.354500000000002</v>
      </c>
      <c r="C1308" s="28">
        <f t="shared" si="29"/>
        <v>44075</v>
      </c>
    </row>
    <row r="1309" spans="1:3">
      <c r="A1309" s="28">
        <v>44097</v>
      </c>
      <c r="B1309" s="29">
        <v>76.271100000000004</v>
      </c>
      <c r="C1309" s="28">
        <f t="shared" si="29"/>
        <v>44075</v>
      </c>
    </row>
    <row r="1310" spans="1:3">
      <c r="A1310" s="28">
        <v>44096</v>
      </c>
      <c r="B1310" s="29">
        <v>76.0381</v>
      </c>
      <c r="C1310" s="28">
        <f t="shared" si="29"/>
        <v>44075</v>
      </c>
    </row>
    <row r="1311" spans="1:3">
      <c r="A1311" s="28">
        <v>44093</v>
      </c>
      <c r="B1311" s="29">
        <v>75.031899999999993</v>
      </c>
      <c r="C1311" s="28">
        <f t="shared" si="29"/>
        <v>44075</v>
      </c>
    </row>
    <row r="1312" spans="1:3">
      <c r="A1312" s="28">
        <v>44092</v>
      </c>
      <c r="B1312" s="29">
        <v>75.194100000000006</v>
      </c>
      <c r="C1312" s="28">
        <f t="shared" si="29"/>
        <v>44075</v>
      </c>
    </row>
    <row r="1313" spans="1:3">
      <c r="A1313" s="28">
        <v>44091</v>
      </c>
      <c r="B1313" s="29">
        <v>74.927800000000005</v>
      </c>
      <c r="C1313" s="28">
        <f t="shared" si="29"/>
        <v>44075</v>
      </c>
    </row>
    <row r="1314" spans="1:3">
      <c r="A1314" s="28">
        <v>44090</v>
      </c>
      <c r="B1314" s="29">
        <v>75.188400000000001</v>
      </c>
      <c r="C1314" s="28">
        <f t="shared" si="29"/>
        <v>44075</v>
      </c>
    </row>
    <row r="1315" spans="1:3">
      <c r="A1315" s="28">
        <v>44089</v>
      </c>
      <c r="B1315" s="29">
        <v>74.714799999999997</v>
      </c>
      <c r="C1315" s="28">
        <f t="shared" si="29"/>
        <v>44075</v>
      </c>
    </row>
    <row r="1316" spans="1:3">
      <c r="A1316" s="28">
        <v>44086</v>
      </c>
      <c r="B1316" s="29">
        <v>74.889600000000002</v>
      </c>
      <c r="C1316" s="28">
        <f t="shared" si="29"/>
        <v>44075</v>
      </c>
    </row>
    <row r="1317" spans="1:3">
      <c r="A1317" s="28">
        <v>44085</v>
      </c>
      <c r="B1317" s="29">
        <v>75.5274</v>
      </c>
      <c r="C1317" s="28">
        <f t="shared" si="29"/>
        <v>44075</v>
      </c>
    </row>
    <row r="1318" spans="1:3">
      <c r="A1318" s="28">
        <v>44084</v>
      </c>
      <c r="B1318" s="29">
        <v>76.071299999999994</v>
      </c>
      <c r="C1318" s="28">
        <f t="shared" si="29"/>
        <v>44075</v>
      </c>
    </row>
    <row r="1319" spans="1:3">
      <c r="A1319" s="28">
        <v>44083</v>
      </c>
      <c r="B1319" s="29">
        <v>75.964500000000001</v>
      </c>
      <c r="C1319" s="28">
        <f t="shared" si="29"/>
        <v>44075</v>
      </c>
    </row>
    <row r="1320" spans="1:3">
      <c r="A1320" s="28">
        <v>44082</v>
      </c>
      <c r="B1320" s="29">
        <v>75.590999999999994</v>
      </c>
      <c r="C1320" s="28">
        <f t="shared" si="29"/>
        <v>44075</v>
      </c>
    </row>
    <row r="1321" spans="1:3">
      <c r="A1321" s="28">
        <v>44079</v>
      </c>
      <c r="B1321" s="29">
        <v>75.182299999999998</v>
      </c>
      <c r="C1321" s="28">
        <f t="shared" si="29"/>
        <v>44075</v>
      </c>
    </row>
    <row r="1322" spans="1:3">
      <c r="A1322" s="28">
        <v>44078</v>
      </c>
      <c r="B1322" s="29">
        <v>75.468000000000004</v>
      </c>
      <c r="C1322" s="28">
        <f t="shared" si="29"/>
        <v>44075</v>
      </c>
    </row>
    <row r="1323" spans="1:3">
      <c r="A1323" s="28">
        <v>44077</v>
      </c>
      <c r="B1323" s="29">
        <v>73.858800000000002</v>
      </c>
      <c r="C1323" s="28">
        <f t="shared" si="29"/>
        <v>44075</v>
      </c>
    </row>
    <row r="1324" spans="1:3">
      <c r="A1324" s="28">
        <v>44076</v>
      </c>
      <c r="B1324" s="29">
        <v>73.584900000000005</v>
      </c>
      <c r="C1324" s="28">
        <f t="shared" si="29"/>
        <v>44075</v>
      </c>
    </row>
    <row r="1325" spans="1:3">
      <c r="A1325" s="28">
        <v>44075</v>
      </c>
      <c r="B1325" s="29">
        <v>73.803899999999999</v>
      </c>
      <c r="C1325" s="28">
        <f t="shared" si="29"/>
        <v>44075</v>
      </c>
    </row>
    <row r="1326" spans="1:3">
      <c r="A1326" s="28">
        <v>44072</v>
      </c>
      <c r="B1326" s="29">
        <v>74.638199999999998</v>
      </c>
      <c r="C1326" s="28">
        <f t="shared" si="29"/>
        <v>44044</v>
      </c>
    </row>
    <row r="1327" spans="1:3">
      <c r="A1327" s="28">
        <v>44071</v>
      </c>
      <c r="B1327" s="29">
        <v>75.235399999999998</v>
      </c>
      <c r="C1327" s="28">
        <f t="shared" si="29"/>
        <v>44044</v>
      </c>
    </row>
    <row r="1328" spans="1:3">
      <c r="A1328" s="28">
        <v>44070</v>
      </c>
      <c r="B1328" s="29">
        <v>75.537899999999993</v>
      </c>
      <c r="C1328" s="28">
        <f t="shared" si="29"/>
        <v>44044</v>
      </c>
    </row>
    <row r="1329" spans="1:3">
      <c r="A1329" s="28">
        <v>44069</v>
      </c>
      <c r="B1329" s="29">
        <v>74.512600000000006</v>
      </c>
      <c r="C1329" s="28">
        <f t="shared" si="29"/>
        <v>44044</v>
      </c>
    </row>
    <row r="1330" spans="1:3">
      <c r="A1330" s="28">
        <v>44068</v>
      </c>
      <c r="B1330" s="29">
        <v>74.418400000000005</v>
      </c>
      <c r="C1330" s="28">
        <f t="shared" si="29"/>
        <v>44044</v>
      </c>
    </row>
    <row r="1331" spans="1:3">
      <c r="A1331" s="28">
        <v>44065</v>
      </c>
      <c r="B1331" s="29">
        <v>74.099900000000005</v>
      </c>
      <c r="C1331" s="28">
        <f t="shared" si="29"/>
        <v>44044</v>
      </c>
    </row>
    <row r="1332" spans="1:3">
      <c r="A1332" s="28">
        <v>44064</v>
      </c>
      <c r="B1332" s="29">
        <v>73.771100000000004</v>
      </c>
      <c r="C1332" s="28">
        <f t="shared" si="29"/>
        <v>44044</v>
      </c>
    </row>
    <row r="1333" spans="1:3">
      <c r="A1333" s="28">
        <v>44063</v>
      </c>
      <c r="B1333" s="29">
        <v>73.239199999999997</v>
      </c>
      <c r="C1333" s="28">
        <f t="shared" si="29"/>
        <v>44044</v>
      </c>
    </row>
    <row r="1334" spans="1:3">
      <c r="A1334" s="28">
        <v>44062</v>
      </c>
      <c r="B1334" s="29">
        <v>73.432100000000005</v>
      </c>
      <c r="C1334" s="28">
        <f t="shared" si="29"/>
        <v>44044</v>
      </c>
    </row>
    <row r="1335" spans="1:3">
      <c r="A1335" s="28">
        <v>44061</v>
      </c>
      <c r="B1335" s="29">
        <v>72.967600000000004</v>
      </c>
      <c r="C1335" s="28">
        <f t="shared" si="29"/>
        <v>44044</v>
      </c>
    </row>
    <row r="1336" spans="1:3">
      <c r="A1336" s="28">
        <v>44058</v>
      </c>
      <c r="B1336" s="29">
        <v>73.215699999999998</v>
      </c>
      <c r="C1336" s="28">
        <f t="shared" si="29"/>
        <v>44044</v>
      </c>
    </row>
    <row r="1337" spans="1:3">
      <c r="A1337" s="28">
        <v>44057</v>
      </c>
      <c r="B1337" s="29">
        <v>73.606700000000004</v>
      </c>
      <c r="C1337" s="28">
        <f t="shared" si="29"/>
        <v>44044</v>
      </c>
    </row>
    <row r="1338" spans="1:3">
      <c r="A1338" s="28">
        <v>44056</v>
      </c>
      <c r="B1338" s="29">
        <v>73.235100000000003</v>
      </c>
      <c r="C1338" s="28">
        <f t="shared" si="29"/>
        <v>44044</v>
      </c>
    </row>
    <row r="1339" spans="1:3">
      <c r="A1339" s="28">
        <v>44055</v>
      </c>
      <c r="B1339" s="29">
        <v>73.152199999999993</v>
      </c>
      <c r="C1339" s="28">
        <f t="shared" si="29"/>
        <v>44044</v>
      </c>
    </row>
    <row r="1340" spans="1:3">
      <c r="A1340" s="28">
        <v>44054</v>
      </c>
      <c r="B1340" s="29">
        <v>73.775000000000006</v>
      </c>
      <c r="C1340" s="28">
        <f t="shared" si="29"/>
        <v>44044</v>
      </c>
    </row>
    <row r="1341" spans="1:3">
      <c r="A1341" s="28">
        <v>44051</v>
      </c>
      <c r="B1341" s="29">
        <v>73.637600000000006</v>
      </c>
      <c r="C1341" s="28">
        <f t="shared" si="29"/>
        <v>44044</v>
      </c>
    </row>
    <row r="1342" spans="1:3">
      <c r="A1342" s="28">
        <v>44050</v>
      </c>
      <c r="B1342" s="29">
        <v>73.039699999999996</v>
      </c>
      <c r="C1342" s="28">
        <f t="shared" si="29"/>
        <v>44044</v>
      </c>
    </row>
    <row r="1343" spans="1:3">
      <c r="A1343" s="28">
        <v>44049</v>
      </c>
      <c r="B1343" s="29">
        <v>73.280600000000007</v>
      </c>
      <c r="C1343" s="28">
        <f t="shared" si="29"/>
        <v>44044</v>
      </c>
    </row>
    <row r="1344" spans="1:3">
      <c r="A1344" s="28">
        <v>44048</v>
      </c>
      <c r="B1344" s="29">
        <v>73.380600000000001</v>
      </c>
      <c r="C1344" s="28">
        <f t="shared" si="29"/>
        <v>44044</v>
      </c>
    </row>
    <row r="1345" spans="1:3">
      <c r="A1345" s="28">
        <v>44047</v>
      </c>
      <c r="B1345" s="29">
        <v>74.158600000000007</v>
      </c>
      <c r="C1345" s="28">
        <f t="shared" si="29"/>
        <v>44044</v>
      </c>
    </row>
    <row r="1346" spans="1:3">
      <c r="A1346" s="28">
        <v>44044</v>
      </c>
      <c r="B1346" s="29">
        <v>73.426100000000005</v>
      </c>
      <c r="C1346" s="28">
        <f t="shared" si="29"/>
        <v>44044</v>
      </c>
    </row>
    <row r="1347" spans="1:3">
      <c r="A1347" s="28">
        <v>44043</v>
      </c>
      <c r="B1347" s="29">
        <v>73.363299999999995</v>
      </c>
      <c r="C1347" s="28">
        <f t="shared" ref="C1347:C1410" si="30">DATE(YEAR(A1347),MONTH(A1347),1)</f>
        <v>44013</v>
      </c>
    </row>
    <row r="1348" spans="1:3">
      <c r="A1348" s="28">
        <v>44042</v>
      </c>
      <c r="B1348" s="29">
        <v>72.234800000000007</v>
      </c>
      <c r="C1348" s="28">
        <f t="shared" si="30"/>
        <v>44013</v>
      </c>
    </row>
    <row r="1349" spans="1:3">
      <c r="A1349" s="28">
        <v>44041</v>
      </c>
      <c r="B1349" s="29">
        <v>71.919600000000003</v>
      </c>
      <c r="C1349" s="28">
        <f t="shared" si="30"/>
        <v>44013</v>
      </c>
    </row>
    <row r="1350" spans="1:3">
      <c r="A1350" s="28">
        <v>44040</v>
      </c>
      <c r="B1350" s="29">
        <v>71.584999999999994</v>
      </c>
      <c r="C1350" s="28">
        <f t="shared" si="30"/>
        <v>44013</v>
      </c>
    </row>
    <row r="1351" spans="1:3">
      <c r="A1351" s="28">
        <v>44037</v>
      </c>
      <c r="B1351" s="29">
        <v>71.597399999999993</v>
      </c>
      <c r="C1351" s="28">
        <f t="shared" si="30"/>
        <v>44013</v>
      </c>
    </row>
    <row r="1352" spans="1:3">
      <c r="A1352" s="28">
        <v>44036</v>
      </c>
      <c r="B1352" s="29">
        <v>70.962999999999994</v>
      </c>
      <c r="C1352" s="28">
        <f t="shared" si="30"/>
        <v>44013</v>
      </c>
    </row>
    <row r="1353" spans="1:3">
      <c r="A1353" s="28">
        <v>44035</v>
      </c>
      <c r="B1353" s="29">
        <v>70.7881</v>
      </c>
      <c r="C1353" s="28">
        <f t="shared" si="30"/>
        <v>44013</v>
      </c>
    </row>
    <row r="1354" spans="1:3">
      <c r="A1354" s="28">
        <v>44034</v>
      </c>
      <c r="B1354" s="29">
        <v>70.966800000000006</v>
      </c>
      <c r="C1354" s="28">
        <f t="shared" si="30"/>
        <v>44013</v>
      </c>
    </row>
    <row r="1355" spans="1:3">
      <c r="A1355" s="28">
        <v>44033</v>
      </c>
      <c r="B1355" s="29">
        <v>71.962800000000001</v>
      </c>
      <c r="C1355" s="28">
        <f t="shared" si="30"/>
        <v>44013</v>
      </c>
    </row>
    <row r="1356" spans="1:3">
      <c r="A1356" s="28">
        <v>44030</v>
      </c>
      <c r="B1356" s="29">
        <v>71.713899999999995</v>
      </c>
      <c r="C1356" s="28">
        <f t="shared" si="30"/>
        <v>44013</v>
      </c>
    </row>
    <row r="1357" spans="1:3">
      <c r="A1357" s="28">
        <v>44029</v>
      </c>
      <c r="B1357" s="29">
        <v>71.230999999999995</v>
      </c>
      <c r="C1357" s="28">
        <f t="shared" si="30"/>
        <v>44013</v>
      </c>
    </row>
    <row r="1358" spans="1:3">
      <c r="A1358" s="28">
        <v>44028</v>
      </c>
      <c r="B1358" s="29">
        <v>70.799800000000005</v>
      </c>
      <c r="C1358" s="28">
        <f t="shared" si="30"/>
        <v>44013</v>
      </c>
    </row>
    <row r="1359" spans="1:3">
      <c r="A1359" s="28">
        <v>44027</v>
      </c>
      <c r="B1359" s="29">
        <v>71.127499999999998</v>
      </c>
      <c r="C1359" s="28">
        <f t="shared" si="30"/>
        <v>44013</v>
      </c>
    </row>
    <row r="1360" spans="1:3">
      <c r="A1360" s="28">
        <v>44026</v>
      </c>
      <c r="B1360" s="29">
        <v>70.747900000000001</v>
      </c>
      <c r="C1360" s="28">
        <f t="shared" si="30"/>
        <v>44013</v>
      </c>
    </row>
    <row r="1361" spans="1:3">
      <c r="A1361" s="28">
        <v>44023</v>
      </c>
      <c r="B1361" s="29">
        <v>71.229799999999997</v>
      </c>
      <c r="C1361" s="28">
        <f t="shared" si="30"/>
        <v>44013</v>
      </c>
    </row>
    <row r="1362" spans="1:3">
      <c r="A1362" s="28">
        <v>44022</v>
      </c>
      <c r="B1362" s="29">
        <v>70.88</v>
      </c>
      <c r="C1362" s="28">
        <f t="shared" si="30"/>
        <v>44013</v>
      </c>
    </row>
    <row r="1363" spans="1:3">
      <c r="A1363" s="28">
        <v>44021</v>
      </c>
      <c r="B1363" s="29">
        <v>71.237899999999996</v>
      </c>
      <c r="C1363" s="28">
        <f t="shared" si="30"/>
        <v>44013</v>
      </c>
    </row>
    <row r="1364" spans="1:3">
      <c r="A1364" s="28">
        <v>44020</v>
      </c>
      <c r="B1364" s="29">
        <v>72.171899999999994</v>
      </c>
      <c r="C1364" s="28">
        <f t="shared" si="30"/>
        <v>44013</v>
      </c>
    </row>
    <row r="1365" spans="1:3">
      <c r="A1365" s="28">
        <v>44019</v>
      </c>
      <c r="B1365" s="29">
        <v>71.340900000000005</v>
      </c>
      <c r="C1365" s="28">
        <f t="shared" si="30"/>
        <v>44013</v>
      </c>
    </row>
    <row r="1366" spans="1:3">
      <c r="A1366" s="28">
        <v>44016</v>
      </c>
      <c r="B1366" s="29">
        <v>70.499899999999997</v>
      </c>
      <c r="C1366" s="28">
        <f t="shared" si="30"/>
        <v>44013</v>
      </c>
    </row>
    <row r="1367" spans="1:3">
      <c r="A1367" s="28">
        <v>44015</v>
      </c>
      <c r="B1367" s="29">
        <v>70.519800000000004</v>
      </c>
      <c r="C1367" s="28">
        <f t="shared" si="30"/>
        <v>44013</v>
      </c>
    </row>
    <row r="1368" spans="1:3">
      <c r="A1368" s="28">
        <v>44014</v>
      </c>
      <c r="B1368" s="29">
        <v>70.441299999999998</v>
      </c>
      <c r="C1368" s="28">
        <f t="shared" si="30"/>
        <v>44013</v>
      </c>
    </row>
    <row r="1369" spans="1:3">
      <c r="A1369" s="28">
        <v>44013</v>
      </c>
      <c r="B1369" s="29">
        <v>70.441299999999998</v>
      </c>
      <c r="C1369" s="28">
        <f t="shared" si="30"/>
        <v>44013</v>
      </c>
    </row>
    <row r="1370" spans="1:3">
      <c r="A1370" s="28">
        <v>44012</v>
      </c>
      <c r="B1370" s="29">
        <v>69.951300000000003</v>
      </c>
      <c r="C1370" s="28">
        <f t="shared" si="30"/>
        <v>43983</v>
      </c>
    </row>
    <row r="1371" spans="1:3">
      <c r="A1371" s="28">
        <v>44009</v>
      </c>
      <c r="B1371" s="29">
        <v>69.128399999999999</v>
      </c>
      <c r="C1371" s="28">
        <f t="shared" si="30"/>
        <v>43983</v>
      </c>
    </row>
    <row r="1372" spans="1:3">
      <c r="A1372" s="28">
        <v>44008</v>
      </c>
      <c r="B1372" s="29">
        <v>69.465999999999994</v>
      </c>
      <c r="C1372" s="28">
        <f t="shared" si="30"/>
        <v>43983</v>
      </c>
    </row>
    <row r="1373" spans="1:3">
      <c r="A1373" s="28">
        <v>44007</v>
      </c>
      <c r="B1373" s="29">
        <v>68.837599999999995</v>
      </c>
      <c r="C1373" s="28">
        <f t="shared" si="30"/>
        <v>43983</v>
      </c>
    </row>
    <row r="1374" spans="1:3">
      <c r="A1374" s="28">
        <v>44006</v>
      </c>
      <c r="B1374" s="29">
        <v>68.837599999999995</v>
      </c>
      <c r="C1374" s="28">
        <f t="shared" si="30"/>
        <v>43983</v>
      </c>
    </row>
    <row r="1375" spans="1:3">
      <c r="A1375" s="28">
        <v>44005</v>
      </c>
      <c r="B1375" s="29">
        <v>69.483500000000006</v>
      </c>
      <c r="C1375" s="28">
        <f t="shared" si="30"/>
        <v>43983</v>
      </c>
    </row>
    <row r="1376" spans="1:3">
      <c r="A1376" s="28">
        <v>44002</v>
      </c>
      <c r="B1376" s="29">
        <v>69.572500000000005</v>
      </c>
      <c r="C1376" s="28">
        <f t="shared" si="30"/>
        <v>43983</v>
      </c>
    </row>
    <row r="1377" spans="1:3">
      <c r="A1377" s="28">
        <v>44001</v>
      </c>
      <c r="B1377" s="29">
        <v>69.617999999999995</v>
      </c>
      <c r="C1377" s="28">
        <f t="shared" si="30"/>
        <v>43983</v>
      </c>
    </row>
    <row r="1378" spans="1:3">
      <c r="A1378" s="28">
        <v>44000</v>
      </c>
      <c r="B1378" s="29">
        <v>69.482200000000006</v>
      </c>
      <c r="C1378" s="28">
        <f t="shared" si="30"/>
        <v>43983</v>
      </c>
    </row>
    <row r="1379" spans="1:3">
      <c r="A1379" s="28">
        <v>43999</v>
      </c>
      <c r="B1379" s="29">
        <v>69.752399999999994</v>
      </c>
      <c r="C1379" s="28">
        <f t="shared" si="30"/>
        <v>43983</v>
      </c>
    </row>
    <row r="1380" spans="1:3">
      <c r="A1380" s="28">
        <v>43998</v>
      </c>
      <c r="B1380" s="29">
        <v>70.394999999999996</v>
      </c>
      <c r="C1380" s="28">
        <f t="shared" si="30"/>
        <v>43983</v>
      </c>
    </row>
    <row r="1381" spans="1:3">
      <c r="A1381" s="28">
        <v>43994</v>
      </c>
      <c r="B1381" s="29">
        <v>69.121899999999997</v>
      </c>
      <c r="C1381" s="28">
        <f t="shared" si="30"/>
        <v>43983</v>
      </c>
    </row>
    <row r="1382" spans="1:3">
      <c r="A1382" s="28">
        <v>43993</v>
      </c>
      <c r="B1382" s="29">
        <v>68.618300000000005</v>
      </c>
      <c r="C1382" s="28">
        <f t="shared" si="30"/>
        <v>43983</v>
      </c>
    </row>
    <row r="1383" spans="1:3">
      <c r="A1383" s="28">
        <v>43992</v>
      </c>
      <c r="B1383" s="29">
        <v>68.674499999999995</v>
      </c>
      <c r="C1383" s="28">
        <f t="shared" si="30"/>
        <v>43983</v>
      </c>
    </row>
    <row r="1384" spans="1:3">
      <c r="A1384" s="28">
        <v>43991</v>
      </c>
      <c r="B1384" s="29">
        <v>68.312299999999993</v>
      </c>
      <c r="C1384" s="28">
        <f t="shared" si="30"/>
        <v>43983</v>
      </c>
    </row>
    <row r="1385" spans="1:3">
      <c r="A1385" s="28">
        <v>43988</v>
      </c>
      <c r="B1385" s="29">
        <v>68.631900000000002</v>
      </c>
      <c r="C1385" s="28">
        <f t="shared" si="30"/>
        <v>43983</v>
      </c>
    </row>
    <row r="1386" spans="1:3">
      <c r="A1386" s="28">
        <v>43987</v>
      </c>
      <c r="B1386" s="29">
        <v>69.015100000000004</v>
      </c>
      <c r="C1386" s="28">
        <f t="shared" si="30"/>
        <v>43983</v>
      </c>
    </row>
    <row r="1387" spans="1:3">
      <c r="A1387" s="28">
        <v>43986</v>
      </c>
      <c r="B1387" s="29">
        <v>68.341300000000004</v>
      </c>
      <c r="C1387" s="28">
        <f t="shared" si="30"/>
        <v>43983</v>
      </c>
    </row>
    <row r="1388" spans="1:3">
      <c r="A1388" s="28">
        <v>43985</v>
      </c>
      <c r="B1388" s="29">
        <v>68.983099999999993</v>
      </c>
      <c r="C1388" s="28">
        <f t="shared" si="30"/>
        <v>43983</v>
      </c>
    </row>
    <row r="1389" spans="1:3">
      <c r="A1389" s="28">
        <v>43984</v>
      </c>
      <c r="B1389" s="29">
        <v>69.711399999999998</v>
      </c>
      <c r="C1389" s="28">
        <f t="shared" si="30"/>
        <v>43983</v>
      </c>
    </row>
    <row r="1390" spans="1:3">
      <c r="A1390" s="28">
        <v>43981</v>
      </c>
      <c r="B1390" s="29">
        <v>70.751999999999995</v>
      </c>
      <c r="C1390" s="28">
        <f t="shared" si="30"/>
        <v>43952</v>
      </c>
    </row>
    <row r="1391" spans="1:3">
      <c r="A1391" s="28">
        <v>43980</v>
      </c>
      <c r="B1391" s="29">
        <v>71.101200000000006</v>
      </c>
      <c r="C1391" s="28">
        <f t="shared" si="30"/>
        <v>43952</v>
      </c>
    </row>
    <row r="1392" spans="1:3">
      <c r="A1392" s="28">
        <v>43979</v>
      </c>
      <c r="B1392" s="29">
        <v>71.063500000000005</v>
      </c>
      <c r="C1392" s="28">
        <f t="shared" si="30"/>
        <v>43952</v>
      </c>
    </row>
    <row r="1393" spans="1:3">
      <c r="A1393" s="28">
        <v>43978</v>
      </c>
      <c r="B1393" s="29">
        <v>71.140799999999999</v>
      </c>
      <c r="C1393" s="28">
        <f t="shared" si="30"/>
        <v>43952</v>
      </c>
    </row>
    <row r="1394" spans="1:3">
      <c r="A1394" s="28">
        <v>43977</v>
      </c>
      <c r="B1394" s="29">
        <v>71.596199999999996</v>
      </c>
      <c r="C1394" s="28">
        <f t="shared" si="30"/>
        <v>43952</v>
      </c>
    </row>
    <row r="1395" spans="1:3">
      <c r="A1395" s="28">
        <v>43974</v>
      </c>
      <c r="B1395" s="29">
        <v>71.880399999999995</v>
      </c>
      <c r="C1395" s="28">
        <f t="shared" si="30"/>
        <v>43952</v>
      </c>
    </row>
    <row r="1396" spans="1:3">
      <c r="A1396" s="28">
        <v>43973</v>
      </c>
      <c r="B1396" s="29">
        <v>70.924000000000007</v>
      </c>
      <c r="C1396" s="28">
        <f t="shared" si="30"/>
        <v>43952</v>
      </c>
    </row>
    <row r="1397" spans="1:3">
      <c r="A1397" s="28">
        <v>43972</v>
      </c>
      <c r="B1397" s="29">
        <v>72.338099999999997</v>
      </c>
      <c r="C1397" s="28">
        <f t="shared" si="30"/>
        <v>43952</v>
      </c>
    </row>
    <row r="1398" spans="1:3">
      <c r="A1398" s="28">
        <v>43971</v>
      </c>
      <c r="B1398" s="29">
        <v>72.391800000000003</v>
      </c>
      <c r="C1398" s="28">
        <f t="shared" si="30"/>
        <v>43952</v>
      </c>
    </row>
    <row r="1399" spans="1:3">
      <c r="A1399" s="28">
        <v>43970</v>
      </c>
      <c r="B1399" s="29">
        <v>72.979799999999997</v>
      </c>
      <c r="C1399" s="28">
        <f t="shared" si="30"/>
        <v>43952</v>
      </c>
    </row>
    <row r="1400" spans="1:3">
      <c r="A1400" s="28">
        <v>43967</v>
      </c>
      <c r="B1400" s="29">
        <v>73.205600000000004</v>
      </c>
      <c r="C1400" s="28">
        <f t="shared" si="30"/>
        <v>43952</v>
      </c>
    </row>
    <row r="1401" spans="1:3">
      <c r="A1401" s="28">
        <v>43966</v>
      </c>
      <c r="B1401" s="29">
        <v>73.9298</v>
      </c>
      <c r="C1401" s="28">
        <f t="shared" si="30"/>
        <v>43952</v>
      </c>
    </row>
    <row r="1402" spans="1:3">
      <c r="A1402" s="28">
        <v>43965</v>
      </c>
      <c r="B1402" s="29">
        <v>73.581900000000005</v>
      </c>
      <c r="C1402" s="28">
        <f t="shared" si="30"/>
        <v>43952</v>
      </c>
    </row>
    <row r="1403" spans="1:3">
      <c r="A1403" s="28">
        <v>43964</v>
      </c>
      <c r="B1403" s="29">
        <v>73.432599999999994</v>
      </c>
      <c r="C1403" s="28">
        <f t="shared" si="30"/>
        <v>43952</v>
      </c>
    </row>
    <row r="1404" spans="1:3">
      <c r="A1404" s="28">
        <v>43960</v>
      </c>
      <c r="B1404" s="29">
        <v>73.872500000000002</v>
      </c>
      <c r="C1404" s="28">
        <f t="shared" si="30"/>
        <v>43952</v>
      </c>
    </row>
    <row r="1405" spans="1:3">
      <c r="A1405" s="28">
        <v>43959</v>
      </c>
      <c r="B1405" s="29">
        <v>74.116900000000001</v>
      </c>
      <c r="C1405" s="28">
        <f t="shared" si="30"/>
        <v>43952</v>
      </c>
    </row>
    <row r="1406" spans="1:3">
      <c r="A1406" s="28">
        <v>43958</v>
      </c>
      <c r="B1406" s="29">
        <v>73.971900000000005</v>
      </c>
      <c r="C1406" s="28">
        <f t="shared" si="30"/>
        <v>43952</v>
      </c>
    </row>
    <row r="1407" spans="1:3">
      <c r="A1407" s="28">
        <v>43952</v>
      </c>
      <c r="B1407" s="29">
        <v>72.726299999999995</v>
      </c>
      <c r="C1407" s="28">
        <f t="shared" si="30"/>
        <v>43952</v>
      </c>
    </row>
    <row r="1408" spans="1:3">
      <c r="A1408" s="28">
        <v>43951</v>
      </c>
      <c r="B1408" s="29">
        <v>73.689400000000006</v>
      </c>
      <c r="C1408" s="28">
        <f t="shared" si="30"/>
        <v>43922</v>
      </c>
    </row>
    <row r="1409" spans="1:3">
      <c r="A1409" s="28">
        <v>43950</v>
      </c>
      <c r="B1409" s="29">
        <v>74.570599999999999</v>
      </c>
      <c r="C1409" s="28">
        <f t="shared" si="30"/>
        <v>43922</v>
      </c>
    </row>
    <row r="1410" spans="1:3">
      <c r="A1410" s="28">
        <v>43949</v>
      </c>
      <c r="B1410" s="29">
        <v>74.495999999999995</v>
      </c>
      <c r="C1410" s="28">
        <f t="shared" si="30"/>
        <v>43922</v>
      </c>
    </row>
    <row r="1411" spans="1:3">
      <c r="A1411" s="28">
        <v>43946</v>
      </c>
      <c r="B1411" s="29">
        <v>74.716300000000004</v>
      </c>
      <c r="C1411" s="28">
        <f t="shared" ref="C1411:C1474" si="31">DATE(YEAR(A1411),MONTH(A1411),1)</f>
        <v>43922</v>
      </c>
    </row>
    <row r="1412" spans="1:3">
      <c r="A1412" s="28">
        <v>43945</v>
      </c>
      <c r="B1412" s="29">
        <v>75.129000000000005</v>
      </c>
      <c r="C1412" s="28">
        <f t="shared" si="31"/>
        <v>43922</v>
      </c>
    </row>
    <row r="1413" spans="1:3">
      <c r="A1413" s="28">
        <v>43944</v>
      </c>
      <c r="B1413" s="29">
        <v>77.041600000000003</v>
      </c>
      <c r="C1413" s="28">
        <f t="shared" si="31"/>
        <v>43922</v>
      </c>
    </row>
    <row r="1414" spans="1:3">
      <c r="A1414" s="28">
        <v>43943</v>
      </c>
      <c r="B1414" s="29">
        <v>76.256200000000007</v>
      </c>
      <c r="C1414" s="28">
        <f t="shared" si="31"/>
        <v>43922</v>
      </c>
    </row>
    <row r="1415" spans="1:3">
      <c r="A1415" s="28">
        <v>43942</v>
      </c>
      <c r="B1415" s="29">
        <v>74.665700000000001</v>
      </c>
      <c r="C1415" s="28">
        <f t="shared" si="31"/>
        <v>43922</v>
      </c>
    </row>
    <row r="1416" spans="1:3">
      <c r="A1416" s="28">
        <v>43939</v>
      </c>
      <c r="B1416" s="29">
        <v>73.944100000000006</v>
      </c>
      <c r="C1416" s="28">
        <f t="shared" si="31"/>
        <v>43922</v>
      </c>
    </row>
    <row r="1417" spans="1:3">
      <c r="A1417" s="28">
        <v>43938</v>
      </c>
      <c r="B1417" s="29">
        <v>74.7119</v>
      </c>
      <c r="C1417" s="28">
        <f t="shared" si="31"/>
        <v>43922</v>
      </c>
    </row>
    <row r="1418" spans="1:3">
      <c r="A1418" s="28">
        <v>43937</v>
      </c>
      <c r="B1418" s="29">
        <v>73.714500000000001</v>
      </c>
      <c r="C1418" s="28">
        <f t="shared" si="31"/>
        <v>43922</v>
      </c>
    </row>
    <row r="1419" spans="1:3">
      <c r="A1419" s="28">
        <v>43936</v>
      </c>
      <c r="B1419" s="29">
        <v>73.314999999999998</v>
      </c>
      <c r="C1419" s="28">
        <f t="shared" si="31"/>
        <v>43922</v>
      </c>
    </row>
    <row r="1420" spans="1:3">
      <c r="A1420" s="28">
        <v>43935</v>
      </c>
      <c r="B1420" s="29">
        <v>73.524500000000003</v>
      </c>
      <c r="C1420" s="28">
        <f t="shared" si="31"/>
        <v>43922</v>
      </c>
    </row>
    <row r="1421" spans="1:3">
      <c r="A1421" s="28">
        <v>43932</v>
      </c>
      <c r="B1421" s="29">
        <v>73.751499999999993</v>
      </c>
      <c r="C1421" s="28">
        <f t="shared" si="31"/>
        <v>43922</v>
      </c>
    </row>
    <row r="1422" spans="1:3">
      <c r="A1422" s="28">
        <v>43931</v>
      </c>
      <c r="B1422" s="29">
        <v>74.605000000000004</v>
      </c>
      <c r="C1422" s="28">
        <f t="shared" si="31"/>
        <v>43922</v>
      </c>
    </row>
    <row r="1423" spans="1:3">
      <c r="A1423" s="28">
        <v>43930</v>
      </c>
      <c r="B1423" s="29">
        <v>75.749899999999997</v>
      </c>
      <c r="C1423" s="28">
        <f t="shared" si="31"/>
        <v>43922</v>
      </c>
    </row>
    <row r="1424" spans="1:3">
      <c r="A1424" s="28">
        <v>43929</v>
      </c>
      <c r="B1424" s="29">
        <v>75.454999999999998</v>
      </c>
      <c r="C1424" s="28">
        <f t="shared" si="31"/>
        <v>43922</v>
      </c>
    </row>
    <row r="1425" spans="1:3">
      <c r="A1425" s="28">
        <v>43928</v>
      </c>
      <c r="B1425" s="29">
        <v>76.407399999999996</v>
      </c>
      <c r="C1425" s="28">
        <f t="shared" si="31"/>
        <v>43922</v>
      </c>
    </row>
    <row r="1426" spans="1:3">
      <c r="A1426" s="28">
        <v>43918</v>
      </c>
      <c r="B1426" s="29">
        <v>77.732500000000002</v>
      </c>
      <c r="C1426" s="28">
        <f t="shared" si="31"/>
        <v>43891</v>
      </c>
    </row>
    <row r="1427" spans="1:3">
      <c r="A1427" s="28">
        <v>43917</v>
      </c>
      <c r="B1427" s="29">
        <v>78.722300000000004</v>
      </c>
      <c r="C1427" s="28">
        <f t="shared" si="31"/>
        <v>43891</v>
      </c>
    </row>
    <row r="1428" spans="1:3">
      <c r="A1428" s="28">
        <v>43916</v>
      </c>
      <c r="B1428" s="29">
        <v>77.7928</v>
      </c>
      <c r="C1428" s="28">
        <f t="shared" si="31"/>
        <v>43891</v>
      </c>
    </row>
    <row r="1429" spans="1:3">
      <c r="A1429" s="28">
        <v>43915</v>
      </c>
      <c r="B1429" s="29">
        <v>78.849299999999999</v>
      </c>
      <c r="C1429" s="28">
        <f t="shared" si="31"/>
        <v>43891</v>
      </c>
    </row>
    <row r="1430" spans="1:3">
      <c r="A1430" s="28">
        <v>43914</v>
      </c>
      <c r="B1430" s="29">
        <v>80.881500000000003</v>
      </c>
      <c r="C1430" s="28">
        <f t="shared" si="31"/>
        <v>43891</v>
      </c>
    </row>
    <row r="1431" spans="1:3">
      <c r="A1431" s="28">
        <v>43911</v>
      </c>
      <c r="B1431" s="29">
        <v>78.044300000000007</v>
      </c>
      <c r="C1431" s="28">
        <f t="shared" si="31"/>
        <v>43891</v>
      </c>
    </row>
    <row r="1432" spans="1:3">
      <c r="A1432" s="28">
        <v>43910</v>
      </c>
      <c r="B1432" s="29">
        <v>80.156999999999996</v>
      </c>
      <c r="C1432" s="28">
        <f t="shared" si="31"/>
        <v>43891</v>
      </c>
    </row>
    <row r="1433" spans="1:3">
      <c r="A1433" s="28">
        <v>43909</v>
      </c>
      <c r="B1433" s="29">
        <v>77.213099999999997</v>
      </c>
      <c r="C1433" s="28">
        <f t="shared" si="31"/>
        <v>43891</v>
      </c>
    </row>
    <row r="1434" spans="1:3">
      <c r="A1434" s="28">
        <v>43908</v>
      </c>
      <c r="B1434" s="29">
        <v>73.889600000000002</v>
      </c>
      <c r="C1434" s="28">
        <f t="shared" si="31"/>
        <v>43891</v>
      </c>
    </row>
    <row r="1435" spans="1:3">
      <c r="A1435" s="28">
        <v>43907</v>
      </c>
      <c r="B1435" s="29">
        <v>74.126199999999997</v>
      </c>
      <c r="C1435" s="28">
        <f t="shared" si="31"/>
        <v>43891</v>
      </c>
    </row>
    <row r="1436" spans="1:3">
      <c r="A1436" s="28">
        <v>43904</v>
      </c>
      <c r="B1436" s="29">
        <v>73.188199999999995</v>
      </c>
      <c r="C1436" s="28">
        <f t="shared" si="31"/>
        <v>43891</v>
      </c>
    </row>
    <row r="1437" spans="1:3">
      <c r="A1437" s="28">
        <v>43903</v>
      </c>
      <c r="B1437" s="29">
        <v>74.0274</v>
      </c>
      <c r="C1437" s="28">
        <f t="shared" si="31"/>
        <v>43891</v>
      </c>
    </row>
    <row r="1438" spans="1:3">
      <c r="A1438" s="28">
        <v>43902</v>
      </c>
      <c r="B1438" s="29">
        <v>71.471999999999994</v>
      </c>
      <c r="C1438" s="28">
        <f t="shared" si="31"/>
        <v>43891</v>
      </c>
    </row>
    <row r="1439" spans="1:3">
      <c r="A1439" s="28">
        <v>43901</v>
      </c>
      <c r="B1439" s="29">
        <v>72.020799999999994</v>
      </c>
      <c r="C1439" s="28">
        <f t="shared" si="31"/>
        <v>43891</v>
      </c>
    </row>
    <row r="1440" spans="1:3">
      <c r="A1440" s="28">
        <v>43897</v>
      </c>
      <c r="B1440" s="29">
        <v>67.517499999999998</v>
      </c>
      <c r="C1440" s="28">
        <f t="shared" si="31"/>
        <v>43891</v>
      </c>
    </row>
    <row r="1441" spans="1:3">
      <c r="A1441" s="28">
        <v>43896</v>
      </c>
      <c r="B1441" s="29">
        <v>66.185400000000001</v>
      </c>
      <c r="C1441" s="28">
        <f t="shared" si="31"/>
        <v>43891</v>
      </c>
    </row>
    <row r="1442" spans="1:3">
      <c r="A1442" s="28">
        <v>43895</v>
      </c>
      <c r="B1442" s="29">
        <v>66.078400000000002</v>
      </c>
      <c r="C1442" s="28">
        <f t="shared" si="31"/>
        <v>43891</v>
      </c>
    </row>
    <row r="1443" spans="1:3">
      <c r="A1443" s="28">
        <v>43894</v>
      </c>
      <c r="B1443" s="29">
        <v>66.443700000000007</v>
      </c>
      <c r="C1443" s="28">
        <f t="shared" si="31"/>
        <v>43891</v>
      </c>
    </row>
    <row r="1444" spans="1:3">
      <c r="A1444" s="28">
        <v>43893</v>
      </c>
      <c r="B1444" s="29">
        <v>66.327399999999997</v>
      </c>
      <c r="C1444" s="28">
        <f t="shared" si="31"/>
        <v>43891</v>
      </c>
    </row>
    <row r="1445" spans="1:3">
      <c r="A1445" s="28">
        <v>43890</v>
      </c>
      <c r="B1445" s="29">
        <v>66.990899999999996</v>
      </c>
      <c r="C1445" s="28">
        <f t="shared" si="31"/>
        <v>43862</v>
      </c>
    </row>
    <row r="1446" spans="1:3">
      <c r="A1446" s="28">
        <v>43889</v>
      </c>
      <c r="B1446" s="29">
        <v>65.609700000000004</v>
      </c>
      <c r="C1446" s="28">
        <f t="shared" si="31"/>
        <v>43862</v>
      </c>
    </row>
    <row r="1447" spans="1:3">
      <c r="A1447" s="28">
        <v>43888</v>
      </c>
      <c r="B1447" s="29">
        <v>65.517700000000005</v>
      </c>
      <c r="C1447" s="28">
        <f t="shared" si="31"/>
        <v>43862</v>
      </c>
    </row>
    <row r="1448" spans="1:3">
      <c r="A1448" s="28">
        <v>43887</v>
      </c>
      <c r="B1448" s="29">
        <v>64.921300000000002</v>
      </c>
      <c r="C1448" s="28">
        <f t="shared" si="31"/>
        <v>43862</v>
      </c>
    </row>
    <row r="1449" spans="1:3">
      <c r="A1449" s="28">
        <v>43883</v>
      </c>
      <c r="B1449" s="29">
        <v>64.300799999999995</v>
      </c>
      <c r="C1449" s="28">
        <f t="shared" si="31"/>
        <v>43862</v>
      </c>
    </row>
    <row r="1450" spans="1:3">
      <c r="A1450" s="28">
        <v>43882</v>
      </c>
      <c r="B1450" s="29">
        <v>63.741300000000003</v>
      </c>
      <c r="C1450" s="28">
        <f t="shared" si="31"/>
        <v>43862</v>
      </c>
    </row>
    <row r="1451" spans="1:3">
      <c r="A1451" s="28">
        <v>43881</v>
      </c>
      <c r="B1451" s="29">
        <v>63.6873</v>
      </c>
      <c r="C1451" s="28">
        <f t="shared" si="31"/>
        <v>43862</v>
      </c>
    </row>
    <row r="1452" spans="1:3">
      <c r="A1452" s="28">
        <v>43880</v>
      </c>
      <c r="B1452" s="29">
        <v>63.769799999999996</v>
      </c>
      <c r="C1452" s="28">
        <f t="shared" si="31"/>
        <v>43862</v>
      </c>
    </row>
    <row r="1453" spans="1:3">
      <c r="A1453" s="28">
        <v>43879</v>
      </c>
      <c r="B1453" s="29">
        <v>63.308500000000002</v>
      </c>
      <c r="C1453" s="28">
        <f t="shared" si="31"/>
        <v>43862</v>
      </c>
    </row>
    <row r="1454" spans="1:3">
      <c r="A1454" s="28">
        <v>43876</v>
      </c>
      <c r="B1454" s="29">
        <v>63.453600000000002</v>
      </c>
      <c r="C1454" s="28">
        <f t="shared" si="31"/>
        <v>43862</v>
      </c>
    </row>
    <row r="1455" spans="1:3">
      <c r="A1455" s="28">
        <v>43875</v>
      </c>
      <c r="B1455" s="29">
        <v>63.601599999999998</v>
      </c>
      <c r="C1455" s="28">
        <f t="shared" si="31"/>
        <v>43862</v>
      </c>
    </row>
    <row r="1456" spans="1:3">
      <c r="A1456" s="28">
        <v>43874</v>
      </c>
      <c r="B1456" s="29">
        <v>63.046999999999997</v>
      </c>
      <c r="C1456" s="28">
        <f t="shared" si="31"/>
        <v>43862</v>
      </c>
    </row>
    <row r="1457" spans="1:3">
      <c r="A1457" s="28">
        <v>43873</v>
      </c>
      <c r="B1457" s="29">
        <v>63.948999999999998</v>
      </c>
      <c r="C1457" s="28">
        <f t="shared" si="31"/>
        <v>43862</v>
      </c>
    </row>
    <row r="1458" spans="1:3">
      <c r="A1458" s="28">
        <v>43872</v>
      </c>
      <c r="B1458" s="29">
        <v>63.770800000000001</v>
      </c>
      <c r="C1458" s="28">
        <f t="shared" si="31"/>
        <v>43862</v>
      </c>
    </row>
    <row r="1459" spans="1:3">
      <c r="A1459" s="28">
        <v>43869</v>
      </c>
      <c r="B1459" s="29">
        <v>63.472000000000001</v>
      </c>
      <c r="C1459" s="28">
        <f t="shared" si="31"/>
        <v>43862</v>
      </c>
    </row>
    <row r="1460" spans="1:3">
      <c r="A1460" s="28">
        <v>43868</v>
      </c>
      <c r="B1460" s="29">
        <v>62.797699999999999</v>
      </c>
      <c r="C1460" s="28">
        <f t="shared" si="31"/>
        <v>43862</v>
      </c>
    </row>
    <row r="1461" spans="1:3">
      <c r="A1461" s="28">
        <v>43867</v>
      </c>
      <c r="B1461" s="29">
        <v>63.174199999999999</v>
      </c>
      <c r="C1461" s="28">
        <f t="shared" si="31"/>
        <v>43862</v>
      </c>
    </row>
    <row r="1462" spans="1:3">
      <c r="A1462" s="28">
        <v>43866</v>
      </c>
      <c r="B1462" s="29">
        <v>63.434199999999997</v>
      </c>
      <c r="C1462" s="28">
        <f t="shared" si="31"/>
        <v>43862</v>
      </c>
    </row>
    <row r="1463" spans="1:3">
      <c r="A1463" s="28">
        <v>43865</v>
      </c>
      <c r="B1463" s="29">
        <v>63.909100000000002</v>
      </c>
      <c r="C1463" s="28">
        <f t="shared" si="31"/>
        <v>43862</v>
      </c>
    </row>
    <row r="1464" spans="1:3">
      <c r="A1464" s="28">
        <v>43862</v>
      </c>
      <c r="B1464" s="29">
        <v>63.138500000000001</v>
      </c>
      <c r="C1464" s="28">
        <f t="shared" si="31"/>
        <v>43862</v>
      </c>
    </row>
    <row r="1465" spans="1:3">
      <c r="A1465" s="28">
        <v>43861</v>
      </c>
      <c r="B1465" s="29">
        <v>63.035899999999998</v>
      </c>
      <c r="C1465" s="28">
        <f t="shared" si="31"/>
        <v>43831</v>
      </c>
    </row>
    <row r="1466" spans="1:3">
      <c r="A1466" s="28">
        <v>43860</v>
      </c>
      <c r="B1466" s="29">
        <v>62.3934</v>
      </c>
      <c r="C1466" s="28">
        <f t="shared" si="31"/>
        <v>43831</v>
      </c>
    </row>
    <row r="1467" spans="1:3">
      <c r="A1467" s="28">
        <v>43859</v>
      </c>
      <c r="B1467" s="29">
        <v>62.829900000000002</v>
      </c>
      <c r="C1467" s="28">
        <f t="shared" si="31"/>
        <v>43831</v>
      </c>
    </row>
    <row r="1468" spans="1:3">
      <c r="A1468" s="28">
        <v>43858</v>
      </c>
      <c r="B1468" s="29">
        <v>62.338000000000001</v>
      </c>
      <c r="C1468" s="28">
        <f t="shared" si="31"/>
        <v>43831</v>
      </c>
    </row>
    <row r="1469" spans="1:3">
      <c r="A1469" s="28">
        <v>43855</v>
      </c>
      <c r="B1469" s="29">
        <v>61.803100000000001</v>
      </c>
      <c r="C1469" s="28">
        <f t="shared" si="31"/>
        <v>43831</v>
      </c>
    </row>
    <row r="1470" spans="1:3">
      <c r="A1470" s="28">
        <v>43854</v>
      </c>
      <c r="B1470" s="29">
        <v>61.951500000000003</v>
      </c>
      <c r="C1470" s="28">
        <f t="shared" si="31"/>
        <v>43831</v>
      </c>
    </row>
    <row r="1471" spans="1:3">
      <c r="A1471" s="28">
        <v>43853</v>
      </c>
      <c r="B1471" s="29">
        <v>61.834299999999999</v>
      </c>
      <c r="C1471" s="28">
        <f t="shared" si="31"/>
        <v>43831</v>
      </c>
    </row>
    <row r="1472" spans="1:3">
      <c r="A1472" s="28">
        <v>43852</v>
      </c>
      <c r="B1472" s="29">
        <v>61.855200000000004</v>
      </c>
      <c r="C1472" s="28">
        <f t="shared" si="31"/>
        <v>43831</v>
      </c>
    </row>
    <row r="1473" spans="1:3">
      <c r="A1473" s="28">
        <v>43851</v>
      </c>
      <c r="B1473" s="29">
        <v>61.465400000000002</v>
      </c>
      <c r="C1473" s="28">
        <f t="shared" si="31"/>
        <v>43831</v>
      </c>
    </row>
    <row r="1474" spans="1:3">
      <c r="A1474" s="28">
        <v>43848</v>
      </c>
      <c r="B1474" s="29">
        <v>61.533299999999997</v>
      </c>
      <c r="C1474" s="28">
        <f t="shared" si="31"/>
        <v>43831</v>
      </c>
    </row>
    <row r="1475" spans="1:3">
      <c r="A1475" s="28">
        <v>43847</v>
      </c>
      <c r="B1475" s="29">
        <v>61.569400000000002</v>
      </c>
      <c r="C1475" s="28">
        <f t="shared" ref="C1475:C1538" si="32">DATE(YEAR(A1475),MONTH(A1475),1)</f>
        <v>43831</v>
      </c>
    </row>
    <row r="1476" spans="1:3">
      <c r="A1476" s="28">
        <v>43846</v>
      </c>
      <c r="B1476" s="29">
        <v>61.4328</v>
      </c>
      <c r="C1476" s="28">
        <f t="shared" si="32"/>
        <v>43831</v>
      </c>
    </row>
    <row r="1477" spans="1:3">
      <c r="A1477" s="28">
        <v>43845</v>
      </c>
      <c r="B1477" s="29">
        <v>61.414000000000001</v>
      </c>
      <c r="C1477" s="28">
        <f t="shared" si="32"/>
        <v>43831</v>
      </c>
    </row>
    <row r="1478" spans="1:3">
      <c r="A1478" s="28">
        <v>43844</v>
      </c>
      <c r="B1478" s="29">
        <v>60.947400000000002</v>
      </c>
      <c r="C1478" s="28">
        <f t="shared" si="32"/>
        <v>43831</v>
      </c>
    </row>
    <row r="1479" spans="1:3">
      <c r="A1479" s="28">
        <v>43841</v>
      </c>
      <c r="B1479" s="29">
        <v>61.263199999999998</v>
      </c>
      <c r="C1479" s="28">
        <f t="shared" si="32"/>
        <v>43831</v>
      </c>
    </row>
    <row r="1480" spans="1:3">
      <c r="A1480" s="28">
        <v>43840</v>
      </c>
      <c r="B1480" s="29">
        <v>61.234000000000002</v>
      </c>
      <c r="C1480" s="28">
        <f t="shared" si="32"/>
        <v>43831</v>
      </c>
    </row>
    <row r="1481" spans="1:3">
      <c r="A1481" s="28">
        <v>43831</v>
      </c>
      <c r="B1481" s="29">
        <v>61.905700000000003</v>
      </c>
      <c r="C1481" s="28">
        <f t="shared" si="32"/>
        <v>43831</v>
      </c>
    </row>
    <row r="1482" spans="1:3">
      <c r="A1482" s="28">
        <v>43830</v>
      </c>
      <c r="B1482" s="29">
        <v>61.905700000000003</v>
      </c>
      <c r="C1482" s="28">
        <f t="shared" si="32"/>
        <v>43800</v>
      </c>
    </row>
    <row r="1483" spans="1:3">
      <c r="A1483" s="28">
        <v>43827</v>
      </c>
      <c r="B1483" s="29">
        <v>62.031500000000001</v>
      </c>
      <c r="C1483" s="28">
        <f t="shared" si="32"/>
        <v>43800</v>
      </c>
    </row>
    <row r="1484" spans="1:3">
      <c r="A1484" s="28">
        <v>43826</v>
      </c>
      <c r="B1484" s="29">
        <v>61.767600000000002</v>
      </c>
      <c r="C1484" s="28">
        <f t="shared" si="32"/>
        <v>43800</v>
      </c>
    </row>
    <row r="1485" spans="1:3">
      <c r="A1485" s="28">
        <v>43825</v>
      </c>
      <c r="B1485" s="29">
        <v>61.7164</v>
      </c>
      <c r="C1485" s="28">
        <f t="shared" si="32"/>
        <v>43800</v>
      </c>
    </row>
    <row r="1486" spans="1:3">
      <c r="A1486" s="28">
        <v>43824</v>
      </c>
      <c r="B1486" s="29">
        <v>62.167299999999997</v>
      </c>
      <c r="C1486" s="28">
        <f t="shared" si="32"/>
        <v>43800</v>
      </c>
    </row>
    <row r="1487" spans="1:3">
      <c r="A1487" s="28">
        <v>43823</v>
      </c>
      <c r="B1487" s="29">
        <v>62.249899999999997</v>
      </c>
      <c r="C1487" s="28">
        <f t="shared" si="32"/>
        <v>43800</v>
      </c>
    </row>
    <row r="1488" spans="1:3">
      <c r="A1488" s="28">
        <v>43820</v>
      </c>
      <c r="B1488" s="29">
        <v>62.4071</v>
      </c>
      <c r="C1488" s="28">
        <f t="shared" si="32"/>
        <v>43800</v>
      </c>
    </row>
    <row r="1489" spans="1:3">
      <c r="A1489" s="28">
        <v>43819</v>
      </c>
      <c r="B1489" s="29">
        <v>62.528300000000002</v>
      </c>
      <c r="C1489" s="28">
        <f t="shared" si="32"/>
        <v>43800</v>
      </c>
    </row>
    <row r="1490" spans="1:3">
      <c r="A1490" s="28">
        <v>43818</v>
      </c>
      <c r="B1490" s="29">
        <v>62.583100000000002</v>
      </c>
      <c r="C1490" s="28">
        <f t="shared" si="32"/>
        <v>43800</v>
      </c>
    </row>
    <row r="1491" spans="1:3">
      <c r="A1491" s="28">
        <v>43817</v>
      </c>
      <c r="B1491" s="29">
        <v>62.532600000000002</v>
      </c>
      <c r="C1491" s="28">
        <f t="shared" si="32"/>
        <v>43800</v>
      </c>
    </row>
    <row r="1492" spans="1:3">
      <c r="A1492" s="28">
        <v>43816</v>
      </c>
      <c r="B1492" s="29">
        <v>62.768599999999999</v>
      </c>
      <c r="C1492" s="28">
        <f t="shared" si="32"/>
        <v>43800</v>
      </c>
    </row>
    <row r="1493" spans="1:3">
      <c r="A1493" s="28">
        <v>43813</v>
      </c>
      <c r="B1493" s="29">
        <v>62.554400000000001</v>
      </c>
      <c r="C1493" s="28">
        <f t="shared" si="32"/>
        <v>43800</v>
      </c>
    </row>
    <row r="1494" spans="1:3">
      <c r="A1494" s="28">
        <v>43812</v>
      </c>
      <c r="B1494" s="29">
        <v>63.225700000000003</v>
      </c>
      <c r="C1494" s="28">
        <f t="shared" si="32"/>
        <v>43800</v>
      </c>
    </row>
    <row r="1495" spans="1:3">
      <c r="A1495" s="28">
        <v>43811</v>
      </c>
      <c r="B1495" s="29">
        <v>63.565300000000001</v>
      </c>
      <c r="C1495" s="28">
        <f t="shared" si="32"/>
        <v>43800</v>
      </c>
    </row>
    <row r="1496" spans="1:3">
      <c r="A1496" s="28">
        <v>43810</v>
      </c>
      <c r="B1496" s="29">
        <v>63.578800000000001</v>
      </c>
      <c r="C1496" s="28">
        <f t="shared" si="32"/>
        <v>43800</v>
      </c>
    </row>
    <row r="1497" spans="1:3">
      <c r="A1497" s="28">
        <v>43809</v>
      </c>
      <c r="B1497" s="29">
        <v>63.724400000000003</v>
      </c>
      <c r="C1497" s="28">
        <f t="shared" si="32"/>
        <v>43800</v>
      </c>
    </row>
    <row r="1498" spans="1:3">
      <c r="A1498" s="28">
        <v>43806</v>
      </c>
      <c r="B1498" s="29">
        <v>63.718499999999999</v>
      </c>
      <c r="C1498" s="28">
        <f t="shared" si="32"/>
        <v>43800</v>
      </c>
    </row>
    <row r="1499" spans="1:3">
      <c r="A1499" s="28">
        <v>43805</v>
      </c>
      <c r="B1499" s="29">
        <v>63.813499999999998</v>
      </c>
      <c r="C1499" s="28">
        <f t="shared" si="32"/>
        <v>43800</v>
      </c>
    </row>
    <row r="1500" spans="1:3">
      <c r="A1500" s="28">
        <v>43804</v>
      </c>
      <c r="B1500" s="29">
        <v>64.194800000000001</v>
      </c>
      <c r="C1500" s="28">
        <f t="shared" si="32"/>
        <v>43800</v>
      </c>
    </row>
    <row r="1501" spans="1:3">
      <c r="A1501" s="28">
        <v>43803</v>
      </c>
      <c r="B1501" s="29">
        <v>64.140100000000004</v>
      </c>
      <c r="C1501" s="28">
        <f t="shared" si="32"/>
        <v>43800</v>
      </c>
    </row>
    <row r="1502" spans="1:3">
      <c r="A1502" s="28">
        <v>43802</v>
      </c>
      <c r="B1502" s="29">
        <v>64.409700000000001</v>
      </c>
      <c r="C1502" s="28">
        <f t="shared" si="32"/>
        <v>43800</v>
      </c>
    </row>
    <row r="1503" spans="1:3">
      <c r="A1503" s="28">
        <v>43799</v>
      </c>
      <c r="B1503" s="29">
        <v>64.081699999999998</v>
      </c>
      <c r="C1503" s="28">
        <f t="shared" si="32"/>
        <v>43770</v>
      </c>
    </row>
    <row r="1504" spans="1:3">
      <c r="A1504" s="28">
        <v>43798</v>
      </c>
      <c r="B1504" s="29">
        <v>64.100499999999997</v>
      </c>
      <c r="C1504" s="28">
        <f t="shared" si="32"/>
        <v>43770</v>
      </c>
    </row>
    <row r="1505" spans="1:3">
      <c r="A1505" s="28">
        <v>43797</v>
      </c>
      <c r="B1505" s="29">
        <v>63.972200000000001</v>
      </c>
      <c r="C1505" s="28">
        <f t="shared" si="32"/>
        <v>43770</v>
      </c>
    </row>
    <row r="1506" spans="1:3">
      <c r="A1506" s="28">
        <v>43796</v>
      </c>
      <c r="B1506" s="29">
        <v>64.023899999999998</v>
      </c>
      <c r="C1506" s="28">
        <f t="shared" si="32"/>
        <v>43770</v>
      </c>
    </row>
    <row r="1507" spans="1:3">
      <c r="A1507" s="28">
        <v>43795</v>
      </c>
      <c r="B1507" s="29">
        <v>63.7637</v>
      </c>
      <c r="C1507" s="28">
        <f t="shared" si="32"/>
        <v>43770</v>
      </c>
    </row>
    <row r="1508" spans="1:3">
      <c r="A1508" s="28">
        <v>43792</v>
      </c>
      <c r="B1508" s="29">
        <v>63.710099999999997</v>
      </c>
      <c r="C1508" s="28">
        <f t="shared" si="32"/>
        <v>43770</v>
      </c>
    </row>
    <row r="1509" spans="1:3">
      <c r="A1509" s="28">
        <v>43791</v>
      </c>
      <c r="B1509" s="29">
        <v>63.843000000000004</v>
      </c>
      <c r="C1509" s="28">
        <f t="shared" si="32"/>
        <v>43770</v>
      </c>
    </row>
    <row r="1510" spans="1:3">
      <c r="A1510" s="28">
        <v>43790</v>
      </c>
      <c r="B1510" s="29">
        <v>64.021299999999997</v>
      </c>
      <c r="C1510" s="28">
        <f t="shared" si="32"/>
        <v>43770</v>
      </c>
    </row>
    <row r="1511" spans="1:3">
      <c r="A1511" s="28">
        <v>43789</v>
      </c>
      <c r="B1511" s="29">
        <v>63.773000000000003</v>
      </c>
      <c r="C1511" s="28">
        <f t="shared" si="32"/>
        <v>43770</v>
      </c>
    </row>
    <row r="1512" spans="1:3">
      <c r="A1512" s="28">
        <v>43788</v>
      </c>
      <c r="B1512" s="29">
        <v>63.754199999999997</v>
      </c>
      <c r="C1512" s="28">
        <f t="shared" si="32"/>
        <v>43770</v>
      </c>
    </row>
    <row r="1513" spans="1:3">
      <c r="A1513" s="28">
        <v>43785</v>
      </c>
      <c r="B1513" s="29">
        <v>63.888100000000001</v>
      </c>
      <c r="C1513" s="28">
        <f t="shared" si="32"/>
        <v>43770</v>
      </c>
    </row>
    <row r="1514" spans="1:3">
      <c r="A1514" s="28">
        <v>43784</v>
      </c>
      <c r="B1514" s="29">
        <v>64.210099999999997</v>
      </c>
      <c r="C1514" s="28">
        <f t="shared" si="32"/>
        <v>43770</v>
      </c>
    </row>
    <row r="1515" spans="1:3">
      <c r="A1515" s="28">
        <v>43783</v>
      </c>
      <c r="B1515" s="29">
        <v>64.200900000000004</v>
      </c>
      <c r="C1515" s="28">
        <f t="shared" si="32"/>
        <v>43770</v>
      </c>
    </row>
    <row r="1516" spans="1:3">
      <c r="A1516" s="28">
        <v>43782</v>
      </c>
      <c r="B1516" s="29">
        <v>63.853000000000002</v>
      </c>
      <c r="C1516" s="28">
        <f t="shared" si="32"/>
        <v>43770</v>
      </c>
    </row>
    <row r="1517" spans="1:3">
      <c r="A1517" s="28">
        <v>43781</v>
      </c>
      <c r="B1517" s="29">
        <v>63.912100000000002</v>
      </c>
      <c r="C1517" s="28">
        <f t="shared" si="32"/>
        <v>43770</v>
      </c>
    </row>
    <row r="1518" spans="1:3">
      <c r="A1518" s="28">
        <v>43778</v>
      </c>
      <c r="B1518" s="29">
        <v>63.729500000000002</v>
      </c>
      <c r="C1518" s="28">
        <f t="shared" si="32"/>
        <v>43770</v>
      </c>
    </row>
    <row r="1519" spans="1:3">
      <c r="A1519" s="28">
        <v>43777</v>
      </c>
      <c r="B1519" s="29">
        <v>63.729799999999997</v>
      </c>
      <c r="C1519" s="28">
        <f t="shared" si="32"/>
        <v>43770</v>
      </c>
    </row>
    <row r="1520" spans="1:3">
      <c r="A1520" s="28">
        <v>43776</v>
      </c>
      <c r="B1520" s="29">
        <v>63.588000000000001</v>
      </c>
      <c r="C1520" s="28">
        <f t="shared" si="32"/>
        <v>43770</v>
      </c>
    </row>
    <row r="1521" spans="1:3">
      <c r="A1521" s="28">
        <v>43775</v>
      </c>
      <c r="B1521" s="29">
        <v>63.247999999999998</v>
      </c>
      <c r="C1521" s="28">
        <f t="shared" si="32"/>
        <v>43770</v>
      </c>
    </row>
    <row r="1522" spans="1:3">
      <c r="A1522" s="28">
        <v>43771</v>
      </c>
      <c r="B1522" s="29">
        <v>64.031599999999997</v>
      </c>
      <c r="C1522" s="28">
        <f t="shared" si="32"/>
        <v>43770</v>
      </c>
    </row>
    <row r="1523" spans="1:3">
      <c r="A1523" s="28">
        <v>43770</v>
      </c>
      <c r="B1523" s="29">
        <v>63.774799999999999</v>
      </c>
      <c r="C1523" s="28">
        <f t="shared" si="32"/>
        <v>43770</v>
      </c>
    </row>
    <row r="1524" spans="1:3">
      <c r="A1524" s="28">
        <v>43769</v>
      </c>
      <c r="B1524" s="29">
        <v>63.873399999999997</v>
      </c>
      <c r="C1524" s="28">
        <f t="shared" si="32"/>
        <v>43739</v>
      </c>
    </row>
    <row r="1525" spans="1:3">
      <c r="A1525" s="28">
        <v>43768</v>
      </c>
      <c r="B1525" s="29">
        <v>63.832000000000001</v>
      </c>
      <c r="C1525" s="28">
        <f t="shared" si="32"/>
        <v>43739</v>
      </c>
    </row>
    <row r="1526" spans="1:3">
      <c r="A1526" s="28">
        <v>43767</v>
      </c>
      <c r="B1526" s="29">
        <v>63.87</v>
      </c>
      <c r="C1526" s="28">
        <f t="shared" si="32"/>
        <v>43739</v>
      </c>
    </row>
    <row r="1527" spans="1:3">
      <c r="A1527" s="28">
        <v>43764</v>
      </c>
      <c r="B1527" s="29">
        <v>63.996600000000001</v>
      </c>
      <c r="C1527" s="28">
        <f t="shared" si="32"/>
        <v>43739</v>
      </c>
    </row>
    <row r="1528" spans="1:3">
      <c r="A1528" s="28">
        <v>43763</v>
      </c>
      <c r="B1528" s="29">
        <v>63.86</v>
      </c>
      <c r="C1528" s="28">
        <f t="shared" si="32"/>
        <v>43739</v>
      </c>
    </row>
    <row r="1529" spans="1:3">
      <c r="A1529" s="28">
        <v>43762</v>
      </c>
      <c r="B1529" s="29">
        <v>63.799700000000001</v>
      </c>
      <c r="C1529" s="28">
        <f t="shared" si="32"/>
        <v>43739</v>
      </c>
    </row>
    <row r="1530" spans="1:3">
      <c r="A1530" s="28">
        <v>43761</v>
      </c>
      <c r="B1530" s="29">
        <v>63.633600000000001</v>
      </c>
      <c r="C1530" s="28">
        <f t="shared" si="32"/>
        <v>43739</v>
      </c>
    </row>
    <row r="1531" spans="1:3">
      <c r="A1531" s="28">
        <v>43760</v>
      </c>
      <c r="B1531" s="29">
        <v>63.760599999999997</v>
      </c>
      <c r="C1531" s="28">
        <f t="shared" si="32"/>
        <v>43739</v>
      </c>
    </row>
    <row r="1532" spans="1:3">
      <c r="A1532" s="28">
        <v>43757</v>
      </c>
      <c r="B1532" s="29">
        <v>63.9542</v>
      </c>
      <c r="C1532" s="28">
        <f t="shared" si="32"/>
        <v>43739</v>
      </c>
    </row>
    <row r="1533" spans="1:3">
      <c r="A1533" s="28">
        <v>43756</v>
      </c>
      <c r="B1533" s="29">
        <v>64.014399999999995</v>
      </c>
      <c r="C1533" s="28">
        <f t="shared" si="32"/>
        <v>43739</v>
      </c>
    </row>
    <row r="1534" spans="1:3">
      <c r="A1534" s="28">
        <v>43755</v>
      </c>
      <c r="B1534" s="29">
        <v>64.345500000000001</v>
      </c>
      <c r="C1534" s="28">
        <f t="shared" si="32"/>
        <v>43739</v>
      </c>
    </row>
    <row r="1535" spans="1:3">
      <c r="A1535" s="28">
        <v>43754</v>
      </c>
      <c r="B1535" s="29">
        <v>64.254800000000003</v>
      </c>
      <c r="C1535" s="28">
        <f t="shared" si="32"/>
        <v>43739</v>
      </c>
    </row>
    <row r="1536" spans="1:3">
      <c r="A1536" s="28">
        <v>43753</v>
      </c>
      <c r="B1536" s="29">
        <v>64.365200000000002</v>
      </c>
      <c r="C1536" s="28">
        <f t="shared" si="32"/>
        <v>43739</v>
      </c>
    </row>
    <row r="1537" spans="1:3">
      <c r="A1537" s="28">
        <v>43750</v>
      </c>
      <c r="B1537" s="29">
        <v>64.223699999999994</v>
      </c>
      <c r="C1537" s="28">
        <f t="shared" si="32"/>
        <v>43739</v>
      </c>
    </row>
    <row r="1538" spans="1:3">
      <c r="A1538" s="28">
        <v>43749</v>
      </c>
      <c r="B1538" s="29">
        <v>64.741600000000005</v>
      </c>
      <c r="C1538" s="28">
        <f t="shared" si="32"/>
        <v>43739</v>
      </c>
    </row>
    <row r="1539" spans="1:3">
      <c r="A1539" s="28">
        <v>43748</v>
      </c>
      <c r="B1539" s="29">
        <v>65.0976</v>
      </c>
      <c r="C1539" s="28">
        <f t="shared" ref="C1539:C1602" si="33">DATE(YEAR(A1539),MONTH(A1539),1)</f>
        <v>43739</v>
      </c>
    </row>
    <row r="1540" spans="1:3">
      <c r="A1540" s="28">
        <v>43747</v>
      </c>
      <c r="B1540" s="29">
        <v>64.867199999999997</v>
      </c>
      <c r="C1540" s="28">
        <f t="shared" si="33"/>
        <v>43739</v>
      </c>
    </row>
    <row r="1541" spans="1:3">
      <c r="A1541" s="28">
        <v>43746</v>
      </c>
      <c r="B1541" s="29">
        <v>64.825900000000004</v>
      </c>
      <c r="C1541" s="28">
        <f t="shared" si="33"/>
        <v>43739</v>
      </c>
    </row>
    <row r="1542" spans="1:3">
      <c r="A1542" s="28">
        <v>43743</v>
      </c>
      <c r="B1542" s="29">
        <v>65.03</v>
      </c>
      <c r="C1542" s="28">
        <f t="shared" si="33"/>
        <v>43739</v>
      </c>
    </row>
    <row r="1543" spans="1:3">
      <c r="A1543" s="28">
        <v>43742</v>
      </c>
      <c r="B1543" s="29">
        <v>65.131200000000007</v>
      </c>
      <c r="C1543" s="28">
        <f t="shared" si="33"/>
        <v>43739</v>
      </c>
    </row>
    <row r="1544" spans="1:3">
      <c r="A1544" s="28">
        <v>43741</v>
      </c>
      <c r="B1544" s="29">
        <v>65.439899999999994</v>
      </c>
      <c r="C1544" s="28">
        <f t="shared" si="33"/>
        <v>43739</v>
      </c>
    </row>
    <row r="1545" spans="1:3">
      <c r="A1545" s="28">
        <v>43740</v>
      </c>
      <c r="B1545" s="29">
        <v>65.066999999999993</v>
      </c>
      <c r="C1545" s="28">
        <f t="shared" si="33"/>
        <v>43739</v>
      </c>
    </row>
    <row r="1546" spans="1:3">
      <c r="A1546" s="28">
        <v>43739</v>
      </c>
      <c r="B1546" s="29">
        <v>64.640699999999995</v>
      </c>
      <c r="C1546" s="28">
        <f t="shared" si="33"/>
        <v>43739</v>
      </c>
    </row>
    <row r="1547" spans="1:3">
      <c r="A1547" s="28">
        <v>43736</v>
      </c>
      <c r="B1547" s="29">
        <v>64.415599999999998</v>
      </c>
      <c r="C1547" s="28">
        <f t="shared" si="33"/>
        <v>43709</v>
      </c>
    </row>
    <row r="1548" spans="1:3">
      <c r="A1548" s="28">
        <v>43735</v>
      </c>
      <c r="B1548" s="29">
        <v>64.288799999999995</v>
      </c>
      <c r="C1548" s="28">
        <f t="shared" si="33"/>
        <v>43709</v>
      </c>
    </row>
    <row r="1549" spans="1:3">
      <c r="A1549" s="28">
        <v>43734</v>
      </c>
      <c r="B1549" s="29">
        <v>64.187299999999993</v>
      </c>
      <c r="C1549" s="28">
        <f t="shared" si="33"/>
        <v>43709</v>
      </c>
    </row>
    <row r="1550" spans="1:3">
      <c r="A1550" s="28">
        <v>43733</v>
      </c>
      <c r="B1550" s="29">
        <v>63.706000000000003</v>
      </c>
      <c r="C1550" s="28">
        <f t="shared" si="33"/>
        <v>43709</v>
      </c>
    </row>
    <row r="1551" spans="1:3">
      <c r="A1551" s="28">
        <v>43732</v>
      </c>
      <c r="B1551" s="29">
        <v>63.945300000000003</v>
      </c>
      <c r="C1551" s="28">
        <f t="shared" si="33"/>
        <v>43709</v>
      </c>
    </row>
    <row r="1552" spans="1:3">
      <c r="A1552" s="28">
        <v>43729</v>
      </c>
      <c r="B1552" s="29">
        <v>63.848700000000001</v>
      </c>
      <c r="C1552" s="28">
        <f t="shared" si="33"/>
        <v>43709</v>
      </c>
    </row>
    <row r="1553" spans="1:3">
      <c r="A1553" s="28">
        <v>43728</v>
      </c>
      <c r="B1553" s="29">
        <v>64.219899999999996</v>
      </c>
      <c r="C1553" s="28">
        <f t="shared" si="33"/>
        <v>43709</v>
      </c>
    </row>
    <row r="1554" spans="1:3">
      <c r="A1554" s="28">
        <v>43727</v>
      </c>
      <c r="B1554" s="29">
        <v>64.429000000000002</v>
      </c>
      <c r="C1554" s="28">
        <f t="shared" si="33"/>
        <v>43709</v>
      </c>
    </row>
    <row r="1555" spans="1:3">
      <c r="A1555" s="28">
        <v>43726</v>
      </c>
      <c r="B1555" s="29">
        <v>64.121300000000005</v>
      </c>
      <c r="C1555" s="28">
        <f t="shared" si="33"/>
        <v>43709</v>
      </c>
    </row>
    <row r="1556" spans="1:3">
      <c r="A1556" s="28">
        <v>43725</v>
      </c>
      <c r="B1556" s="29">
        <v>63.827199999999998</v>
      </c>
      <c r="C1556" s="28">
        <f t="shared" si="33"/>
        <v>43709</v>
      </c>
    </row>
    <row r="1557" spans="1:3">
      <c r="A1557" s="28">
        <v>43722</v>
      </c>
      <c r="B1557" s="29">
        <v>64.471100000000007</v>
      </c>
      <c r="C1557" s="28">
        <f t="shared" si="33"/>
        <v>43709</v>
      </c>
    </row>
    <row r="1558" spans="1:3">
      <c r="A1558" s="28">
        <v>43721</v>
      </c>
      <c r="B1558" s="29">
        <v>65.190899999999999</v>
      </c>
      <c r="C1558" s="28">
        <f t="shared" si="33"/>
        <v>43709</v>
      </c>
    </row>
    <row r="1559" spans="1:3">
      <c r="A1559" s="28">
        <v>43720</v>
      </c>
      <c r="B1559" s="29">
        <v>65.432100000000005</v>
      </c>
      <c r="C1559" s="28">
        <f t="shared" si="33"/>
        <v>43709</v>
      </c>
    </row>
    <row r="1560" spans="1:3">
      <c r="A1560" s="28">
        <v>43719</v>
      </c>
      <c r="B1560" s="29">
        <v>65.439300000000003</v>
      </c>
      <c r="C1560" s="28">
        <f t="shared" si="33"/>
        <v>43709</v>
      </c>
    </row>
    <row r="1561" spans="1:3">
      <c r="A1561" s="28">
        <v>43718</v>
      </c>
      <c r="B1561" s="29">
        <v>65.569800000000001</v>
      </c>
      <c r="C1561" s="28">
        <f t="shared" si="33"/>
        <v>43709</v>
      </c>
    </row>
    <row r="1562" spans="1:3">
      <c r="A1562" s="28">
        <v>43715</v>
      </c>
      <c r="B1562" s="29">
        <v>65.998099999999994</v>
      </c>
      <c r="C1562" s="28">
        <f t="shared" si="33"/>
        <v>43709</v>
      </c>
    </row>
    <row r="1563" spans="1:3">
      <c r="A1563" s="28">
        <v>43714</v>
      </c>
      <c r="B1563" s="29">
        <v>66.052800000000005</v>
      </c>
      <c r="C1563" s="28">
        <f t="shared" si="33"/>
        <v>43709</v>
      </c>
    </row>
    <row r="1564" spans="1:3">
      <c r="A1564" s="28">
        <v>43713</v>
      </c>
      <c r="B1564" s="29">
        <v>66.500200000000007</v>
      </c>
      <c r="C1564" s="28">
        <f t="shared" si="33"/>
        <v>43709</v>
      </c>
    </row>
    <row r="1565" spans="1:3">
      <c r="A1565" s="28">
        <v>43712</v>
      </c>
      <c r="B1565" s="29">
        <v>66.907200000000003</v>
      </c>
      <c r="C1565" s="28">
        <f t="shared" si="33"/>
        <v>43709</v>
      </c>
    </row>
    <row r="1566" spans="1:3">
      <c r="A1566" s="28">
        <v>43711</v>
      </c>
      <c r="B1566" s="29">
        <v>66.623500000000007</v>
      </c>
      <c r="C1566" s="28">
        <f t="shared" si="33"/>
        <v>43709</v>
      </c>
    </row>
    <row r="1567" spans="1:3">
      <c r="A1567" s="28">
        <v>43708</v>
      </c>
      <c r="B1567" s="29">
        <v>66.489699999999999</v>
      </c>
      <c r="C1567" s="28">
        <f t="shared" si="33"/>
        <v>43678</v>
      </c>
    </row>
    <row r="1568" spans="1:3">
      <c r="A1568" s="28">
        <v>43707</v>
      </c>
      <c r="B1568" s="29">
        <v>66.747100000000003</v>
      </c>
      <c r="C1568" s="28">
        <f t="shared" si="33"/>
        <v>43678</v>
      </c>
    </row>
    <row r="1569" spans="1:3">
      <c r="A1569" s="28">
        <v>43706</v>
      </c>
      <c r="B1569" s="29">
        <v>66.412700000000001</v>
      </c>
      <c r="C1569" s="28">
        <f t="shared" si="33"/>
        <v>43678</v>
      </c>
    </row>
    <row r="1570" spans="1:3">
      <c r="A1570" s="28">
        <v>43705</v>
      </c>
      <c r="B1570" s="29">
        <v>66.260800000000003</v>
      </c>
      <c r="C1570" s="28">
        <f t="shared" si="33"/>
        <v>43678</v>
      </c>
    </row>
    <row r="1571" spans="1:3">
      <c r="A1571" s="28">
        <v>43704</v>
      </c>
      <c r="B1571" s="29">
        <v>65.973500000000001</v>
      </c>
      <c r="C1571" s="28">
        <f t="shared" si="33"/>
        <v>43678</v>
      </c>
    </row>
    <row r="1572" spans="1:3">
      <c r="A1572" s="28">
        <v>43701</v>
      </c>
      <c r="B1572" s="29">
        <v>65.604600000000005</v>
      </c>
      <c r="C1572" s="28">
        <f t="shared" si="33"/>
        <v>43678</v>
      </c>
    </row>
    <row r="1573" spans="1:3">
      <c r="A1573" s="28">
        <v>43700</v>
      </c>
      <c r="B1573" s="29">
        <v>65.619600000000005</v>
      </c>
      <c r="C1573" s="28">
        <f t="shared" si="33"/>
        <v>43678</v>
      </c>
    </row>
    <row r="1574" spans="1:3">
      <c r="A1574" s="28">
        <v>43699</v>
      </c>
      <c r="B1574" s="29">
        <v>66.263000000000005</v>
      </c>
      <c r="C1574" s="28">
        <f t="shared" si="33"/>
        <v>43678</v>
      </c>
    </row>
    <row r="1575" spans="1:3">
      <c r="A1575" s="28">
        <v>43698</v>
      </c>
      <c r="B1575" s="29">
        <v>66.784000000000006</v>
      </c>
      <c r="C1575" s="28">
        <f t="shared" si="33"/>
        <v>43678</v>
      </c>
    </row>
    <row r="1576" spans="1:3">
      <c r="A1576" s="28">
        <v>43697</v>
      </c>
      <c r="B1576" s="29">
        <v>66.608199999999997</v>
      </c>
      <c r="C1576" s="28">
        <f t="shared" si="33"/>
        <v>43678</v>
      </c>
    </row>
    <row r="1577" spans="1:3">
      <c r="A1577" s="28">
        <v>43694</v>
      </c>
      <c r="B1577" s="29">
        <v>65.996099999999998</v>
      </c>
      <c r="C1577" s="28">
        <f t="shared" si="33"/>
        <v>43678</v>
      </c>
    </row>
    <row r="1578" spans="1:3">
      <c r="A1578" s="28">
        <v>43693</v>
      </c>
      <c r="B1578" s="29">
        <v>65.890699999999995</v>
      </c>
      <c r="C1578" s="28">
        <f t="shared" si="33"/>
        <v>43678</v>
      </c>
    </row>
    <row r="1579" spans="1:3">
      <c r="A1579" s="28">
        <v>43692</v>
      </c>
      <c r="B1579" s="29">
        <v>65.203199999999995</v>
      </c>
      <c r="C1579" s="28">
        <f t="shared" si="33"/>
        <v>43678</v>
      </c>
    </row>
    <row r="1580" spans="1:3">
      <c r="A1580" s="28">
        <v>43691</v>
      </c>
      <c r="B1580" s="29">
        <v>65.601699999999994</v>
      </c>
      <c r="C1580" s="28">
        <f t="shared" si="33"/>
        <v>43678</v>
      </c>
    </row>
    <row r="1581" spans="1:3">
      <c r="A1581" s="28">
        <v>43690</v>
      </c>
      <c r="B1581" s="29">
        <v>65.428700000000006</v>
      </c>
      <c r="C1581" s="28">
        <f t="shared" si="33"/>
        <v>43678</v>
      </c>
    </row>
    <row r="1582" spans="1:3">
      <c r="A1582" s="28">
        <v>43687</v>
      </c>
      <c r="B1582" s="29">
        <v>65.254300000000001</v>
      </c>
      <c r="C1582" s="28">
        <f t="shared" si="33"/>
        <v>43678</v>
      </c>
    </row>
    <row r="1583" spans="1:3">
      <c r="A1583" s="28">
        <v>43686</v>
      </c>
      <c r="B1583" s="29">
        <v>65.129900000000006</v>
      </c>
      <c r="C1583" s="28">
        <f t="shared" si="33"/>
        <v>43678</v>
      </c>
    </row>
    <row r="1584" spans="1:3">
      <c r="A1584" s="28">
        <v>43685</v>
      </c>
      <c r="B1584" s="29">
        <v>65.093199999999996</v>
      </c>
      <c r="C1584" s="28">
        <f t="shared" si="33"/>
        <v>43678</v>
      </c>
    </row>
    <row r="1585" spans="1:3">
      <c r="A1585" s="28">
        <v>43684</v>
      </c>
      <c r="B1585" s="29">
        <v>65.203000000000003</v>
      </c>
      <c r="C1585" s="28">
        <f t="shared" si="33"/>
        <v>43678</v>
      </c>
    </row>
    <row r="1586" spans="1:3">
      <c r="A1586" s="28">
        <v>43683</v>
      </c>
      <c r="B1586" s="29">
        <v>65.054599999999994</v>
      </c>
      <c r="C1586" s="28">
        <f t="shared" si="33"/>
        <v>43678</v>
      </c>
    </row>
    <row r="1587" spans="1:3">
      <c r="A1587" s="28">
        <v>43680</v>
      </c>
      <c r="B1587" s="29">
        <v>64.642300000000006</v>
      </c>
      <c r="C1587" s="28">
        <f t="shared" si="33"/>
        <v>43678</v>
      </c>
    </row>
    <row r="1588" spans="1:3">
      <c r="A1588" s="28">
        <v>43679</v>
      </c>
      <c r="B1588" s="29">
        <v>63.834000000000003</v>
      </c>
      <c r="C1588" s="28">
        <f t="shared" si="33"/>
        <v>43678</v>
      </c>
    </row>
    <row r="1589" spans="1:3">
      <c r="A1589" s="28">
        <v>43678</v>
      </c>
      <c r="B1589" s="29">
        <v>63.417200000000001</v>
      </c>
      <c r="C1589" s="28">
        <f t="shared" si="33"/>
        <v>43678</v>
      </c>
    </row>
    <row r="1590" spans="1:3">
      <c r="A1590" s="28">
        <v>43677</v>
      </c>
      <c r="B1590" s="29">
        <v>63.379100000000001</v>
      </c>
      <c r="C1590" s="28">
        <f t="shared" si="33"/>
        <v>43647</v>
      </c>
    </row>
    <row r="1591" spans="1:3">
      <c r="A1591" s="28">
        <v>43676</v>
      </c>
      <c r="B1591" s="29">
        <v>63.521000000000001</v>
      </c>
      <c r="C1591" s="28">
        <f t="shared" si="33"/>
        <v>43647</v>
      </c>
    </row>
    <row r="1592" spans="1:3">
      <c r="A1592" s="28">
        <v>43673</v>
      </c>
      <c r="B1592" s="29">
        <v>63.127099999999999</v>
      </c>
      <c r="C1592" s="28">
        <f t="shared" si="33"/>
        <v>43647</v>
      </c>
    </row>
    <row r="1593" spans="1:3">
      <c r="A1593" s="28">
        <v>43672</v>
      </c>
      <c r="B1593" s="29">
        <v>63.157200000000003</v>
      </c>
      <c r="C1593" s="28">
        <f t="shared" si="33"/>
        <v>43647</v>
      </c>
    </row>
    <row r="1594" spans="1:3">
      <c r="A1594" s="28">
        <v>43671</v>
      </c>
      <c r="B1594" s="29">
        <v>63.116199999999999</v>
      </c>
      <c r="C1594" s="28">
        <f t="shared" si="33"/>
        <v>43647</v>
      </c>
    </row>
    <row r="1595" spans="1:3">
      <c r="A1595" s="28">
        <v>43670</v>
      </c>
      <c r="B1595" s="29">
        <v>63.128999999999998</v>
      </c>
      <c r="C1595" s="28">
        <f t="shared" si="33"/>
        <v>43647</v>
      </c>
    </row>
    <row r="1596" spans="1:3">
      <c r="A1596" s="28">
        <v>43669</v>
      </c>
      <c r="B1596" s="29">
        <v>62.977600000000002</v>
      </c>
      <c r="C1596" s="28">
        <f t="shared" si="33"/>
        <v>43647</v>
      </c>
    </row>
    <row r="1597" spans="1:3">
      <c r="A1597" s="28">
        <v>43666</v>
      </c>
      <c r="B1597" s="29">
        <v>62.866599999999998</v>
      </c>
      <c r="C1597" s="28">
        <f t="shared" si="33"/>
        <v>43647</v>
      </c>
    </row>
    <row r="1598" spans="1:3">
      <c r="A1598" s="28">
        <v>43665</v>
      </c>
      <c r="B1598" s="29">
        <v>62.828600000000002</v>
      </c>
      <c r="C1598" s="28">
        <f t="shared" si="33"/>
        <v>43647</v>
      </c>
    </row>
    <row r="1599" spans="1:3">
      <c r="A1599" s="28">
        <v>43664</v>
      </c>
      <c r="B1599" s="29">
        <v>62.945099999999996</v>
      </c>
      <c r="C1599" s="28">
        <f t="shared" si="33"/>
        <v>43647</v>
      </c>
    </row>
    <row r="1600" spans="1:3">
      <c r="A1600" s="28">
        <v>43663</v>
      </c>
      <c r="B1600" s="29">
        <v>62.812899999999999</v>
      </c>
      <c r="C1600" s="28">
        <f t="shared" si="33"/>
        <v>43647</v>
      </c>
    </row>
    <row r="1601" spans="1:3">
      <c r="A1601" s="28">
        <v>43662</v>
      </c>
      <c r="B1601" s="29">
        <v>62.828000000000003</v>
      </c>
      <c r="C1601" s="28">
        <f t="shared" si="33"/>
        <v>43647</v>
      </c>
    </row>
    <row r="1602" spans="1:3">
      <c r="A1602" s="28">
        <v>43659</v>
      </c>
      <c r="B1602" s="29">
        <v>63.020400000000002</v>
      </c>
      <c r="C1602" s="28">
        <f t="shared" si="33"/>
        <v>43647</v>
      </c>
    </row>
    <row r="1603" spans="1:3">
      <c r="A1603" s="28">
        <v>43658</v>
      </c>
      <c r="B1603" s="29">
        <v>62.994399999999999</v>
      </c>
      <c r="C1603" s="28">
        <f t="shared" ref="C1603:C1666" si="34">DATE(YEAR(A1603),MONTH(A1603),1)</f>
        <v>43647</v>
      </c>
    </row>
    <row r="1604" spans="1:3">
      <c r="A1604" s="28">
        <v>43657</v>
      </c>
      <c r="B1604" s="29">
        <v>63.7988</v>
      </c>
      <c r="C1604" s="28">
        <f t="shared" si="34"/>
        <v>43647</v>
      </c>
    </row>
    <row r="1605" spans="1:3">
      <c r="A1605" s="28">
        <v>43656</v>
      </c>
      <c r="B1605" s="29">
        <v>63.765999999999998</v>
      </c>
      <c r="C1605" s="28">
        <f t="shared" si="34"/>
        <v>43647</v>
      </c>
    </row>
    <row r="1606" spans="1:3">
      <c r="A1606" s="28">
        <v>43655</v>
      </c>
      <c r="B1606" s="29">
        <v>63.869900000000001</v>
      </c>
      <c r="C1606" s="28">
        <f t="shared" si="34"/>
        <v>43647</v>
      </c>
    </row>
    <row r="1607" spans="1:3">
      <c r="A1607" s="28">
        <v>43652</v>
      </c>
      <c r="B1607" s="29">
        <v>63.584099999999999</v>
      </c>
      <c r="C1607" s="28">
        <f t="shared" si="34"/>
        <v>43647</v>
      </c>
    </row>
    <row r="1608" spans="1:3">
      <c r="A1608" s="28">
        <v>43651</v>
      </c>
      <c r="B1608" s="29">
        <v>63.401299999999999</v>
      </c>
      <c r="C1608" s="28">
        <f t="shared" si="34"/>
        <v>43647</v>
      </c>
    </row>
    <row r="1609" spans="1:3">
      <c r="A1609" s="28">
        <v>43650</v>
      </c>
      <c r="B1609" s="29">
        <v>63.495100000000001</v>
      </c>
      <c r="C1609" s="28">
        <f t="shared" si="34"/>
        <v>43647</v>
      </c>
    </row>
    <row r="1610" spans="1:3">
      <c r="A1610" s="28">
        <v>43649</v>
      </c>
      <c r="B1610" s="29">
        <v>63.226500000000001</v>
      </c>
      <c r="C1610" s="28">
        <f t="shared" si="34"/>
        <v>43647</v>
      </c>
    </row>
    <row r="1611" spans="1:3">
      <c r="A1611" s="28">
        <v>43648</v>
      </c>
      <c r="B1611" s="29">
        <v>63.054099999999998</v>
      </c>
      <c r="C1611" s="28">
        <f t="shared" si="34"/>
        <v>43647</v>
      </c>
    </row>
    <row r="1612" spans="1:3">
      <c r="A1612" s="28">
        <v>43645</v>
      </c>
      <c r="B1612" s="29">
        <v>63.075600000000001</v>
      </c>
      <c r="C1612" s="28">
        <f t="shared" si="34"/>
        <v>43617</v>
      </c>
    </row>
    <row r="1613" spans="1:3">
      <c r="A1613" s="28">
        <v>43644</v>
      </c>
      <c r="B1613" s="29">
        <v>63.045200000000001</v>
      </c>
      <c r="C1613" s="28">
        <f t="shared" si="34"/>
        <v>43617</v>
      </c>
    </row>
    <row r="1614" spans="1:3">
      <c r="A1614" s="28">
        <v>43643</v>
      </c>
      <c r="B1614" s="29">
        <v>62.808300000000003</v>
      </c>
      <c r="C1614" s="28">
        <f t="shared" si="34"/>
        <v>43617</v>
      </c>
    </row>
    <row r="1615" spans="1:3">
      <c r="A1615" s="28">
        <v>43642</v>
      </c>
      <c r="B1615" s="29">
        <v>62.5229</v>
      </c>
      <c r="C1615" s="28">
        <f t="shared" si="34"/>
        <v>43617</v>
      </c>
    </row>
    <row r="1616" spans="1:3">
      <c r="A1616" s="28">
        <v>43641</v>
      </c>
      <c r="B1616" s="29">
        <v>62.909500000000001</v>
      </c>
      <c r="C1616" s="28">
        <f t="shared" si="34"/>
        <v>43617</v>
      </c>
    </row>
    <row r="1617" spans="1:3">
      <c r="A1617" s="28">
        <v>43638</v>
      </c>
      <c r="B1617" s="29">
        <v>63.1295</v>
      </c>
      <c r="C1617" s="28">
        <f t="shared" si="34"/>
        <v>43617</v>
      </c>
    </row>
    <row r="1618" spans="1:3">
      <c r="A1618" s="28">
        <v>43637</v>
      </c>
      <c r="B1618" s="29">
        <v>63.387700000000002</v>
      </c>
      <c r="C1618" s="28">
        <f t="shared" si="34"/>
        <v>43617</v>
      </c>
    </row>
    <row r="1619" spans="1:3">
      <c r="A1619" s="28">
        <v>43636</v>
      </c>
      <c r="B1619" s="29">
        <v>63.979399999999998</v>
      </c>
      <c r="C1619" s="28">
        <f t="shared" si="34"/>
        <v>43617</v>
      </c>
    </row>
    <row r="1620" spans="1:3">
      <c r="A1620" s="28">
        <v>43635</v>
      </c>
      <c r="B1620" s="29">
        <v>64.3352</v>
      </c>
      <c r="C1620" s="28">
        <f t="shared" si="34"/>
        <v>43617</v>
      </c>
    </row>
    <row r="1621" spans="1:3">
      <c r="A1621" s="28">
        <v>43634</v>
      </c>
      <c r="B1621" s="29">
        <v>64.318700000000007</v>
      </c>
      <c r="C1621" s="28">
        <f t="shared" si="34"/>
        <v>43617</v>
      </c>
    </row>
    <row r="1622" spans="1:3">
      <c r="A1622" s="28">
        <v>43631</v>
      </c>
      <c r="B1622" s="29">
        <v>64.432599999999994</v>
      </c>
      <c r="C1622" s="28">
        <f t="shared" si="34"/>
        <v>43617</v>
      </c>
    </row>
    <row r="1623" spans="1:3">
      <c r="A1623" s="28">
        <v>43630</v>
      </c>
      <c r="B1623" s="29">
        <v>64.631399999999999</v>
      </c>
      <c r="C1623" s="28">
        <f t="shared" si="34"/>
        <v>43617</v>
      </c>
    </row>
    <row r="1624" spans="1:3">
      <c r="A1624" s="28">
        <v>43628</v>
      </c>
      <c r="B1624" s="29">
        <v>64.515799999999999</v>
      </c>
      <c r="C1624" s="28">
        <f t="shared" si="34"/>
        <v>43617</v>
      </c>
    </row>
    <row r="1625" spans="1:3">
      <c r="A1625" s="28">
        <v>43627</v>
      </c>
      <c r="B1625" s="29">
        <v>64.791899999999998</v>
      </c>
      <c r="C1625" s="28">
        <f t="shared" si="34"/>
        <v>43617</v>
      </c>
    </row>
    <row r="1626" spans="1:3">
      <c r="A1626" s="28">
        <v>43624</v>
      </c>
      <c r="B1626" s="29">
        <v>65.039500000000004</v>
      </c>
      <c r="C1626" s="28">
        <f t="shared" si="34"/>
        <v>43617</v>
      </c>
    </row>
    <row r="1627" spans="1:3">
      <c r="A1627" s="28">
        <v>43623</v>
      </c>
      <c r="B1627" s="29">
        <v>65.233999999999995</v>
      </c>
      <c r="C1627" s="28">
        <f t="shared" si="34"/>
        <v>43617</v>
      </c>
    </row>
    <row r="1628" spans="1:3">
      <c r="A1628" s="28">
        <v>43622</v>
      </c>
      <c r="B1628" s="29">
        <v>65.124300000000005</v>
      </c>
      <c r="C1628" s="28">
        <f t="shared" si="34"/>
        <v>43617</v>
      </c>
    </row>
    <row r="1629" spans="1:3">
      <c r="A1629" s="28">
        <v>43621</v>
      </c>
      <c r="B1629" s="29">
        <v>65.1614</v>
      </c>
      <c r="C1629" s="28">
        <f t="shared" si="34"/>
        <v>43617</v>
      </c>
    </row>
    <row r="1630" spans="1:3">
      <c r="A1630" s="28">
        <v>43620</v>
      </c>
      <c r="B1630" s="29">
        <v>65.554699999999997</v>
      </c>
      <c r="C1630" s="28">
        <f t="shared" si="34"/>
        <v>43617</v>
      </c>
    </row>
    <row r="1631" spans="1:3">
      <c r="A1631" s="28">
        <v>43617</v>
      </c>
      <c r="B1631" s="29">
        <v>65.383399999999995</v>
      </c>
      <c r="C1631" s="28">
        <f t="shared" si="34"/>
        <v>43617</v>
      </c>
    </row>
    <row r="1632" spans="1:3">
      <c r="A1632" s="28">
        <v>43616</v>
      </c>
      <c r="B1632" s="29">
        <v>65.058300000000003</v>
      </c>
      <c r="C1632" s="28">
        <f t="shared" si="34"/>
        <v>43586</v>
      </c>
    </row>
    <row r="1633" spans="1:3">
      <c r="A1633" s="28">
        <v>43615</v>
      </c>
      <c r="B1633" s="29">
        <v>64.9084</v>
      </c>
      <c r="C1633" s="28">
        <f t="shared" si="34"/>
        <v>43586</v>
      </c>
    </row>
    <row r="1634" spans="1:3">
      <c r="A1634" s="28">
        <v>43614</v>
      </c>
      <c r="B1634" s="29">
        <v>64.539400000000001</v>
      </c>
      <c r="C1634" s="28">
        <f t="shared" si="34"/>
        <v>43586</v>
      </c>
    </row>
    <row r="1635" spans="1:3">
      <c r="A1635" s="28">
        <v>43613</v>
      </c>
      <c r="B1635" s="29">
        <v>64.4636</v>
      </c>
      <c r="C1635" s="28">
        <f t="shared" si="34"/>
        <v>43586</v>
      </c>
    </row>
    <row r="1636" spans="1:3">
      <c r="A1636" s="28">
        <v>43610</v>
      </c>
      <c r="B1636" s="29">
        <v>64.610600000000005</v>
      </c>
      <c r="C1636" s="28">
        <f t="shared" si="34"/>
        <v>43586</v>
      </c>
    </row>
    <row r="1637" spans="1:3">
      <c r="A1637" s="28">
        <v>43609</v>
      </c>
      <c r="B1637" s="29">
        <v>64.491299999999995</v>
      </c>
      <c r="C1637" s="28">
        <f t="shared" si="34"/>
        <v>43586</v>
      </c>
    </row>
    <row r="1638" spans="1:3">
      <c r="A1638" s="28">
        <v>43608</v>
      </c>
      <c r="B1638" s="29">
        <v>64.415599999999998</v>
      </c>
      <c r="C1638" s="28">
        <f t="shared" si="34"/>
        <v>43586</v>
      </c>
    </row>
    <row r="1639" spans="1:3">
      <c r="A1639" s="28">
        <v>43607</v>
      </c>
      <c r="B1639" s="29">
        <v>64.537199999999999</v>
      </c>
      <c r="C1639" s="28">
        <f t="shared" si="34"/>
        <v>43586</v>
      </c>
    </row>
    <row r="1640" spans="1:3">
      <c r="A1640" s="28">
        <v>43606</v>
      </c>
      <c r="B1640" s="29">
        <v>64.488799999999998</v>
      </c>
      <c r="C1640" s="28">
        <f t="shared" si="34"/>
        <v>43586</v>
      </c>
    </row>
    <row r="1641" spans="1:3">
      <c r="A1641" s="28">
        <v>43603</v>
      </c>
      <c r="B1641" s="29">
        <v>64.6327</v>
      </c>
      <c r="C1641" s="28">
        <f t="shared" si="34"/>
        <v>43586</v>
      </c>
    </row>
    <row r="1642" spans="1:3">
      <c r="A1642" s="28">
        <v>43602</v>
      </c>
      <c r="B1642" s="29">
        <v>64.559799999999996</v>
      </c>
      <c r="C1642" s="28">
        <f t="shared" si="34"/>
        <v>43586</v>
      </c>
    </row>
    <row r="1643" spans="1:3">
      <c r="A1643" s="28">
        <v>43601</v>
      </c>
      <c r="B1643" s="29">
        <v>64.8489</v>
      </c>
      <c r="C1643" s="28">
        <f t="shared" si="34"/>
        <v>43586</v>
      </c>
    </row>
    <row r="1644" spans="1:3">
      <c r="A1644" s="28">
        <v>43600</v>
      </c>
      <c r="B1644" s="29">
        <v>65.3001</v>
      </c>
      <c r="C1644" s="28">
        <f t="shared" si="34"/>
        <v>43586</v>
      </c>
    </row>
    <row r="1645" spans="1:3">
      <c r="A1645" s="28">
        <v>43599</v>
      </c>
      <c r="B1645" s="29">
        <v>65.470299999999995</v>
      </c>
      <c r="C1645" s="28">
        <f t="shared" si="34"/>
        <v>43586</v>
      </c>
    </row>
    <row r="1646" spans="1:3">
      <c r="A1646" s="28">
        <v>43594</v>
      </c>
      <c r="B1646" s="29">
        <v>65.228700000000003</v>
      </c>
      <c r="C1646" s="28">
        <f t="shared" si="34"/>
        <v>43586</v>
      </c>
    </row>
    <row r="1647" spans="1:3">
      <c r="A1647" s="28">
        <v>43593</v>
      </c>
      <c r="B1647" s="29">
        <v>65.2166</v>
      </c>
      <c r="C1647" s="28">
        <f t="shared" si="34"/>
        <v>43586</v>
      </c>
    </row>
    <row r="1648" spans="1:3">
      <c r="A1648" s="28">
        <v>43592</v>
      </c>
      <c r="B1648" s="29">
        <v>65.334999999999994</v>
      </c>
      <c r="C1648" s="28">
        <f t="shared" si="34"/>
        <v>43586</v>
      </c>
    </row>
    <row r="1649" spans="1:3">
      <c r="A1649" s="28">
        <v>43586</v>
      </c>
      <c r="B1649" s="29">
        <v>64.631399999999999</v>
      </c>
      <c r="C1649" s="28">
        <f t="shared" si="34"/>
        <v>43586</v>
      </c>
    </row>
    <row r="1650" spans="1:3">
      <c r="A1650" s="28">
        <v>43585</v>
      </c>
      <c r="B1650" s="29">
        <v>64.691699999999997</v>
      </c>
      <c r="C1650" s="28">
        <f t="shared" si="34"/>
        <v>43556</v>
      </c>
    </row>
    <row r="1651" spans="1:3">
      <c r="A1651" s="28">
        <v>43582</v>
      </c>
      <c r="B1651" s="29">
        <v>64.705299999999994</v>
      </c>
      <c r="C1651" s="28">
        <f t="shared" si="34"/>
        <v>43556</v>
      </c>
    </row>
    <row r="1652" spans="1:3">
      <c r="A1652" s="28">
        <v>43581</v>
      </c>
      <c r="B1652" s="29">
        <v>64.679400000000001</v>
      </c>
      <c r="C1652" s="28">
        <f t="shared" si="34"/>
        <v>43556</v>
      </c>
    </row>
    <row r="1653" spans="1:3">
      <c r="A1653" s="28">
        <v>43580</v>
      </c>
      <c r="B1653" s="29">
        <v>63.979799999999997</v>
      </c>
      <c r="C1653" s="28">
        <f t="shared" si="34"/>
        <v>43556</v>
      </c>
    </row>
    <row r="1654" spans="1:3">
      <c r="A1654" s="28">
        <v>43579</v>
      </c>
      <c r="B1654" s="29">
        <v>63.790599999999998</v>
      </c>
      <c r="C1654" s="28">
        <f t="shared" si="34"/>
        <v>43556</v>
      </c>
    </row>
    <row r="1655" spans="1:3">
      <c r="A1655" s="28">
        <v>43578</v>
      </c>
      <c r="B1655" s="29">
        <v>63.786000000000001</v>
      </c>
      <c r="C1655" s="28">
        <f t="shared" si="34"/>
        <v>43556</v>
      </c>
    </row>
    <row r="1656" spans="1:3">
      <c r="A1656" s="28">
        <v>43575</v>
      </c>
      <c r="B1656" s="29">
        <v>63.9602</v>
      </c>
      <c r="C1656" s="28">
        <f t="shared" si="34"/>
        <v>43556</v>
      </c>
    </row>
    <row r="1657" spans="1:3">
      <c r="A1657" s="28">
        <v>43574</v>
      </c>
      <c r="B1657" s="29">
        <v>64.068799999999996</v>
      </c>
      <c r="C1657" s="28">
        <f t="shared" si="34"/>
        <v>43556</v>
      </c>
    </row>
    <row r="1658" spans="1:3">
      <c r="A1658" s="28">
        <v>43573</v>
      </c>
      <c r="B1658" s="29">
        <v>63.945</v>
      </c>
      <c r="C1658" s="28">
        <f t="shared" si="34"/>
        <v>43556</v>
      </c>
    </row>
    <row r="1659" spans="1:3">
      <c r="A1659" s="28">
        <v>43572</v>
      </c>
      <c r="B1659" s="29">
        <v>64.242199999999997</v>
      </c>
      <c r="C1659" s="28">
        <f t="shared" si="34"/>
        <v>43556</v>
      </c>
    </row>
    <row r="1660" spans="1:3">
      <c r="A1660" s="28">
        <v>43571</v>
      </c>
      <c r="B1660" s="29">
        <v>64.246899999999997</v>
      </c>
      <c r="C1660" s="28">
        <f t="shared" si="34"/>
        <v>43556</v>
      </c>
    </row>
    <row r="1661" spans="1:3">
      <c r="A1661" s="28">
        <v>43568</v>
      </c>
      <c r="B1661" s="29">
        <v>64.517099999999999</v>
      </c>
      <c r="C1661" s="28">
        <f t="shared" si="34"/>
        <v>43556</v>
      </c>
    </row>
    <row r="1662" spans="1:3">
      <c r="A1662" s="28">
        <v>43567</v>
      </c>
      <c r="B1662" s="29">
        <v>64.399100000000004</v>
      </c>
      <c r="C1662" s="28">
        <f t="shared" si="34"/>
        <v>43556</v>
      </c>
    </row>
    <row r="1663" spans="1:3">
      <c r="A1663" s="28">
        <v>43566</v>
      </c>
      <c r="B1663" s="29">
        <v>64.737300000000005</v>
      </c>
      <c r="C1663" s="28">
        <f t="shared" si="34"/>
        <v>43556</v>
      </c>
    </row>
    <row r="1664" spans="1:3">
      <c r="A1664" s="28">
        <v>43565</v>
      </c>
      <c r="B1664" s="29">
        <v>64.776600000000002</v>
      </c>
      <c r="C1664" s="28">
        <f t="shared" si="34"/>
        <v>43556</v>
      </c>
    </row>
    <row r="1665" spans="1:3">
      <c r="A1665" s="28">
        <v>43564</v>
      </c>
      <c r="B1665" s="29">
        <v>65.349800000000002</v>
      </c>
      <c r="C1665" s="28">
        <f t="shared" si="34"/>
        <v>43556</v>
      </c>
    </row>
    <row r="1666" spans="1:3">
      <c r="A1666" s="28">
        <v>43561</v>
      </c>
      <c r="B1666" s="29">
        <v>65.407200000000003</v>
      </c>
      <c r="C1666" s="28">
        <f t="shared" si="34"/>
        <v>43556</v>
      </c>
    </row>
    <row r="1667" spans="1:3">
      <c r="A1667" s="28">
        <v>43560</v>
      </c>
      <c r="B1667" s="29">
        <v>65.328100000000006</v>
      </c>
      <c r="C1667" s="28">
        <f t="shared" ref="C1667:C1730" si="35">DATE(YEAR(A1667),MONTH(A1667),1)</f>
        <v>43556</v>
      </c>
    </row>
    <row r="1668" spans="1:3">
      <c r="A1668" s="28">
        <v>43559</v>
      </c>
      <c r="B1668" s="29">
        <v>65.163899999999998</v>
      </c>
      <c r="C1668" s="28">
        <f t="shared" si="35"/>
        <v>43556</v>
      </c>
    </row>
    <row r="1669" spans="1:3">
      <c r="A1669" s="28">
        <v>43558</v>
      </c>
      <c r="B1669" s="29">
        <v>65.4726</v>
      </c>
      <c r="C1669" s="28">
        <f t="shared" si="35"/>
        <v>43556</v>
      </c>
    </row>
    <row r="1670" spans="1:3">
      <c r="A1670" s="28">
        <v>43557</v>
      </c>
      <c r="B1670" s="29">
        <v>65.417599999999993</v>
      </c>
      <c r="C1670" s="28">
        <f t="shared" si="35"/>
        <v>43556</v>
      </c>
    </row>
    <row r="1671" spans="1:3">
      <c r="A1671" s="28">
        <v>43554</v>
      </c>
      <c r="B1671" s="29">
        <v>64.734700000000004</v>
      </c>
      <c r="C1671" s="28">
        <f t="shared" si="35"/>
        <v>43525</v>
      </c>
    </row>
    <row r="1672" spans="1:3">
      <c r="A1672" s="28">
        <v>43553</v>
      </c>
      <c r="B1672" s="29">
        <v>64.801199999999994</v>
      </c>
      <c r="C1672" s="28">
        <f t="shared" si="35"/>
        <v>43525</v>
      </c>
    </row>
    <row r="1673" spans="1:3">
      <c r="A1673" s="28">
        <v>43552</v>
      </c>
      <c r="B1673" s="29">
        <v>64.592500000000001</v>
      </c>
      <c r="C1673" s="28">
        <f t="shared" si="35"/>
        <v>43525</v>
      </c>
    </row>
    <row r="1674" spans="1:3">
      <c r="A1674" s="28">
        <v>43551</v>
      </c>
      <c r="B1674" s="29">
        <v>64.168300000000002</v>
      </c>
      <c r="C1674" s="28">
        <f t="shared" si="35"/>
        <v>43525</v>
      </c>
    </row>
    <row r="1675" spans="1:3">
      <c r="A1675" s="28">
        <v>43550</v>
      </c>
      <c r="B1675" s="29">
        <v>64.499300000000005</v>
      </c>
      <c r="C1675" s="28">
        <f t="shared" si="35"/>
        <v>43525</v>
      </c>
    </row>
    <row r="1676" spans="1:3">
      <c r="A1676" s="28">
        <v>43547</v>
      </c>
      <c r="B1676" s="29">
        <v>63.770499999999998</v>
      </c>
      <c r="C1676" s="28">
        <f t="shared" si="35"/>
        <v>43525</v>
      </c>
    </row>
    <row r="1677" spans="1:3">
      <c r="A1677" s="28">
        <v>43546</v>
      </c>
      <c r="B1677" s="29">
        <v>63.741999999999997</v>
      </c>
      <c r="C1677" s="28">
        <f t="shared" si="35"/>
        <v>43525</v>
      </c>
    </row>
    <row r="1678" spans="1:3">
      <c r="A1678" s="28">
        <v>43545</v>
      </c>
      <c r="B1678" s="29">
        <v>64.280299999999997</v>
      </c>
      <c r="C1678" s="28">
        <f t="shared" si="35"/>
        <v>43525</v>
      </c>
    </row>
    <row r="1679" spans="1:3">
      <c r="A1679" s="28">
        <v>43544</v>
      </c>
      <c r="B1679" s="29">
        <v>64.316699999999997</v>
      </c>
      <c r="C1679" s="28">
        <f t="shared" si="35"/>
        <v>43525</v>
      </c>
    </row>
    <row r="1680" spans="1:3">
      <c r="A1680" s="28">
        <v>43543</v>
      </c>
      <c r="B1680" s="29">
        <v>64.669399999999996</v>
      </c>
      <c r="C1680" s="28">
        <f t="shared" si="35"/>
        <v>43525</v>
      </c>
    </row>
    <row r="1681" spans="1:3">
      <c r="A1681" s="28">
        <v>43540</v>
      </c>
      <c r="B1681" s="29">
        <v>65.420100000000005</v>
      </c>
      <c r="C1681" s="28">
        <f t="shared" si="35"/>
        <v>43525</v>
      </c>
    </row>
    <row r="1682" spans="1:3">
      <c r="A1682" s="28">
        <v>43539</v>
      </c>
      <c r="B1682" s="29">
        <v>65.402100000000004</v>
      </c>
      <c r="C1682" s="28">
        <f t="shared" si="35"/>
        <v>43525</v>
      </c>
    </row>
    <row r="1683" spans="1:3">
      <c r="A1683" s="28">
        <v>43538</v>
      </c>
      <c r="B1683" s="29">
        <v>65.588999999999999</v>
      </c>
      <c r="C1683" s="28">
        <f t="shared" si="35"/>
        <v>43525</v>
      </c>
    </row>
    <row r="1684" spans="1:3">
      <c r="A1684" s="28">
        <v>43537</v>
      </c>
      <c r="B1684" s="29">
        <v>65.767399999999995</v>
      </c>
      <c r="C1684" s="28">
        <f t="shared" si="35"/>
        <v>43525</v>
      </c>
    </row>
    <row r="1685" spans="1:3">
      <c r="A1685" s="28">
        <v>43536</v>
      </c>
      <c r="B1685" s="29">
        <v>66.076300000000003</v>
      </c>
      <c r="C1685" s="28">
        <f t="shared" si="35"/>
        <v>43525</v>
      </c>
    </row>
    <row r="1686" spans="1:3">
      <c r="A1686" s="28">
        <v>43532</v>
      </c>
      <c r="B1686" s="29">
        <v>65.964600000000004</v>
      </c>
      <c r="C1686" s="28">
        <f t="shared" si="35"/>
        <v>43525</v>
      </c>
    </row>
    <row r="1687" spans="1:3">
      <c r="A1687" s="28">
        <v>43531</v>
      </c>
      <c r="B1687" s="29">
        <v>65.843000000000004</v>
      </c>
      <c r="C1687" s="28">
        <f t="shared" si="35"/>
        <v>43525</v>
      </c>
    </row>
    <row r="1688" spans="1:3">
      <c r="A1688" s="28">
        <v>43530</v>
      </c>
      <c r="B1688" s="29">
        <v>65.800399999999996</v>
      </c>
      <c r="C1688" s="28">
        <f t="shared" si="35"/>
        <v>43525</v>
      </c>
    </row>
    <row r="1689" spans="1:3">
      <c r="A1689" s="28">
        <v>43529</v>
      </c>
      <c r="B1689" s="29">
        <v>65.795599999999993</v>
      </c>
      <c r="C1689" s="28">
        <f t="shared" si="35"/>
        <v>43525</v>
      </c>
    </row>
    <row r="1690" spans="1:3">
      <c r="A1690" s="28">
        <v>43526</v>
      </c>
      <c r="B1690" s="29">
        <v>65.814499999999995</v>
      </c>
      <c r="C1690" s="28">
        <f t="shared" si="35"/>
        <v>43525</v>
      </c>
    </row>
    <row r="1691" spans="1:3">
      <c r="A1691" s="28">
        <v>43525</v>
      </c>
      <c r="B1691" s="29">
        <v>65.889499999999998</v>
      </c>
      <c r="C1691" s="28">
        <f t="shared" si="35"/>
        <v>43525</v>
      </c>
    </row>
    <row r="1692" spans="1:3">
      <c r="A1692" s="28">
        <v>43524</v>
      </c>
      <c r="B1692" s="29">
        <v>65.757000000000005</v>
      </c>
      <c r="C1692" s="28">
        <f t="shared" si="35"/>
        <v>43497</v>
      </c>
    </row>
    <row r="1693" spans="1:3">
      <c r="A1693" s="28">
        <v>43523</v>
      </c>
      <c r="B1693" s="29">
        <v>65.618200000000002</v>
      </c>
      <c r="C1693" s="28">
        <f t="shared" si="35"/>
        <v>43497</v>
      </c>
    </row>
    <row r="1694" spans="1:3">
      <c r="A1694" s="28">
        <v>43522</v>
      </c>
      <c r="B1694" s="29">
        <v>65.258200000000002</v>
      </c>
      <c r="C1694" s="28">
        <f t="shared" si="35"/>
        <v>43497</v>
      </c>
    </row>
    <row r="1695" spans="1:3">
      <c r="A1695" s="28">
        <v>43519</v>
      </c>
      <c r="B1695" s="29">
        <v>65.514899999999997</v>
      </c>
      <c r="C1695" s="28">
        <f t="shared" si="35"/>
        <v>43497</v>
      </c>
    </row>
    <row r="1696" spans="1:3">
      <c r="A1696" s="28">
        <v>43518</v>
      </c>
      <c r="B1696" s="29">
        <v>65.540099999999995</v>
      </c>
      <c r="C1696" s="28">
        <f t="shared" si="35"/>
        <v>43497</v>
      </c>
    </row>
    <row r="1697" spans="1:3">
      <c r="A1697" s="28">
        <v>43517</v>
      </c>
      <c r="B1697" s="29">
        <v>65.856800000000007</v>
      </c>
      <c r="C1697" s="28">
        <f t="shared" si="35"/>
        <v>43497</v>
      </c>
    </row>
    <row r="1698" spans="1:3">
      <c r="A1698" s="28">
        <v>43516</v>
      </c>
      <c r="B1698" s="29">
        <v>66.202200000000005</v>
      </c>
      <c r="C1698" s="28">
        <f t="shared" si="35"/>
        <v>43497</v>
      </c>
    </row>
    <row r="1699" spans="1:3">
      <c r="A1699" s="28">
        <v>43515</v>
      </c>
      <c r="B1699" s="29">
        <v>66.247</v>
      </c>
      <c r="C1699" s="28">
        <f t="shared" si="35"/>
        <v>43497</v>
      </c>
    </row>
    <row r="1700" spans="1:3">
      <c r="A1700" s="28">
        <v>43512</v>
      </c>
      <c r="B1700" s="29">
        <v>66.704400000000007</v>
      </c>
      <c r="C1700" s="28">
        <f t="shared" si="35"/>
        <v>43497</v>
      </c>
    </row>
    <row r="1701" spans="1:3">
      <c r="A1701" s="28">
        <v>43511</v>
      </c>
      <c r="B1701" s="29">
        <v>66.542900000000003</v>
      </c>
      <c r="C1701" s="28">
        <f t="shared" si="35"/>
        <v>43497</v>
      </c>
    </row>
    <row r="1702" spans="1:3">
      <c r="A1702" s="28">
        <v>43510</v>
      </c>
      <c r="B1702" s="29">
        <v>65.678299999999993</v>
      </c>
      <c r="C1702" s="28">
        <f t="shared" si="35"/>
        <v>43497</v>
      </c>
    </row>
    <row r="1703" spans="1:3">
      <c r="A1703" s="28">
        <v>43509</v>
      </c>
      <c r="B1703" s="29">
        <v>65.714699999999993</v>
      </c>
      <c r="C1703" s="28">
        <f t="shared" si="35"/>
        <v>43497</v>
      </c>
    </row>
    <row r="1704" spans="1:3">
      <c r="A1704" s="28">
        <v>43508</v>
      </c>
      <c r="B1704" s="29">
        <v>65.651700000000005</v>
      </c>
      <c r="C1704" s="28">
        <f t="shared" si="35"/>
        <v>43497</v>
      </c>
    </row>
    <row r="1705" spans="1:3">
      <c r="A1705" s="28">
        <v>43505</v>
      </c>
      <c r="B1705" s="29">
        <v>66.062799999999996</v>
      </c>
      <c r="C1705" s="28">
        <f t="shared" si="35"/>
        <v>43497</v>
      </c>
    </row>
    <row r="1706" spans="1:3">
      <c r="A1706" s="28">
        <v>43504</v>
      </c>
      <c r="B1706" s="29">
        <v>66.019900000000007</v>
      </c>
      <c r="C1706" s="28">
        <f t="shared" si="35"/>
        <v>43497</v>
      </c>
    </row>
    <row r="1707" spans="1:3">
      <c r="A1707" s="28">
        <v>43503</v>
      </c>
      <c r="B1707" s="29">
        <v>65.668599999999998</v>
      </c>
      <c r="C1707" s="28">
        <f t="shared" si="35"/>
        <v>43497</v>
      </c>
    </row>
    <row r="1708" spans="1:3">
      <c r="A1708" s="28">
        <v>43502</v>
      </c>
      <c r="B1708" s="29">
        <v>65.569100000000006</v>
      </c>
      <c r="C1708" s="28">
        <f t="shared" si="35"/>
        <v>43497</v>
      </c>
    </row>
    <row r="1709" spans="1:3">
      <c r="A1709" s="28">
        <v>43501</v>
      </c>
      <c r="B1709" s="29">
        <v>65.585899999999995</v>
      </c>
      <c r="C1709" s="28">
        <f t="shared" si="35"/>
        <v>43497</v>
      </c>
    </row>
    <row r="1710" spans="1:3">
      <c r="A1710" s="28">
        <v>43498</v>
      </c>
      <c r="B1710" s="29">
        <v>65.6601</v>
      </c>
      <c r="C1710" s="28">
        <f t="shared" si="35"/>
        <v>43497</v>
      </c>
    </row>
    <row r="1711" spans="1:3">
      <c r="A1711" s="28">
        <v>43497</v>
      </c>
      <c r="B1711" s="29">
        <v>65.357699999999994</v>
      </c>
      <c r="C1711" s="28">
        <f t="shared" si="35"/>
        <v>43497</v>
      </c>
    </row>
    <row r="1712" spans="1:3">
      <c r="A1712" s="28">
        <v>43496</v>
      </c>
      <c r="B1712" s="29">
        <v>66.098699999999994</v>
      </c>
      <c r="C1712" s="28">
        <f t="shared" si="35"/>
        <v>43466</v>
      </c>
    </row>
    <row r="1713" spans="1:3">
      <c r="A1713" s="28">
        <v>43495</v>
      </c>
      <c r="B1713" s="29">
        <v>66.341200000000001</v>
      </c>
      <c r="C1713" s="28">
        <f t="shared" si="35"/>
        <v>43466</v>
      </c>
    </row>
    <row r="1714" spans="1:3">
      <c r="A1714" s="28">
        <v>43494</v>
      </c>
      <c r="B1714" s="29">
        <v>65.930000000000007</v>
      </c>
      <c r="C1714" s="28">
        <f t="shared" si="35"/>
        <v>43466</v>
      </c>
    </row>
    <row r="1715" spans="1:3">
      <c r="A1715" s="28">
        <v>43491</v>
      </c>
      <c r="B1715" s="29">
        <v>65.917000000000002</v>
      </c>
      <c r="C1715" s="28">
        <f t="shared" si="35"/>
        <v>43466</v>
      </c>
    </row>
    <row r="1716" spans="1:3">
      <c r="A1716" s="28">
        <v>43490</v>
      </c>
      <c r="B1716" s="29">
        <v>66.001599999999996</v>
      </c>
      <c r="C1716" s="28">
        <f t="shared" si="35"/>
        <v>43466</v>
      </c>
    </row>
    <row r="1717" spans="1:3">
      <c r="A1717" s="28">
        <v>43489</v>
      </c>
      <c r="B1717" s="29">
        <v>66.331800000000001</v>
      </c>
      <c r="C1717" s="28">
        <f t="shared" si="35"/>
        <v>43466</v>
      </c>
    </row>
    <row r="1718" spans="1:3">
      <c r="A1718" s="28">
        <v>43488</v>
      </c>
      <c r="B1718" s="29">
        <v>66.549899999999994</v>
      </c>
      <c r="C1718" s="28">
        <f t="shared" si="35"/>
        <v>43466</v>
      </c>
    </row>
    <row r="1719" spans="1:3">
      <c r="A1719" s="28">
        <v>43487</v>
      </c>
      <c r="B1719" s="29">
        <v>66.363399999999999</v>
      </c>
      <c r="C1719" s="28">
        <f t="shared" si="35"/>
        <v>43466</v>
      </c>
    </row>
    <row r="1720" spans="1:3">
      <c r="A1720" s="28">
        <v>43484</v>
      </c>
      <c r="B1720" s="29">
        <v>66.3309</v>
      </c>
      <c r="C1720" s="28">
        <f t="shared" si="35"/>
        <v>43466</v>
      </c>
    </row>
    <row r="1721" spans="1:3">
      <c r="A1721" s="28">
        <v>43483</v>
      </c>
      <c r="B1721" s="29">
        <v>66.443799999999996</v>
      </c>
      <c r="C1721" s="28">
        <f t="shared" si="35"/>
        <v>43466</v>
      </c>
    </row>
    <row r="1722" spans="1:3">
      <c r="A1722" s="28">
        <v>43482</v>
      </c>
      <c r="B1722" s="29">
        <v>66.761700000000005</v>
      </c>
      <c r="C1722" s="28">
        <f t="shared" si="35"/>
        <v>43466</v>
      </c>
    </row>
    <row r="1723" spans="1:3">
      <c r="A1723" s="28">
        <v>43481</v>
      </c>
      <c r="B1723" s="29">
        <v>67.081999999999994</v>
      </c>
      <c r="C1723" s="28">
        <f t="shared" si="35"/>
        <v>43466</v>
      </c>
    </row>
    <row r="1724" spans="1:3">
      <c r="A1724" s="28">
        <v>43480</v>
      </c>
      <c r="B1724" s="29">
        <v>67.191999999999993</v>
      </c>
      <c r="C1724" s="28">
        <f t="shared" si="35"/>
        <v>43466</v>
      </c>
    </row>
    <row r="1725" spans="1:3">
      <c r="A1725" s="28">
        <v>43477</v>
      </c>
      <c r="B1725" s="29">
        <v>66.916700000000006</v>
      </c>
      <c r="C1725" s="28">
        <f t="shared" si="35"/>
        <v>43466</v>
      </c>
    </row>
    <row r="1726" spans="1:3">
      <c r="A1726" s="28">
        <v>43476</v>
      </c>
      <c r="B1726" s="29">
        <v>66.860500000000002</v>
      </c>
      <c r="C1726" s="28">
        <f t="shared" si="35"/>
        <v>43466</v>
      </c>
    </row>
    <row r="1727" spans="1:3">
      <c r="A1727" s="28">
        <v>43475</v>
      </c>
      <c r="B1727" s="29">
        <v>67.079499999999996</v>
      </c>
      <c r="C1727" s="28">
        <f t="shared" si="35"/>
        <v>43466</v>
      </c>
    </row>
    <row r="1728" spans="1:3">
      <c r="A1728" s="28">
        <v>43464</v>
      </c>
      <c r="B1728" s="29">
        <v>69.470600000000005</v>
      </c>
      <c r="C1728" s="28">
        <f t="shared" si="35"/>
        <v>43435</v>
      </c>
    </row>
    <row r="1729" spans="1:3">
      <c r="A1729" s="28">
        <v>43463</v>
      </c>
      <c r="B1729" s="29">
        <v>69.521799999999999</v>
      </c>
      <c r="C1729" s="28">
        <f t="shared" si="35"/>
        <v>43435</v>
      </c>
    </row>
    <row r="1730" spans="1:3">
      <c r="A1730" s="28">
        <v>43462</v>
      </c>
      <c r="B1730" s="29">
        <v>68.876199999999997</v>
      </c>
      <c r="C1730" s="28">
        <f t="shared" si="35"/>
        <v>43435</v>
      </c>
    </row>
    <row r="1731" spans="1:3">
      <c r="A1731" s="28">
        <v>43461</v>
      </c>
      <c r="B1731" s="29">
        <v>68.886499999999998</v>
      </c>
      <c r="C1731" s="28">
        <f t="shared" ref="C1731:C1794" si="36">DATE(YEAR(A1731),MONTH(A1731),1)</f>
        <v>43435</v>
      </c>
    </row>
    <row r="1732" spans="1:3">
      <c r="A1732" s="28">
        <v>43460</v>
      </c>
      <c r="B1732" s="29">
        <v>68.744799999999998</v>
      </c>
      <c r="C1732" s="28">
        <f t="shared" si="36"/>
        <v>43435</v>
      </c>
    </row>
    <row r="1733" spans="1:3">
      <c r="A1733" s="28">
        <v>43459</v>
      </c>
      <c r="B1733" s="29">
        <v>68.407300000000006</v>
      </c>
      <c r="C1733" s="28">
        <f t="shared" si="36"/>
        <v>43435</v>
      </c>
    </row>
    <row r="1734" spans="1:3">
      <c r="A1734" s="28">
        <v>43456</v>
      </c>
      <c r="B1734" s="29">
        <v>68.008499999999998</v>
      </c>
      <c r="C1734" s="28">
        <f t="shared" si="36"/>
        <v>43435</v>
      </c>
    </row>
    <row r="1735" spans="1:3">
      <c r="A1735" s="28">
        <v>43455</v>
      </c>
      <c r="B1735" s="29">
        <v>67.370999999999995</v>
      </c>
      <c r="C1735" s="28">
        <f t="shared" si="36"/>
        <v>43435</v>
      </c>
    </row>
    <row r="1736" spans="1:3">
      <c r="A1736" s="28">
        <v>43454</v>
      </c>
      <c r="B1736" s="29">
        <v>67.112099999999998</v>
      </c>
      <c r="C1736" s="28">
        <f t="shared" si="36"/>
        <v>43435</v>
      </c>
    </row>
    <row r="1737" spans="1:3">
      <c r="A1737" s="28">
        <v>43453</v>
      </c>
      <c r="B1737" s="29">
        <v>66.745400000000004</v>
      </c>
      <c r="C1737" s="28">
        <f t="shared" si="36"/>
        <v>43435</v>
      </c>
    </row>
    <row r="1738" spans="1:3">
      <c r="A1738" s="28">
        <v>43452</v>
      </c>
      <c r="B1738" s="29">
        <v>66.620800000000003</v>
      </c>
      <c r="C1738" s="28">
        <f t="shared" si="36"/>
        <v>43435</v>
      </c>
    </row>
    <row r="1739" spans="1:3">
      <c r="A1739" s="28">
        <v>43449</v>
      </c>
      <c r="B1739" s="29">
        <v>66.433700000000002</v>
      </c>
      <c r="C1739" s="28">
        <f t="shared" si="36"/>
        <v>43435</v>
      </c>
    </row>
    <row r="1740" spans="1:3">
      <c r="A1740" s="28">
        <v>43448</v>
      </c>
      <c r="B1740" s="29">
        <v>66.254999999999995</v>
      </c>
      <c r="C1740" s="28">
        <f t="shared" si="36"/>
        <v>43435</v>
      </c>
    </row>
    <row r="1741" spans="1:3">
      <c r="A1741" s="28">
        <v>43447</v>
      </c>
      <c r="B1741" s="29">
        <v>66.422499999999999</v>
      </c>
      <c r="C1741" s="28">
        <f t="shared" si="36"/>
        <v>43435</v>
      </c>
    </row>
    <row r="1742" spans="1:3">
      <c r="A1742" s="28">
        <v>43446</v>
      </c>
      <c r="B1742" s="29">
        <v>66.502200000000002</v>
      </c>
      <c r="C1742" s="28">
        <f t="shared" si="36"/>
        <v>43435</v>
      </c>
    </row>
    <row r="1743" spans="1:3">
      <c r="A1743" s="28">
        <v>43445</v>
      </c>
      <c r="B1743" s="29">
        <v>66.241600000000005</v>
      </c>
      <c r="C1743" s="28">
        <f t="shared" si="36"/>
        <v>43435</v>
      </c>
    </row>
    <row r="1744" spans="1:3">
      <c r="A1744" s="28">
        <v>43442</v>
      </c>
      <c r="B1744" s="29">
        <v>66.922700000000006</v>
      </c>
      <c r="C1744" s="28">
        <f t="shared" si="36"/>
        <v>43435</v>
      </c>
    </row>
    <row r="1745" spans="1:3">
      <c r="A1745" s="28">
        <v>43441</v>
      </c>
      <c r="B1745" s="29">
        <v>66.737700000000004</v>
      </c>
      <c r="C1745" s="28">
        <f t="shared" si="36"/>
        <v>43435</v>
      </c>
    </row>
    <row r="1746" spans="1:3">
      <c r="A1746" s="28">
        <v>43440</v>
      </c>
      <c r="B1746" s="29">
        <v>66.824200000000005</v>
      </c>
      <c r="C1746" s="28">
        <f t="shared" si="36"/>
        <v>43435</v>
      </c>
    </row>
    <row r="1747" spans="1:3">
      <c r="A1747" s="28">
        <v>43439</v>
      </c>
      <c r="B1747" s="29">
        <v>66.446700000000007</v>
      </c>
      <c r="C1747" s="28">
        <f t="shared" si="36"/>
        <v>43435</v>
      </c>
    </row>
    <row r="1748" spans="1:3">
      <c r="A1748" s="28">
        <v>43438</v>
      </c>
      <c r="B1748" s="29">
        <v>66.292100000000005</v>
      </c>
      <c r="C1748" s="28">
        <f t="shared" si="36"/>
        <v>43435</v>
      </c>
    </row>
    <row r="1749" spans="1:3">
      <c r="A1749" s="28">
        <v>43435</v>
      </c>
      <c r="B1749" s="29">
        <v>66.533500000000004</v>
      </c>
      <c r="C1749" s="28">
        <f t="shared" si="36"/>
        <v>43435</v>
      </c>
    </row>
    <row r="1750" spans="1:3">
      <c r="A1750" s="28">
        <v>43434</v>
      </c>
      <c r="B1750" s="29">
        <v>66.634200000000007</v>
      </c>
      <c r="C1750" s="28">
        <f t="shared" si="36"/>
        <v>43405</v>
      </c>
    </row>
    <row r="1751" spans="1:3">
      <c r="A1751" s="28">
        <v>43433</v>
      </c>
      <c r="B1751" s="29">
        <v>66.943600000000004</v>
      </c>
      <c r="C1751" s="28">
        <f t="shared" si="36"/>
        <v>43405</v>
      </c>
    </row>
    <row r="1752" spans="1:3">
      <c r="A1752" s="28">
        <v>43432</v>
      </c>
      <c r="B1752" s="29">
        <v>66.78</v>
      </c>
      <c r="C1752" s="28">
        <f t="shared" si="36"/>
        <v>43405</v>
      </c>
    </row>
    <row r="1753" spans="1:3">
      <c r="A1753" s="28">
        <v>43431</v>
      </c>
      <c r="B1753" s="29">
        <v>66.507199999999997</v>
      </c>
      <c r="C1753" s="28">
        <f t="shared" si="36"/>
        <v>43405</v>
      </c>
    </row>
    <row r="1754" spans="1:3">
      <c r="A1754" s="28">
        <v>43428</v>
      </c>
      <c r="B1754" s="29">
        <v>65.666399999999996</v>
      </c>
      <c r="C1754" s="28">
        <f t="shared" si="36"/>
        <v>43405</v>
      </c>
    </row>
    <row r="1755" spans="1:3">
      <c r="A1755" s="28">
        <v>43427</v>
      </c>
      <c r="B1755" s="29">
        <v>65.606700000000004</v>
      </c>
      <c r="C1755" s="28">
        <f t="shared" si="36"/>
        <v>43405</v>
      </c>
    </row>
    <row r="1756" spans="1:3">
      <c r="A1756" s="28">
        <v>43426</v>
      </c>
      <c r="B1756" s="29">
        <v>65.948499999999996</v>
      </c>
      <c r="C1756" s="28">
        <f t="shared" si="36"/>
        <v>43405</v>
      </c>
    </row>
    <row r="1757" spans="1:3">
      <c r="A1757" s="28">
        <v>43425</v>
      </c>
      <c r="B1757" s="29">
        <v>65.587100000000007</v>
      </c>
      <c r="C1757" s="28">
        <f t="shared" si="36"/>
        <v>43405</v>
      </c>
    </row>
    <row r="1758" spans="1:3">
      <c r="A1758" s="28">
        <v>43424</v>
      </c>
      <c r="B1758" s="29">
        <v>66.008099999999999</v>
      </c>
      <c r="C1758" s="28">
        <f t="shared" si="36"/>
        <v>43405</v>
      </c>
    </row>
    <row r="1759" spans="1:3">
      <c r="A1759" s="28">
        <v>43421</v>
      </c>
      <c r="B1759" s="29">
        <v>65.993099999999998</v>
      </c>
      <c r="C1759" s="28">
        <f t="shared" si="36"/>
        <v>43405</v>
      </c>
    </row>
    <row r="1760" spans="1:3">
      <c r="A1760" s="28">
        <v>43420</v>
      </c>
      <c r="B1760" s="29">
        <v>66.615899999999996</v>
      </c>
      <c r="C1760" s="28">
        <f t="shared" si="36"/>
        <v>43405</v>
      </c>
    </row>
    <row r="1761" spans="1:3">
      <c r="A1761" s="28">
        <v>43419</v>
      </c>
      <c r="B1761" s="29">
        <v>67.997500000000002</v>
      </c>
      <c r="C1761" s="28">
        <f t="shared" si="36"/>
        <v>43405</v>
      </c>
    </row>
    <row r="1762" spans="1:3">
      <c r="A1762" s="28">
        <v>43418</v>
      </c>
      <c r="B1762" s="29">
        <v>67.681200000000004</v>
      </c>
      <c r="C1762" s="28">
        <f t="shared" si="36"/>
        <v>43405</v>
      </c>
    </row>
    <row r="1763" spans="1:3">
      <c r="A1763" s="28">
        <v>43417</v>
      </c>
      <c r="B1763" s="29">
        <v>67.523799999999994</v>
      </c>
      <c r="C1763" s="28">
        <f t="shared" si="36"/>
        <v>43405</v>
      </c>
    </row>
    <row r="1764" spans="1:3">
      <c r="A1764" s="28">
        <v>43414</v>
      </c>
      <c r="B1764" s="29">
        <v>66.849699999999999</v>
      </c>
      <c r="C1764" s="28">
        <f t="shared" si="36"/>
        <v>43405</v>
      </c>
    </row>
    <row r="1765" spans="1:3">
      <c r="A1765" s="28">
        <v>43413</v>
      </c>
      <c r="B1765" s="29">
        <v>66.215500000000006</v>
      </c>
      <c r="C1765" s="28">
        <f t="shared" si="36"/>
        <v>43405</v>
      </c>
    </row>
    <row r="1766" spans="1:3">
      <c r="A1766" s="28">
        <v>43412</v>
      </c>
      <c r="B1766" s="29">
        <v>66.091800000000006</v>
      </c>
      <c r="C1766" s="28">
        <f t="shared" si="36"/>
        <v>43405</v>
      </c>
    </row>
    <row r="1767" spans="1:3">
      <c r="A1767" s="28">
        <v>43411</v>
      </c>
      <c r="B1767" s="29">
        <v>65.991200000000006</v>
      </c>
      <c r="C1767" s="28">
        <f t="shared" si="36"/>
        <v>43405</v>
      </c>
    </row>
    <row r="1768" spans="1:3">
      <c r="A1768" s="28">
        <v>43407</v>
      </c>
      <c r="B1768" s="29">
        <v>65.579899999999995</v>
      </c>
      <c r="C1768" s="28">
        <f t="shared" si="36"/>
        <v>43405</v>
      </c>
    </row>
    <row r="1769" spans="1:3">
      <c r="A1769" s="28">
        <v>43406</v>
      </c>
      <c r="B1769" s="29">
        <v>65.651700000000005</v>
      </c>
      <c r="C1769" s="28">
        <f t="shared" si="36"/>
        <v>43405</v>
      </c>
    </row>
    <row r="1770" spans="1:3">
      <c r="A1770" s="28">
        <v>43405</v>
      </c>
      <c r="B1770" s="29">
        <v>65.596199999999996</v>
      </c>
      <c r="C1770" s="28">
        <f t="shared" si="36"/>
        <v>43405</v>
      </c>
    </row>
    <row r="1771" spans="1:3">
      <c r="A1771" s="28">
        <v>43404</v>
      </c>
      <c r="B1771" s="29">
        <v>65.774199999999993</v>
      </c>
      <c r="C1771" s="28">
        <f t="shared" si="36"/>
        <v>43374</v>
      </c>
    </row>
    <row r="1772" spans="1:3">
      <c r="A1772" s="28">
        <v>43403</v>
      </c>
      <c r="B1772" s="29">
        <v>65.812899999999999</v>
      </c>
      <c r="C1772" s="28">
        <f t="shared" si="36"/>
        <v>43374</v>
      </c>
    </row>
    <row r="1773" spans="1:3">
      <c r="A1773" s="28">
        <v>43400</v>
      </c>
      <c r="B1773" s="29">
        <v>65.634500000000003</v>
      </c>
      <c r="C1773" s="28">
        <f t="shared" si="36"/>
        <v>43374</v>
      </c>
    </row>
    <row r="1774" spans="1:3">
      <c r="A1774" s="28">
        <v>43399</v>
      </c>
      <c r="B1774" s="29">
        <v>65.747600000000006</v>
      </c>
      <c r="C1774" s="28">
        <f t="shared" si="36"/>
        <v>43374</v>
      </c>
    </row>
    <row r="1775" spans="1:3">
      <c r="A1775" s="28">
        <v>43398</v>
      </c>
      <c r="B1775" s="29">
        <v>65.629900000000006</v>
      </c>
      <c r="C1775" s="28">
        <f t="shared" si="36"/>
        <v>43374</v>
      </c>
    </row>
    <row r="1776" spans="1:3">
      <c r="A1776" s="28">
        <v>43397</v>
      </c>
      <c r="B1776" s="29">
        <v>65.310100000000006</v>
      </c>
      <c r="C1776" s="28">
        <f t="shared" si="36"/>
        <v>43374</v>
      </c>
    </row>
    <row r="1777" spans="1:3">
      <c r="A1777" s="28">
        <v>43396</v>
      </c>
      <c r="B1777" s="29">
        <v>65.3065</v>
      </c>
      <c r="C1777" s="28">
        <f t="shared" si="36"/>
        <v>43374</v>
      </c>
    </row>
    <row r="1778" spans="1:3">
      <c r="A1778" s="28">
        <v>43393</v>
      </c>
      <c r="B1778" s="29">
        <v>65.813999999999993</v>
      </c>
      <c r="C1778" s="28">
        <f t="shared" si="36"/>
        <v>43374</v>
      </c>
    </row>
    <row r="1779" spans="1:3">
      <c r="A1779" s="28">
        <v>43392</v>
      </c>
      <c r="B1779" s="29">
        <v>65.723799999999997</v>
      </c>
      <c r="C1779" s="28">
        <f t="shared" si="36"/>
        <v>43374</v>
      </c>
    </row>
    <row r="1780" spans="1:3">
      <c r="A1780" s="28">
        <v>43391</v>
      </c>
      <c r="B1780" s="29">
        <v>65.402600000000007</v>
      </c>
      <c r="C1780" s="28">
        <f t="shared" si="36"/>
        <v>43374</v>
      </c>
    </row>
    <row r="1781" spans="1:3">
      <c r="A1781" s="28">
        <v>43390</v>
      </c>
      <c r="B1781" s="29">
        <v>65.530500000000004</v>
      </c>
      <c r="C1781" s="28">
        <f t="shared" si="36"/>
        <v>43374</v>
      </c>
    </row>
    <row r="1782" spans="1:3">
      <c r="A1782" s="28">
        <v>43389</v>
      </c>
      <c r="B1782" s="29">
        <v>65.750799999999998</v>
      </c>
      <c r="C1782" s="28">
        <f t="shared" si="36"/>
        <v>43374</v>
      </c>
    </row>
    <row r="1783" spans="1:3">
      <c r="A1783" s="28">
        <v>43386</v>
      </c>
      <c r="B1783" s="29">
        <v>65.975099999999998</v>
      </c>
      <c r="C1783" s="28">
        <f t="shared" si="36"/>
        <v>43374</v>
      </c>
    </row>
    <row r="1784" spans="1:3">
      <c r="A1784" s="28">
        <v>43385</v>
      </c>
      <c r="B1784" s="29">
        <v>66.7727</v>
      </c>
      <c r="C1784" s="28">
        <f t="shared" si="36"/>
        <v>43374</v>
      </c>
    </row>
    <row r="1785" spans="1:3">
      <c r="A1785" s="28">
        <v>43384</v>
      </c>
      <c r="B1785" s="29">
        <v>66.183199999999999</v>
      </c>
      <c r="C1785" s="28">
        <f t="shared" si="36"/>
        <v>43374</v>
      </c>
    </row>
    <row r="1786" spans="1:3">
      <c r="A1786" s="28">
        <v>43383</v>
      </c>
      <c r="B1786" s="29">
        <v>66.403199999999998</v>
      </c>
      <c r="C1786" s="28">
        <f t="shared" si="36"/>
        <v>43374</v>
      </c>
    </row>
    <row r="1787" spans="1:3">
      <c r="A1787" s="28">
        <v>43382</v>
      </c>
      <c r="B1787" s="29">
        <v>66.968500000000006</v>
      </c>
      <c r="C1787" s="28">
        <f t="shared" si="36"/>
        <v>43374</v>
      </c>
    </row>
    <row r="1788" spans="1:3">
      <c r="A1788" s="28">
        <v>43379</v>
      </c>
      <c r="B1788" s="29">
        <v>66.626999999999995</v>
      </c>
      <c r="C1788" s="28">
        <f t="shared" si="36"/>
        <v>43374</v>
      </c>
    </row>
    <row r="1789" spans="1:3">
      <c r="A1789" s="28">
        <v>43378</v>
      </c>
      <c r="B1789" s="29">
        <v>66.211500000000001</v>
      </c>
      <c r="C1789" s="28">
        <f t="shared" si="36"/>
        <v>43374</v>
      </c>
    </row>
    <row r="1790" spans="1:3">
      <c r="A1790" s="28">
        <v>43377</v>
      </c>
      <c r="B1790" s="29">
        <v>65.424400000000006</v>
      </c>
      <c r="C1790" s="28">
        <f t="shared" si="36"/>
        <v>43374</v>
      </c>
    </row>
    <row r="1791" spans="1:3">
      <c r="A1791" s="28">
        <v>43376</v>
      </c>
      <c r="B1791" s="29">
        <v>65.222099999999998</v>
      </c>
      <c r="C1791" s="28">
        <f t="shared" si="36"/>
        <v>43374</v>
      </c>
    </row>
    <row r="1792" spans="1:3">
      <c r="A1792" s="28">
        <v>43375</v>
      </c>
      <c r="B1792" s="29">
        <v>65.5745</v>
      </c>
      <c r="C1792" s="28">
        <f t="shared" si="36"/>
        <v>43374</v>
      </c>
    </row>
    <row r="1793" spans="1:3">
      <c r="A1793" s="28">
        <v>43372</v>
      </c>
      <c r="B1793" s="29">
        <v>65.590599999999995</v>
      </c>
      <c r="C1793" s="28">
        <f t="shared" si="36"/>
        <v>43344</v>
      </c>
    </row>
    <row r="1794" spans="1:3">
      <c r="A1794" s="28">
        <v>43371</v>
      </c>
      <c r="B1794" s="29">
        <v>65.835499999999996</v>
      </c>
      <c r="C1794" s="28">
        <f t="shared" si="36"/>
        <v>43344</v>
      </c>
    </row>
    <row r="1795" spans="1:3">
      <c r="A1795" s="28">
        <v>43370</v>
      </c>
      <c r="B1795" s="29">
        <v>65.758499999999998</v>
      </c>
      <c r="C1795" s="28">
        <f t="shared" ref="C1795:C1858" si="37">DATE(YEAR(A1795),MONTH(A1795),1)</f>
        <v>43344</v>
      </c>
    </row>
    <row r="1796" spans="1:3">
      <c r="A1796" s="28">
        <v>43369</v>
      </c>
      <c r="B1796" s="29">
        <v>65.824399999999997</v>
      </c>
      <c r="C1796" s="28">
        <f t="shared" si="37"/>
        <v>43344</v>
      </c>
    </row>
    <row r="1797" spans="1:3">
      <c r="A1797" s="28">
        <v>43368</v>
      </c>
      <c r="B1797" s="29">
        <v>66.159400000000005</v>
      </c>
      <c r="C1797" s="28">
        <f t="shared" si="37"/>
        <v>43344</v>
      </c>
    </row>
    <row r="1798" spans="1:3">
      <c r="A1798" s="28">
        <v>43365</v>
      </c>
      <c r="B1798" s="29">
        <v>66.249700000000004</v>
      </c>
      <c r="C1798" s="28">
        <f t="shared" si="37"/>
        <v>43344</v>
      </c>
    </row>
    <row r="1799" spans="1:3">
      <c r="A1799" s="28">
        <v>43364</v>
      </c>
      <c r="B1799" s="29">
        <v>66.472499999999997</v>
      </c>
      <c r="C1799" s="28">
        <f t="shared" si="37"/>
        <v>43344</v>
      </c>
    </row>
    <row r="1800" spans="1:3">
      <c r="A1800" s="28">
        <v>43363</v>
      </c>
      <c r="B1800" s="29">
        <v>67.009799999999998</v>
      </c>
      <c r="C1800" s="28">
        <f t="shared" si="37"/>
        <v>43344</v>
      </c>
    </row>
    <row r="1801" spans="1:3">
      <c r="A1801" s="28">
        <v>43362</v>
      </c>
      <c r="B1801" s="29">
        <v>67.751900000000006</v>
      </c>
      <c r="C1801" s="28">
        <f t="shared" si="37"/>
        <v>43344</v>
      </c>
    </row>
    <row r="1802" spans="1:3">
      <c r="A1802" s="28">
        <v>43361</v>
      </c>
      <c r="B1802" s="29">
        <v>68.195800000000006</v>
      </c>
      <c r="C1802" s="28">
        <f t="shared" si="37"/>
        <v>43344</v>
      </c>
    </row>
    <row r="1803" spans="1:3">
      <c r="A1803" s="28">
        <v>43358</v>
      </c>
      <c r="B1803" s="29">
        <v>68.282600000000002</v>
      </c>
      <c r="C1803" s="28">
        <f t="shared" si="37"/>
        <v>43344</v>
      </c>
    </row>
    <row r="1804" spans="1:3">
      <c r="A1804" s="28">
        <v>43357</v>
      </c>
      <c r="B1804" s="29">
        <v>68.637</v>
      </c>
      <c r="C1804" s="28">
        <f t="shared" si="37"/>
        <v>43344</v>
      </c>
    </row>
    <row r="1805" spans="1:3">
      <c r="A1805" s="28">
        <v>43356</v>
      </c>
      <c r="B1805" s="29">
        <v>69.572800000000001</v>
      </c>
      <c r="C1805" s="28">
        <f t="shared" si="37"/>
        <v>43344</v>
      </c>
    </row>
    <row r="1806" spans="1:3">
      <c r="A1806" s="28">
        <v>43355</v>
      </c>
      <c r="B1806" s="29">
        <v>69.974400000000003</v>
      </c>
      <c r="C1806" s="28">
        <f t="shared" si="37"/>
        <v>43344</v>
      </c>
    </row>
    <row r="1807" spans="1:3">
      <c r="A1807" s="28">
        <v>43354</v>
      </c>
      <c r="B1807" s="29">
        <v>69.868499999999997</v>
      </c>
      <c r="C1807" s="28">
        <f t="shared" si="37"/>
        <v>43344</v>
      </c>
    </row>
    <row r="1808" spans="1:3">
      <c r="A1808" s="28">
        <v>43351</v>
      </c>
      <c r="B1808" s="29">
        <v>69.028599999999997</v>
      </c>
      <c r="C1808" s="28">
        <f t="shared" si="37"/>
        <v>43344</v>
      </c>
    </row>
    <row r="1809" spans="1:3">
      <c r="A1809" s="28">
        <v>43350</v>
      </c>
      <c r="B1809" s="29">
        <v>68.250500000000002</v>
      </c>
      <c r="C1809" s="28">
        <f t="shared" si="37"/>
        <v>43344</v>
      </c>
    </row>
    <row r="1810" spans="1:3">
      <c r="A1810" s="28">
        <v>43349</v>
      </c>
      <c r="B1810" s="29">
        <v>68.462800000000001</v>
      </c>
      <c r="C1810" s="28">
        <f t="shared" si="37"/>
        <v>43344</v>
      </c>
    </row>
    <row r="1811" spans="1:3">
      <c r="A1811" s="28">
        <v>43348</v>
      </c>
      <c r="B1811" s="29">
        <v>68.273700000000005</v>
      </c>
      <c r="C1811" s="28">
        <f t="shared" si="37"/>
        <v>43344</v>
      </c>
    </row>
    <row r="1812" spans="1:3">
      <c r="A1812" s="28">
        <v>43347</v>
      </c>
      <c r="B1812" s="29">
        <v>67.744299999999996</v>
      </c>
      <c r="C1812" s="28">
        <f t="shared" si="37"/>
        <v>43344</v>
      </c>
    </row>
    <row r="1813" spans="1:3">
      <c r="A1813" s="28">
        <v>43344</v>
      </c>
      <c r="B1813" s="29">
        <v>68.044700000000006</v>
      </c>
      <c r="C1813" s="28">
        <f t="shared" si="37"/>
        <v>43344</v>
      </c>
    </row>
    <row r="1814" spans="1:3">
      <c r="A1814" s="28">
        <v>43343</v>
      </c>
      <c r="B1814" s="29">
        <v>68.082099999999997</v>
      </c>
      <c r="C1814" s="28">
        <f t="shared" si="37"/>
        <v>43313</v>
      </c>
    </row>
    <row r="1815" spans="1:3">
      <c r="A1815" s="28">
        <v>43342</v>
      </c>
      <c r="B1815" s="29">
        <v>68.145099999999999</v>
      </c>
      <c r="C1815" s="28">
        <f t="shared" si="37"/>
        <v>43313</v>
      </c>
    </row>
    <row r="1816" spans="1:3">
      <c r="A1816" s="28">
        <v>43341</v>
      </c>
      <c r="B1816" s="29">
        <v>67.391099999999994</v>
      </c>
      <c r="C1816" s="28">
        <f t="shared" si="37"/>
        <v>43313</v>
      </c>
    </row>
    <row r="1817" spans="1:3">
      <c r="A1817" s="28">
        <v>43340</v>
      </c>
      <c r="B1817" s="29">
        <v>67.396299999999997</v>
      </c>
      <c r="C1817" s="28">
        <f t="shared" si="37"/>
        <v>43313</v>
      </c>
    </row>
    <row r="1818" spans="1:3">
      <c r="A1818" s="28">
        <v>43337</v>
      </c>
      <c r="B1818" s="29">
        <v>67.7911</v>
      </c>
      <c r="C1818" s="28">
        <f t="shared" si="37"/>
        <v>43313</v>
      </c>
    </row>
    <row r="1819" spans="1:3">
      <c r="A1819" s="28">
        <v>43336</v>
      </c>
      <c r="B1819" s="29">
        <v>68.525899999999993</v>
      </c>
      <c r="C1819" s="28">
        <f t="shared" si="37"/>
        <v>43313</v>
      </c>
    </row>
    <row r="1820" spans="1:3">
      <c r="A1820" s="28">
        <v>43335</v>
      </c>
      <c r="B1820" s="29">
        <v>67.616299999999995</v>
      </c>
      <c r="C1820" s="28">
        <f t="shared" si="37"/>
        <v>43313</v>
      </c>
    </row>
    <row r="1821" spans="1:3">
      <c r="A1821" s="28">
        <v>43334</v>
      </c>
      <c r="B1821" s="29">
        <v>67.178299999999993</v>
      </c>
      <c r="C1821" s="28">
        <f t="shared" si="37"/>
        <v>43313</v>
      </c>
    </row>
    <row r="1822" spans="1:3">
      <c r="A1822" s="28">
        <v>43333</v>
      </c>
      <c r="B1822" s="29">
        <v>67.180700000000002</v>
      </c>
      <c r="C1822" s="28">
        <f t="shared" si="37"/>
        <v>43313</v>
      </c>
    </row>
    <row r="1823" spans="1:3">
      <c r="A1823" s="28">
        <v>43330</v>
      </c>
      <c r="B1823" s="29">
        <v>66.875699999999995</v>
      </c>
      <c r="C1823" s="28">
        <f t="shared" si="37"/>
        <v>43313</v>
      </c>
    </row>
    <row r="1824" spans="1:3">
      <c r="A1824" s="28">
        <v>43329</v>
      </c>
      <c r="B1824" s="29">
        <v>66.893199999999993</v>
      </c>
      <c r="C1824" s="28">
        <f t="shared" si="37"/>
        <v>43313</v>
      </c>
    </row>
    <row r="1825" spans="1:3">
      <c r="A1825" s="28">
        <v>43328</v>
      </c>
      <c r="B1825" s="29">
        <v>66.377200000000002</v>
      </c>
      <c r="C1825" s="28">
        <f t="shared" si="37"/>
        <v>43313</v>
      </c>
    </row>
    <row r="1826" spans="1:3">
      <c r="A1826" s="28">
        <v>43327</v>
      </c>
      <c r="B1826" s="29">
        <v>66.753500000000003</v>
      </c>
      <c r="C1826" s="28">
        <f t="shared" si="37"/>
        <v>43313</v>
      </c>
    </row>
    <row r="1827" spans="1:3">
      <c r="A1827" s="28">
        <v>43326</v>
      </c>
      <c r="B1827" s="29">
        <v>68.223399999999998</v>
      </c>
      <c r="C1827" s="28">
        <f t="shared" si="37"/>
        <v>43313</v>
      </c>
    </row>
    <row r="1828" spans="1:3">
      <c r="A1828" s="28">
        <v>43323</v>
      </c>
      <c r="B1828" s="29">
        <v>66.907499999999999</v>
      </c>
      <c r="C1828" s="28">
        <f t="shared" si="37"/>
        <v>43313</v>
      </c>
    </row>
    <row r="1829" spans="1:3">
      <c r="A1829" s="28">
        <v>43322</v>
      </c>
      <c r="B1829" s="29">
        <v>66.285600000000002</v>
      </c>
      <c r="C1829" s="28">
        <f t="shared" si="37"/>
        <v>43313</v>
      </c>
    </row>
    <row r="1830" spans="1:3">
      <c r="A1830" s="28">
        <v>43321</v>
      </c>
      <c r="B1830" s="29">
        <v>63.594999999999999</v>
      </c>
      <c r="C1830" s="28">
        <f t="shared" si="37"/>
        <v>43313</v>
      </c>
    </row>
    <row r="1831" spans="1:3">
      <c r="A1831" s="28">
        <v>43320</v>
      </c>
      <c r="B1831" s="29">
        <v>63.542499999999997</v>
      </c>
      <c r="C1831" s="28">
        <f t="shared" si="37"/>
        <v>43313</v>
      </c>
    </row>
    <row r="1832" spans="1:3">
      <c r="A1832" s="28">
        <v>43319</v>
      </c>
      <c r="B1832" s="29">
        <v>63.497500000000002</v>
      </c>
      <c r="C1832" s="28">
        <f t="shared" si="37"/>
        <v>43313</v>
      </c>
    </row>
    <row r="1833" spans="1:3">
      <c r="A1833" s="28">
        <v>43316</v>
      </c>
      <c r="B1833" s="29">
        <v>63.454900000000002</v>
      </c>
      <c r="C1833" s="28">
        <f t="shared" si="37"/>
        <v>43313</v>
      </c>
    </row>
    <row r="1834" spans="1:3">
      <c r="A1834" s="28">
        <v>43315</v>
      </c>
      <c r="B1834" s="29">
        <v>63.135800000000003</v>
      </c>
      <c r="C1834" s="28">
        <f t="shared" si="37"/>
        <v>43313</v>
      </c>
    </row>
    <row r="1835" spans="1:3">
      <c r="A1835" s="28">
        <v>43314</v>
      </c>
      <c r="B1835" s="29">
        <v>62.558999999999997</v>
      </c>
      <c r="C1835" s="28">
        <f t="shared" si="37"/>
        <v>43313</v>
      </c>
    </row>
    <row r="1836" spans="1:3">
      <c r="A1836" s="28">
        <v>43313</v>
      </c>
      <c r="B1836" s="29">
        <v>62.349699999999999</v>
      </c>
      <c r="C1836" s="28">
        <f t="shared" si="37"/>
        <v>43313</v>
      </c>
    </row>
    <row r="1837" spans="1:3">
      <c r="A1837" s="28">
        <v>43312</v>
      </c>
      <c r="B1837" s="29">
        <v>62.780500000000004</v>
      </c>
      <c r="C1837" s="28">
        <f t="shared" si="37"/>
        <v>43282</v>
      </c>
    </row>
    <row r="1838" spans="1:3">
      <c r="A1838" s="28">
        <v>43309</v>
      </c>
      <c r="B1838" s="29">
        <v>62.9726</v>
      </c>
      <c r="C1838" s="28">
        <f t="shared" si="37"/>
        <v>43282</v>
      </c>
    </row>
    <row r="1839" spans="1:3">
      <c r="A1839" s="28">
        <v>43308</v>
      </c>
      <c r="B1839" s="29">
        <v>62.947099999999999</v>
      </c>
      <c r="C1839" s="28">
        <f t="shared" si="37"/>
        <v>43282</v>
      </c>
    </row>
    <row r="1840" spans="1:3">
      <c r="A1840" s="28">
        <v>43307</v>
      </c>
      <c r="B1840" s="29">
        <v>63.083599999999997</v>
      </c>
      <c r="C1840" s="28">
        <f t="shared" si="37"/>
        <v>43282</v>
      </c>
    </row>
    <row r="1841" spans="1:3">
      <c r="A1841" s="28">
        <v>43306</v>
      </c>
      <c r="B1841" s="29">
        <v>62.923499999999997</v>
      </c>
      <c r="C1841" s="28">
        <f t="shared" si="37"/>
        <v>43282</v>
      </c>
    </row>
    <row r="1842" spans="1:3">
      <c r="A1842" s="28">
        <v>43305</v>
      </c>
      <c r="B1842" s="29">
        <v>63.195700000000002</v>
      </c>
      <c r="C1842" s="28">
        <f t="shared" si="37"/>
        <v>43282</v>
      </c>
    </row>
    <row r="1843" spans="1:3">
      <c r="A1843" s="28">
        <v>43302</v>
      </c>
      <c r="B1843" s="29">
        <v>63.488799999999998</v>
      </c>
      <c r="C1843" s="28">
        <f t="shared" si="37"/>
        <v>43282</v>
      </c>
    </row>
    <row r="1844" spans="1:3">
      <c r="A1844" s="28">
        <v>43301</v>
      </c>
      <c r="B1844" s="29">
        <v>63.2746</v>
      </c>
      <c r="C1844" s="28">
        <f t="shared" si="37"/>
        <v>43282</v>
      </c>
    </row>
    <row r="1845" spans="1:3">
      <c r="A1845" s="28">
        <v>43300</v>
      </c>
      <c r="B1845" s="29">
        <v>62.900599999999997</v>
      </c>
      <c r="C1845" s="28">
        <f t="shared" si="37"/>
        <v>43282</v>
      </c>
    </row>
    <row r="1846" spans="1:3">
      <c r="A1846" s="28">
        <v>43299</v>
      </c>
      <c r="B1846" s="29">
        <v>62.435200000000002</v>
      </c>
      <c r="C1846" s="28">
        <f t="shared" si="37"/>
        <v>43282</v>
      </c>
    </row>
    <row r="1847" spans="1:3">
      <c r="A1847" s="28">
        <v>43298</v>
      </c>
      <c r="B1847" s="29">
        <v>62.255600000000001</v>
      </c>
      <c r="C1847" s="28">
        <f t="shared" si="37"/>
        <v>43282</v>
      </c>
    </row>
    <row r="1848" spans="1:3">
      <c r="A1848" s="28">
        <v>43295</v>
      </c>
      <c r="B1848" s="29">
        <v>62.293399999999998</v>
      </c>
      <c r="C1848" s="28">
        <f t="shared" si="37"/>
        <v>43282</v>
      </c>
    </row>
    <row r="1849" spans="1:3">
      <c r="A1849" s="28">
        <v>43294</v>
      </c>
      <c r="B1849" s="29">
        <v>62.206200000000003</v>
      </c>
      <c r="C1849" s="28">
        <f t="shared" si="37"/>
        <v>43282</v>
      </c>
    </row>
    <row r="1850" spans="1:3">
      <c r="A1850" s="28">
        <v>43293</v>
      </c>
      <c r="B1850" s="29">
        <v>62.097999999999999</v>
      </c>
      <c r="C1850" s="28">
        <f t="shared" si="37"/>
        <v>43282</v>
      </c>
    </row>
    <row r="1851" spans="1:3">
      <c r="A1851" s="28">
        <v>43292</v>
      </c>
      <c r="B1851" s="29">
        <v>62.444200000000002</v>
      </c>
      <c r="C1851" s="28">
        <f t="shared" si="37"/>
        <v>43282</v>
      </c>
    </row>
    <row r="1852" spans="1:3">
      <c r="A1852" s="28">
        <v>43291</v>
      </c>
      <c r="B1852" s="29">
        <v>62.833799999999997</v>
      </c>
      <c r="C1852" s="28">
        <f t="shared" si="37"/>
        <v>43282</v>
      </c>
    </row>
    <row r="1853" spans="1:3">
      <c r="A1853" s="28">
        <v>43288</v>
      </c>
      <c r="B1853" s="29">
        <v>63.121600000000001</v>
      </c>
      <c r="C1853" s="28">
        <f t="shared" si="37"/>
        <v>43282</v>
      </c>
    </row>
    <row r="1854" spans="1:3">
      <c r="A1854" s="28">
        <v>43287</v>
      </c>
      <c r="B1854" s="29">
        <v>63.260399999999997</v>
      </c>
      <c r="C1854" s="28">
        <f t="shared" si="37"/>
        <v>43282</v>
      </c>
    </row>
    <row r="1855" spans="1:3">
      <c r="A1855" s="28">
        <v>43286</v>
      </c>
      <c r="B1855" s="29">
        <v>63.226700000000001</v>
      </c>
      <c r="C1855" s="28">
        <f t="shared" si="37"/>
        <v>43282</v>
      </c>
    </row>
    <row r="1856" spans="1:3">
      <c r="A1856" s="28">
        <v>43285</v>
      </c>
      <c r="B1856" s="29">
        <v>63.2194</v>
      </c>
      <c r="C1856" s="28">
        <f t="shared" si="37"/>
        <v>43282</v>
      </c>
    </row>
    <row r="1857" spans="1:3">
      <c r="A1857" s="28">
        <v>43284</v>
      </c>
      <c r="B1857" s="29">
        <v>63.139400000000002</v>
      </c>
      <c r="C1857" s="28">
        <f t="shared" si="37"/>
        <v>43282</v>
      </c>
    </row>
    <row r="1858" spans="1:3">
      <c r="A1858" s="28">
        <v>43281</v>
      </c>
      <c r="B1858" s="29">
        <v>62.756500000000003</v>
      </c>
      <c r="C1858" s="28">
        <f t="shared" si="37"/>
        <v>43252</v>
      </c>
    </row>
    <row r="1859" spans="1:3">
      <c r="A1859" s="28">
        <v>43280</v>
      </c>
      <c r="B1859" s="29">
        <v>63.290999999999997</v>
      </c>
      <c r="C1859" s="28">
        <f t="shared" ref="C1859:C1922" si="38">DATE(YEAR(A1859),MONTH(A1859),1)</f>
        <v>43252</v>
      </c>
    </row>
    <row r="1860" spans="1:3">
      <c r="A1860" s="28">
        <v>43279</v>
      </c>
      <c r="B1860" s="29">
        <v>63.135899999999999</v>
      </c>
      <c r="C1860" s="28">
        <f t="shared" si="38"/>
        <v>43252</v>
      </c>
    </row>
    <row r="1861" spans="1:3">
      <c r="A1861" s="28">
        <v>43278</v>
      </c>
      <c r="B1861" s="29">
        <v>62.790799999999997</v>
      </c>
      <c r="C1861" s="28">
        <f t="shared" si="38"/>
        <v>43252</v>
      </c>
    </row>
    <row r="1862" spans="1:3">
      <c r="A1862" s="28">
        <v>43277</v>
      </c>
      <c r="B1862" s="29">
        <v>62.9497</v>
      </c>
      <c r="C1862" s="28">
        <f t="shared" si="38"/>
        <v>43252</v>
      </c>
    </row>
    <row r="1863" spans="1:3">
      <c r="A1863" s="28">
        <v>43274</v>
      </c>
      <c r="B1863" s="29">
        <v>63.239600000000003</v>
      </c>
      <c r="C1863" s="28">
        <f t="shared" si="38"/>
        <v>43252</v>
      </c>
    </row>
    <row r="1864" spans="1:3">
      <c r="A1864" s="28">
        <v>43273</v>
      </c>
      <c r="B1864" s="29">
        <v>63.787300000000002</v>
      </c>
      <c r="C1864" s="28">
        <f t="shared" si="38"/>
        <v>43252</v>
      </c>
    </row>
    <row r="1865" spans="1:3">
      <c r="A1865" s="28">
        <v>43272</v>
      </c>
      <c r="B1865" s="29">
        <v>63.6175</v>
      </c>
      <c r="C1865" s="28">
        <f t="shared" si="38"/>
        <v>43252</v>
      </c>
    </row>
    <row r="1866" spans="1:3">
      <c r="A1866" s="28">
        <v>43271</v>
      </c>
      <c r="B1866" s="29">
        <v>64.068299999999994</v>
      </c>
      <c r="C1866" s="28">
        <f t="shared" si="38"/>
        <v>43252</v>
      </c>
    </row>
    <row r="1867" spans="1:3">
      <c r="A1867" s="28">
        <v>43270</v>
      </c>
      <c r="B1867" s="29">
        <v>63.483800000000002</v>
      </c>
      <c r="C1867" s="28">
        <f t="shared" si="38"/>
        <v>43252</v>
      </c>
    </row>
    <row r="1868" spans="1:3">
      <c r="A1868" s="28">
        <v>43267</v>
      </c>
      <c r="B1868" s="29">
        <v>62.685099999999998</v>
      </c>
      <c r="C1868" s="28">
        <f t="shared" si="38"/>
        <v>43252</v>
      </c>
    </row>
    <row r="1869" spans="1:3">
      <c r="A1869" s="28">
        <v>43266</v>
      </c>
      <c r="B1869" s="29">
        <v>62.251100000000001</v>
      </c>
      <c r="C1869" s="28">
        <f t="shared" si="38"/>
        <v>43252</v>
      </c>
    </row>
    <row r="1870" spans="1:3">
      <c r="A1870" s="28">
        <v>43265</v>
      </c>
      <c r="B1870" s="29">
        <v>63.116399999999999</v>
      </c>
      <c r="C1870" s="28">
        <f t="shared" si="38"/>
        <v>43252</v>
      </c>
    </row>
    <row r="1871" spans="1:3">
      <c r="A1871" s="28">
        <v>43261</v>
      </c>
      <c r="B1871" s="29">
        <v>62.3431</v>
      </c>
      <c r="C1871" s="28">
        <f t="shared" si="38"/>
        <v>43252</v>
      </c>
    </row>
    <row r="1872" spans="1:3">
      <c r="A1872" s="28">
        <v>43260</v>
      </c>
      <c r="B1872" s="29">
        <v>62.667999999999999</v>
      </c>
      <c r="C1872" s="28">
        <f t="shared" si="38"/>
        <v>43252</v>
      </c>
    </row>
    <row r="1873" spans="1:3">
      <c r="A1873" s="28">
        <v>43259</v>
      </c>
      <c r="B1873" s="29">
        <v>61.8125</v>
      </c>
      <c r="C1873" s="28">
        <f t="shared" si="38"/>
        <v>43252</v>
      </c>
    </row>
    <row r="1874" spans="1:3">
      <c r="A1874" s="28">
        <v>43258</v>
      </c>
      <c r="B1874" s="29">
        <v>62.006399999999999</v>
      </c>
      <c r="C1874" s="28">
        <f t="shared" si="38"/>
        <v>43252</v>
      </c>
    </row>
    <row r="1875" spans="1:3">
      <c r="A1875" s="28">
        <v>43257</v>
      </c>
      <c r="B1875" s="29">
        <v>61.982199999999999</v>
      </c>
      <c r="C1875" s="28">
        <f t="shared" si="38"/>
        <v>43252</v>
      </c>
    </row>
    <row r="1876" spans="1:3">
      <c r="A1876" s="28">
        <v>43256</v>
      </c>
      <c r="B1876" s="29">
        <v>61.929000000000002</v>
      </c>
      <c r="C1876" s="28">
        <f t="shared" si="38"/>
        <v>43252</v>
      </c>
    </row>
    <row r="1877" spans="1:3">
      <c r="A1877" s="28">
        <v>43253</v>
      </c>
      <c r="B1877" s="29">
        <v>62.205599999999997</v>
      </c>
      <c r="C1877" s="28">
        <f t="shared" si="38"/>
        <v>43252</v>
      </c>
    </row>
    <row r="1878" spans="1:3">
      <c r="A1878" s="28">
        <v>43252</v>
      </c>
      <c r="B1878" s="29">
        <v>62.018799999999999</v>
      </c>
      <c r="C1878" s="28">
        <f t="shared" si="38"/>
        <v>43252</v>
      </c>
    </row>
    <row r="1879" spans="1:3">
      <c r="A1879" s="28">
        <v>43251</v>
      </c>
      <c r="B1879" s="29">
        <v>62.593699999999998</v>
      </c>
      <c r="C1879" s="28">
        <f t="shared" si="38"/>
        <v>43221</v>
      </c>
    </row>
    <row r="1880" spans="1:3">
      <c r="A1880" s="28">
        <v>43250</v>
      </c>
      <c r="B1880" s="29">
        <v>62.642000000000003</v>
      </c>
      <c r="C1880" s="28">
        <f t="shared" si="38"/>
        <v>43221</v>
      </c>
    </row>
    <row r="1881" spans="1:3">
      <c r="A1881" s="28">
        <v>43249</v>
      </c>
      <c r="B1881" s="29">
        <v>62.271000000000001</v>
      </c>
      <c r="C1881" s="28">
        <f t="shared" si="38"/>
        <v>43221</v>
      </c>
    </row>
    <row r="1882" spans="1:3">
      <c r="A1882" s="28">
        <v>43246</v>
      </c>
      <c r="B1882" s="29">
        <v>61.665900000000001</v>
      </c>
      <c r="C1882" s="28">
        <f t="shared" si="38"/>
        <v>43221</v>
      </c>
    </row>
    <row r="1883" spans="1:3">
      <c r="A1883" s="28">
        <v>43245</v>
      </c>
      <c r="B1883" s="29">
        <v>61.408999999999999</v>
      </c>
      <c r="C1883" s="28">
        <f t="shared" si="38"/>
        <v>43221</v>
      </c>
    </row>
    <row r="1884" spans="1:3">
      <c r="A1884" s="28">
        <v>43244</v>
      </c>
      <c r="B1884" s="29">
        <v>61.594499999999996</v>
      </c>
      <c r="C1884" s="28">
        <f t="shared" si="38"/>
        <v>43221</v>
      </c>
    </row>
    <row r="1885" spans="1:3">
      <c r="A1885" s="28">
        <v>43243</v>
      </c>
      <c r="B1885" s="29">
        <v>61.261000000000003</v>
      </c>
      <c r="C1885" s="28">
        <f t="shared" si="38"/>
        <v>43221</v>
      </c>
    </row>
    <row r="1886" spans="1:3">
      <c r="A1886" s="28">
        <v>43242</v>
      </c>
      <c r="B1886" s="29">
        <v>62.532699999999998</v>
      </c>
      <c r="C1886" s="28">
        <f t="shared" si="38"/>
        <v>43221</v>
      </c>
    </row>
    <row r="1887" spans="1:3">
      <c r="A1887" s="28">
        <v>43239</v>
      </c>
      <c r="B1887" s="29">
        <v>61.940800000000003</v>
      </c>
      <c r="C1887" s="28">
        <f t="shared" si="38"/>
        <v>43221</v>
      </c>
    </row>
    <row r="1888" spans="1:3">
      <c r="A1888" s="28">
        <v>43238</v>
      </c>
      <c r="B1888" s="29">
        <v>61.8215</v>
      </c>
      <c r="C1888" s="28">
        <f t="shared" si="38"/>
        <v>43221</v>
      </c>
    </row>
    <row r="1889" spans="1:3">
      <c r="A1889" s="28">
        <v>43237</v>
      </c>
      <c r="B1889" s="29">
        <v>62.3033</v>
      </c>
      <c r="C1889" s="28">
        <f t="shared" si="38"/>
        <v>43221</v>
      </c>
    </row>
    <row r="1890" spans="1:3">
      <c r="A1890" s="28">
        <v>43236</v>
      </c>
      <c r="B1890" s="29">
        <v>61.916400000000003</v>
      </c>
      <c r="C1890" s="28">
        <f t="shared" si="38"/>
        <v>43221</v>
      </c>
    </row>
    <row r="1891" spans="1:3">
      <c r="A1891" s="28">
        <v>43235</v>
      </c>
      <c r="B1891" s="29">
        <v>61.7684</v>
      </c>
      <c r="C1891" s="28">
        <f t="shared" si="38"/>
        <v>43221</v>
      </c>
    </row>
    <row r="1892" spans="1:3">
      <c r="A1892" s="28">
        <v>43232</v>
      </c>
      <c r="B1892" s="29">
        <v>61.735399999999998</v>
      </c>
      <c r="C1892" s="28">
        <f t="shared" si="38"/>
        <v>43221</v>
      </c>
    </row>
    <row r="1893" spans="1:3">
      <c r="A1893" s="28">
        <v>43231</v>
      </c>
      <c r="B1893" s="29">
        <v>62.5229</v>
      </c>
      <c r="C1893" s="28">
        <f t="shared" si="38"/>
        <v>43221</v>
      </c>
    </row>
    <row r="1894" spans="1:3">
      <c r="A1894" s="28">
        <v>43229</v>
      </c>
      <c r="B1894" s="29">
        <v>63.006599999999999</v>
      </c>
      <c r="C1894" s="28">
        <f t="shared" si="38"/>
        <v>43221</v>
      </c>
    </row>
    <row r="1895" spans="1:3">
      <c r="A1895" s="28">
        <v>43228</v>
      </c>
      <c r="B1895" s="29">
        <v>62.714799999999997</v>
      </c>
      <c r="C1895" s="28">
        <f t="shared" si="38"/>
        <v>43221</v>
      </c>
    </row>
    <row r="1896" spans="1:3">
      <c r="A1896" s="28">
        <v>43225</v>
      </c>
      <c r="B1896" s="29">
        <v>63.2012</v>
      </c>
      <c r="C1896" s="28">
        <f t="shared" si="38"/>
        <v>43221</v>
      </c>
    </row>
    <row r="1897" spans="1:3">
      <c r="A1897" s="28">
        <v>43224</v>
      </c>
      <c r="B1897" s="29">
        <v>63.485999999999997</v>
      </c>
      <c r="C1897" s="28">
        <f t="shared" si="38"/>
        <v>43221</v>
      </c>
    </row>
    <row r="1898" spans="1:3">
      <c r="A1898" s="28">
        <v>43219</v>
      </c>
      <c r="B1898" s="29">
        <v>61.999699999999997</v>
      </c>
      <c r="C1898" s="28">
        <f t="shared" si="38"/>
        <v>43191</v>
      </c>
    </row>
    <row r="1899" spans="1:3">
      <c r="A1899" s="28">
        <v>43218</v>
      </c>
      <c r="B1899" s="29">
        <v>62.725999999999999</v>
      </c>
      <c r="C1899" s="28">
        <f t="shared" si="38"/>
        <v>43191</v>
      </c>
    </row>
    <row r="1900" spans="1:3">
      <c r="A1900" s="28">
        <v>43217</v>
      </c>
      <c r="B1900" s="29">
        <v>62.602699999999999</v>
      </c>
      <c r="C1900" s="28">
        <f t="shared" si="38"/>
        <v>43191</v>
      </c>
    </row>
    <row r="1901" spans="1:3">
      <c r="A1901" s="28">
        <v>43216</v>
      </c>
      <c r="B1901" s="29">
        <v>61.749400000000001</v>
      </c>
      <c r="C1901" s="28">
        <f t="shared" si="38"/>
        <v>43191</v>
      </c>
    </row>
    <row r="1902" spans="1:3">
      <c r="A1902" s="28">
        <v>43215</v>
      </c>
      <c r="B1902" s="29">
        <v>61.664400000000001</v>
      </c>
      <c r="C1902" s="28">
        <f t="shared" si="38"/>
        <v>43191</v>
      </c>
    </row>
    <row r="1903" spans="1:3">
      <c r="A1903" s="28">
        <v>43214</v>
      </c>
      <c r="B1903" s="29">
        <v>61.765500000000003</v>
      </c>
      <c r="C1903" s="28">
        <f t="shared" si="38"/>
        <v>43191</v>
      </c>
    </row>
    <row r="1904" spans="1:3">
      <c r="A1904" s="28">
        <v>43211</v>
      </c>
      <c r="B1904" s="29">
        <v>61.322200000000002</v>
      </c>
      <c r="C1904" s="28">
        <f t="shared" si="38"/>
        <v>43191</v>
      </c>
    </row>
    <row r="1905" spans="1:3">
      <c r="A1905" s="28">
        <v>43210</v>
      </c>
      <c r="B1905" s="29">
        <v>60.8583</v>
      </c>
      <c r="C1905" s="28">
        <f t="shared" si="38"/>
        <v>43191</v>
      </c>
    </row>
    <row r="1906" spans="1:3">
      <c r="A1906" s="28">
        <v>43209</v>
      </c>
      <c r="B1906" s="29">
        <v>61.553899999999999</v>
      </c>
      <c r="C1906" s="28">
        <f t="shared" si="38"/>
        <v>43191</v>
      </c>
    </row>
    <row r="1907" spans="1:3">
      <c r="A1907" s="28">
        <v>43208</v>
      </c>
      <c r="B1907" s="29">
        <v>61.145400000000002</v>
      </c>
      <c r="C1907" s="28">
        <f t="shared" si="38"/>
        <v>43191</v>
      </c>
    </row>
    <row r="1908" spans="1:3">
      <c r="A1908" s="28">
        <v>43207</v>
      </c>
      <c r="B1908" s="29">
        <v>62.279400000000003</v>
      </c>
      <c r="C1908" s="28">
        <f t="shared" si="38"/>
        <v>43191</v>
      </c>
    </row>
    <row r="1909" spans="1:3">
      <c r="A1909" s="28">
        <v>43204</v>
      </c>
      <c r="B1909" s="29">
        <v>61.431100000000001</v>
      </c>
      <c r="C1909" s="28">
        <f t="shared" si="38"/>
        <v>43191</v>
      </c>
    </row>
    <row r="1910" spans="1:3">
      <c r="A1910" s="28">
        <v>43203</v>
      </c>
      <c r="B1910" s="29">
        <v>62.065899999999999</v>
      </c>
      <c r="C1910" s="28">
        <f t="shared" si="38"/>
        <v>43191</v>
      </c>
    </row>
    <row r="1911" spans="1:3">
      <c r="A1911" s="28">
        <v>43202</v>
      </c>
      <c r="B1911" s="29">
        <v>64.062600000000003</v>
      </c>
      <c r="C1911" s="28">
        <f t="shared" si="38"/>
        <v>43191</v>
      </c>
    </row>
    <row r="1912" spans="1:3">
      <c r="A1912" s="28">
        <v>43201</v>
      </c>
      <c r="B1912" s="29">
        <v>62.369900000000001</v>
      </c>
      <c r="C1912" s="28">
        <f t="shared" si="38"/>
        <v>43191</v>
      </c>
    </row>
    <row r="1913" spans="1:3">
      <c r="A1913" s="28">
        <v>43200</v>
      </c>
      <c r="B1913" s="29">
        <v>58.571399999999997</v>
      </c>
      <c r="C1913" s="28">
        <f t="shared" si="38"/>
        <v>43191</v>
      </c>
    </row>
    <row r="1914" spans="1:3">
      <c r="A1914" s="28">
        <v>43197</v>
      </c>
      <c r="B1914" s="29">
        <v>57.833199999999998</v>
      </c>
      <c r="C1914" s="28">
        <f t="shared" si="38"/>
        <v>43191</v>
      </c>
    </row>
    <row r="1915" spans="1:3">
      <c r="A1915" s="28">
        <v>43196</v>
      </c>
      <c r="B1915" s="29">
        <v>57.579599999999999</v>
      </c>
      <c r="C1915" s="28">
        <f t="shared" si="38"/>
        <v>43191</v>
      </c>
    </row>
    <row r="1916" spans="1:3">
      <c r="A1916" s="28">
        <v>43195</v>
      </c>
      <c r="B1916" s="29">
        <v>57.764600000000002</v>
      </c>
      <c r="C1916" s="28">
        <f t="shared" si="38"/>
        <v>43191</v>
      </c>
    </row>
    <row r="1917" spans="1:3">
      <c r="A1917" s="28">
        <v>43194</v>
      </c>
      <c r="B1917" s="29">
        <v>57.537500000000001</v>
      </c>
      <c r="C1917" s="28">
        <f t="shared" si="38"/>
        <v>43191</v>
      </c>
    </row>
    <row r="1918" spans="1:3">
      <c r="A1918" s="28">
        <v>43193</v>
      </c>
      <c r="B1918" s="29">
        <v>57.284999999999997</v>
      </c>
      <c r="C1918" s="28">
        <f t="shared" si="38"/>
        <v>43191</v>
      </c>
    </row>
    <row r="1919" spans="1:3">
      <c r="A1919" s="28">
        <v>43190</v>
      </c>
      <c r="B1919" s="29">
        <v>57.264899999999997</v>
      </c>
      <c r="C1919" s="28">
        <f t="shared" si="38"/>
        <v>43160</v>
      </c>
    </row>
    <row r="1920" spans="1:3">
      <c r="A1920" s="28">
        <v>43189</v>
      </c>
      <c r="B1920" s="29">
        <v>57.762599999999999</v>
      </c>
      <c r="C1920" s="28">
        <f t="shared" si="38"/>
        <v>43160</v>
      </c>
    </row>
    <row r="1921" spans="1:3">
      <c r="A1921" s="28">
        <v>43188</v>
      </c>
      <c r="B1921" s="29">
        <v>57.559800000000003</v>
      </c>
      <c r="C1921" s="28">
        <f t="shared" si="38"/>
        <v>43160</v>
      </c>
    </row>
    <row r="1922" spans="1:3">
      <c r="A1922" s="28">
        <v>43187</v>
      </c>
      <c r="B1922" s="29">
        <v>57.174700000000001</v>
      </c>
      <c r="C1922" s="28">
        <f t="shared" si="38"/>
        <v>43160</v>
      </c>
    </row>
    <row r="1923" spans="1:3">
      <c r="A1923" s="28">
        <v>43186</v>
      </c>
      <c r="B1923" s="29">
        <v>57.003900000000002</v>
      </c>
      <c r="C1923" s="28">
        <f t="shared" ref="C1923:C1986" si="39">DATE(YEAR(A1923),MONTH(A1923),1)</f>
        <v>43160</v>
      </c>
    </row>
    <row r="1924" spans="1:3">
      <c r="A1924" s="28">
        <v>43183</v>
      </c>
      <c r="B1924" s="29">
        <v>57.107199999999999</v>
      </c>
      <c r="C1924" s="28">
        <f t="shared" si="39"/>
        <v>43160</v>
      </c>
    </row>
    <row r="1925" spans="1:3">
      <c r="A1925" s="28">
        <v>43182</v>
      </c>
      <c r="B1925" s="29">
        <v>56.839100000000002</v>
      </c>
      <c r="C1925" s="28">
        <f t="shared" si="39"/>
        <v>43160</v>
      </c>
    </row>
    <row r="1926" spans="1:3">
      <c r="A1926" s="28">
        <v>43181</v>
      </c>
      <c r="B1926" s="29">
        <v>57.495399999999997</v>
      </c>
      <c r="C1926" s="28">
        <f t="shared" si="39"/>
        <v>43160</v>
      </c>
    </row>
    <row r="1927" spans="1:3">
      <c r="A1927" s="28">
        <v>43180</v>
      </c>
      <c r="B1927" s="29">
        <v>57.703299999999999</v>
      </c>
      <c r="C1927" s="28">
        <f t="shared" si="39"/>
        <v>43160</v>
      </c>
    </row>
    <row r="1928" spans="1:3">
      <c r="A1928" s="28">
        <v>43179</v>
      </c>
      <c r="B1928" s="29">
        <v>57.552100000000003</v>
      </c>
      <c r="C1928" s="28">
        <f t="shared" si="39"/>
        <v>43160</v>
      </c>
    </row>
    <row r="1929" spans="1:3">
      <c r="A1929" s="28">
        <v>43176</v>
      </c>
      <c r="B1929" s="29">
        <v>57.494199999999999</v>
      </c>
      <c r="C1929" s="28">
        <f t="shared" si="39"/>
        <v>43160</v>
      </c>
    </row>
    <row r="1930" spans="1:3">
      <c r="A1930" s="28">
        <v>43175</v>
      </c>
      <c r="B1930" s="29">
        <v>57.018799999999999</v>
      </c>
      <c r="C1930" s="28">
        <f t="shared" si="39"/>
        <v>43160</v>
      </c>
    </row>
    <row r="1931" spans="1:3">
      <c r="A1931" s="28">
        <v>43174</v>
      </c>
      <c r="B1931" s="29">
        <v>56.937199999999997</v>
      </c>
      <c r="C1931" s="28">
        <f t="shared" si="39"/>
        <v>43160</v>
      </c>
    </row>
    <row r="1932" spans="1:3">
      <c r="A1932" s="28">
        <v>43173</v>
      </c>
      <c r="B1932" s="29">
        <v>56.935899999999997</v>
      </c>
      <c r="C1932" s="28">
        <f t="shared" si="39"/>
        <v>43160</v>
      </c>
    </row>
    <row r="1933" spans="1:3">
      <c r="A1933" s="28">
        <v>43172</v>
      </c>
      <c r="B1933" s="29">
        <v>56.612200000000001</v>
      </c>
      <c r="C1933" s="28">
        <f t="shared" si="39"/>
        <v>43160</v>
      </c>
    </row>
    <row r="1934" spans="1:3">
      <c r="A1934" s="28">
        <v>43167</v>
      </c>
      <c r="B1934" s="29">
        <v>56.801099999999998</v>
      </c>
      <c r="C1934" s="28">
        <f t="shared" si="39"/>
        <v>43160</v>
      </c>
    </row>
    <row r="1935" spans="1:3">
      <c r="A1935" s="28">
        <v>43166</v>
      </c>
      <c r="B1935" s="29">
        <v>56.504100000000001</v>
      </c>
      <c r="C1935" s="28">
        <f t="shared" si="39"/>
        <v>43160</v>
      </c>
    </row>
    <row r="1936" spans="1:3">
      <c r="A1936" s="28">
        <v>43165</v>
      </c>
      <c r="B1936" s="29">
        <v>57.1</v>
      </c>
      <c r="C1936" s="28">
        <f t="shared" si="39"/>
        <v>43160</v>
      </c>
    </row>
    <row r="1937" spans="1:3">
      <c r="A1937" s="28">
        <v>43162</v>
      </c>
      <c r="B1937" s="29">
        <v>56.6616</v>
      </c>
      <c r="C1937" s="28">
        <f t="shared" si="39"/>
        <v>43160</v>
      </c>
    </row>
    <row r="1938" spans="1:3">
      <c r="A1938" s="28">
        <v>43161</v>
      </c>
      <c r="B1938" s="29">
        <v>56.433399999999999</v>
      </c>
      <c r="C1938" s="28">
        <f t="shared" si="39"/>
        <v>43160</v>
      </c>
    </row>
    <row r="1939" spans="1:3">
      <c r="A1939" s="28">
        <v>43160</v>
      </c>
      <c r="B1939" s="29">
        <v>56.374200000000002</v>
      </c>
      <c r="C1939" s="28">
        <f t="shared" si="39"/>
        <v>43160</v>
      </c>
    </row>
    <row r="1940" spans="1:3">
      <c r="A1940" s="28">
        <v>43159</v>
      </c>
      <c r="B1940" s="29">
        <v>55.671700000000001</v>
      </c>
      <c r="C1940" s="28">
        <f t="shared" si="39"/>
        <v>43132</v>
      </c>
    </row>
    <row r="1941" spans="1:3">
      <c r="A1941" s="28">
        <v>43158</v>
      </c>
      <c r="B1941" s="29">
        <v>55.9208</v>
      </c>
      <c r="C1941" s="28">
        <f t="shared" si="39"/>
        <v>43132</v>
      </c>
    </row>
    <row r="1942" spans="1:3">
      <c r="A1942" s="28">
        <v>43154</v>
      </c>
      <c r="B1942" s="29">
        <v>56.760800000000003</v>
      </c>
      <c r="C1942" s="28">
        <f t="shared" si="39"/>
        <v>43132</v>
      </c>
    </row>
    <row r="1943" spans="1:3">
      <c r="A1943" s="28">
        <v>43153</v>
      </c>
      <c r="B1943" s="29">
        <v>56.653700000000001</v>
      </c>
      <c r="C1943" s="28">
        <f t="shared" si="39"/>
        <v>43132</v>
      </c>
    </row>
    <row r="1944" spans="1:3">
      <c r="A1944" s="28">
        <v>43152</v>
      </c>
      <c r="B1944" s="29">
        <v>56.520099999999999</v>
      </c>
      <c r="C1944" s="28">
        <f t="shared" si="39"/>
        <v>43132</v>
      </c>
    </row>
    <row r="1945" spans="1:3">
      <c r="A1945" s="28">
        <v>43151</v>
      </c>
      <c r="B1945" s="29">
        <v>56.343800000000002</v>
      </c>
      <c r="C1945" s="28">
        <f t="shared" si="39"/>
        <v>43132</v>
      </c>
    </row>
    <row r="1946" spans="1:3">
      <c r="A1946" s="28">
        <v>43148</v>
      </c>
      <c r="B1946" s="29">
        <v>56.355400000000003</v>
      </c>
      <c r="C1946" s="28">
        <f t="shared" si="39"/>
        <v>43132</v>
      </c>
    </row>
    <row r="1947" spans="1:3">
      <c r="A1947" s="28">
        <v>43147</v>
      </c>
      <c r="B1947" s="29">
        <v>56.591799999999999</v>
      </c>
      <c r="C1947" s="28">
        <f t="shared" si="39"/>
        <v>43132</v>
      </c>
    </row>
    <row r="1948" spans="1:3">
      <c r="A1948" s="28">
        <v>43146</v>
      </c>
      <c r="B1948" s="29">
        <v>57.5899</v>
      </c>
      <c r="C1948" s="28">
        <f t="shared" si="39"/>
        <v>43132</v>
      </c>
    </row>
    <row r="1949" spans="1:3">
      <c r="A1949" s="28">
        <v>43145</v>
      </c>
      <c r="B1949" s="29">
        <v>57.770099999999999</v>
      </c>
      <c r="C1949" s="28">
        <f t="shared" si="39"/>
        <v>43132</v>
      </c>
    </row>
    <row r="1950" spans="1:3">
      <c r="A1950" s="28">
        <v>43144</v>
      </c>
      <c r="B1950" s="29">
        <v>58.017099999999999</v>
      </c>
      <c r="C1950" s="28">
        <f t="shared" si="39"/>
        <v>43132</v>
      </c>
    </row>
    <row r="1951" spans="1:3">
      <c r="A1951" s="28">
        <v>43141</v>
      </c>
      <c r="B1951" s="29">
        <v>58.171799999999998</v>
      </c>
      <c r="C1951" s="28">
        <f t="shared" si="39"/>
        <v>43132</v>
      </c>
    </row>
    <row r="1952" spans="1:3">
      <c r="A1952" s="28">
        <v>43140</v>
      </c>
      <c r="B1952" s="29">
        <v>57.6736</v>
      </c>
      <c r="C1952" s="28">
        <f t="shared" si="39"/>
        <v>43132</v>
      </c>
    </row>
    <row r="1953" spans="1:3">
      <c r="A1953" s="28">
        <v>43139</v>
      </c>
      <c r="B1953" s="29">
        <v>56.953299999999999</v>
      </c>
      <c r="C1953" s="28">
        <f t="shared" si="39"/>
        <v>43132</v>
      </c>
    </row>
    <row r="1954" spans="1:3">
      <c r="A1954" s="28">
        <v>43138</v>
      </c>
      <c r="B1954" s="29">
        <v>57.2196</v>
      </c>
      <c r="C1954" s="28">
        <f t="shared" si="39"/>
        <v>43132</v>
      </c>
    </row>
    <row r="1955" spans="1:3">
      <c r="A1955" s="28">
        <v>43137</v>
      </c>
      <c r="B1955" s="29">
        <v>56.627800000000001</v>
      </c>
      <c r="C1955" s="28">
        <f t="shared" si="39"/>
        <v>43132</v>
      </c>
    </row>
    <row r="1956" spans="1:3">
      <c r="A1956" s="28">
        <v>43134</v>
      </c>
      <c r="B1956" s="29">
        <v>56.040799999999997</v>
      </c>
      <c r="C1956" s="28">
        <f t="shared" si="39"/>
        <v>43132</v>
      </c>
    </row>
    <row r="1957" spans="1:3">
      <c r="A1957" s="28">
        <v>43133</v>
      </c>
      <c r="B1957" s="29">
        <v>56.261299999999999</v>
      </c>
      <c r="C1957" s="28">
        <f t="shared" si="39"/>
        <v>43132</v>
      </c>
    </row>
    <row r="1958" spans="1:3">
      <c r="A1958" s="28">
        <v>43132</v>
      </c>
      <c r="B1958" s="29">
        <v>56.183999999999997</v>
      </c>
      <c r="C1958" s="28">
        <f t="shared" si="39"/>
        <v>43132</v>
      </c>
    </row>
    <row r="1959" spans="1:3">
      <c r="A1959" s="28">
        <v>43131</v>
      </c>
      <c r="B1959" s="29">
        <v>56.291400000000003</v>
      </c>
      <c r="C1959" s="28">
        <f t="shared" si="39"/>
        <v>43101</v>
      </c>
    </row>
    <row r="1960" spans="1:3">
      <c r="A1960" s="28">
        <v>43130</v>
      </c>
      <c r="B1960" s="29">
        <v>56.290799999999997</v>
      </c>
      <c r="C1960" s="28">
        <f t="shared" si="39"/>
        <v>43101</v>
      </c>
    </row>
    <row r="1961" spans="1:3">
      <c r="A1961" s="28">
        <v>43127</v>
      </c>
      <c r="B1961" s="29">
        <v>55.828800000000001</v>
      </c>
      <c r="C1961" s="28">
        <f t="shared" si="39"/>
        <v>43101</v>
      </c>
    </row>
    <row r="1962" spans="1:3">
      <c r="A1962" s="28">
        <v>43126</v>
      </c>
      <c r="B1962" s="29">
        <v>55.928800000000003</v>
      </c>
      <c r="C1962" s="28">
        <f t="shared" si="39"/>
        <v>43101</v>
      </c>
    </row>
    <row r="1963" spans="1:3">
      <c r="A1963" s="28">
        <v>43125</v>
      </c>
      <c r="B1963" s="29">
        <v>56.388800000000003</v>
      </c>
      <c r="C1963" s="28">
        <f t="shared" si="39"/>
        <v>43101</v>
      </c>
    </row>
    <row r="1964" spans="1:3">
      <c r="A1964" s="28">
        <v>43124</v>
      </c>
      <c r="B1964" s="29">
        <v>56.411499999999997</v>
      </c>
      <c r="C1964" s="28">
        <f t="shared" si="39"/>
        <v>43101</v>
      </c>
    </row>
    <row r="1965" spans="1:3">
      <c r="A1965" s="28">
        <v>43123</v>
      </c>
      <c r="B1965" s="29">
        <v>56.626100000000001</v>
      </c>
      <c r="C1965" s="28">
        <f t="shared" si="39"/>
        <v>43101</v>
      </c>
    </row>
    <row r="1966" spans="1:3">
      <c r="A1966" s="28">
        <v>43120</v>
      </c>
      <c r="B1966" s="29">
        <v>56.589199999999998</v>
      </c>
      <c r="C1966" s="28">
        <f t="shared" si="39"/>
        <v>43101</v>
      </c>
    </row>
    <row r="1967" spans="1:3">
      <c r="A1967" s="28">
        <v>43119</v>
      </c>
      <c r="B1967" s="29">
        <v>56.759700000000002</v>
      </c>
      <c r="C1967" s="28">
        <f t="shared" si="39"/>
        <v>43101</v>
      </c>
    </row>
    <row r="1968" spans="1:3">
      <c r="A1968" s="28">
        <v>43118</v>
      </c>
      <c r="B1968" s="29">
        <v>56.592500000000001</v>
      </c>
      <c r="C1968" s="28">
        <f t="shared" si="39"/>
        <v>43101</v>
      </c>
    </row>
    <row r="1969" spans="1:3">
      <c r="A1969" s="28">
        <v>43117</v>
      </c>
      <c r="B1969" s="29">
        <v>56.387799999999999</v>
      </c>
      <c r="C1969" s="28">
        <f t="shared" si="39"/>
        <v>43101</v>
      </c>
    </row>
    <row r="1970" spans="1:3">
      <c r="A1970" s="28">
        <v>43116</v>
      </c>
      <c r="B1970" s="29">
        <v>56.356900000000003</v>
      </c>
      <c r="C1970" s="28">
        <f t="shared" si="39"/>
        <v>43101</v>
      </c>
    </row>
    <row r="1971" spans="1:3">
      <c r="A1971" s="28">
        <v>43113</v>
      </c>
      <c r="B1971" s="29">
        <v>56.601900000000001</v>
      </c>
      <c r="C1971" s="28">
        <f t="shared" si="39"/>
        <v>43101</v>
      </c>
    </row>
    <row r="1972" spans="1:3">
      <c r="A1972" s="28">
        <v>43112</v>
      </c>
      <c r="B1972" s="29">
        <v>56.995699999999999</v>
      </c>
      <c r="C1972" s="28">
        <f t="shared" si="39"/>
        <v>43101</v>
      </c>
    </row>
    <row r="1973" spans="1:3">
      <c r="A1973" s="28">
        <v>43111</v>
      </c>
      <c r="B1973" s="29">
        <v>56.873399999999997</v>
      </c>
      <c r="C1973" s="28">
        <f t="shared" si="39"/>
        <v>43101</v>
      </c>
    </row>
    <row r="1974" spans="1:3">
      <c r="A1974" s="28">
        <v>43110</v>
      </c>
      <c r="B1974" s="29">
        <v>57.046300000000002</v>
      </c>
      <c r="C1974" s="28">
        <f t="shared" si="39"/>
        <v>43101</v>
      </c>
    </row>
    <row r="1975" spans="1:3">
      <c r="A1975" s="28">
        <v>43099</v>
      </c>
      <c r="B1975" s="29">
        <v>57.600200000000001</v>
      </c>
      <c r="C1975" s="28">
        <f t="shared" si="39"/>
        <v>43070</v>
      </c>
    </row>
    <row r="1976" spans="1:3">
      <c r="A1976" s="28">
        <v>43098</v>
      </c>
      <c r="B1976" s="29">
        <v>57.629100000000001</v>
      </c>
      <c r="C1976" s="28">
        <f t="shared" si="39"/>
        <v>43070</v>
      </c>
    </row>
    <row r="1977" spans="1:3">
      <c r="A1977" s="28">
        <v>43097</v>
      </c>
      <c r="B1977" s="29">
        <v>57.4544</v>
      </c>
      <c r="C1977" s="28">
        <f t="shared" si="39"/>
        <v>43070</v>
      </c>
    </row>
    <row r="1978" spans="1:3">
      <c r="A1978" s="28">
        <v>43096</v>
      </c>
      <c r="B1978" s="29">
        <v>57.734299999999998</v>
      </c>
      <c r="C1978" s="28">
        <f t="shared" si="39"/>
        <v>43070</v>
      </c>
    </row>
    <row r="1979" spans="1:3">
      <c r="A1979" s="28">
        <v>43095</v>
      </c>
      <c r="B1979" s="29">
        <v>58.198900000000002</v>
      </c>
      <c r="C1979" s="28">
        <f t="shared" si="39"/>
        <v>43070</v>
      </c>
    </row>
    <row r="1980" spans="1:3">
      <c r="A1980" s="28">
        <v>43092</v>
      </c>
      <c r="B1980" s="29">
        <v>58.315199999999997</v>
      </c>
      <c r="C1980" s="28">
        <f t="shared" si="39"/>
        <v>43070</v>
      </c>
    </row>
    <row r="1981" spans="1:3">
      <c r="A1981" s="28">
        <v>43091</v>
      </c>
      <c r="B1981" s="29">
        <v>58.559600000000003</v>
      </c>
      <c r="C1981" s="28">
        <f t="shared" si="39"/>
        <v>43070</v>
      </c>
    </row>
    <row r="1982" spans="1:3">
      <c r="A1982" s="28">
        <v>43090</v>
      </c>
      <c r="B1982" s="29">
        <v>58.716999999999999</v>
      </c>
      <c r="C1982" s="28">
        <f t="shared" si="39"/>
        <v>43070</v>
      </c>
    </row>
    <row r="1983" spans="1:3">
      <c r="A1983" s="28">
        <v>43089</v>
      </c>
      <c r="B1983" s="29">
        <v>58.611699999999999</v>
      </c>
      <c r="C1983" s="28">
        <f t="shared" si="39"/>
        <v>43070</v>
      </c>
    </row>
    <row r="1984" spans="1:3">
      <c r="A1984" s="28">
        <v>43088</v>
      </c>
      <c r="B1984" s="29">
        <v>58.694000000000003</v>
      </c>
      <c r="C1984" s="28">
        <f t="shared" si="39"/>
        <v>43070</v>
      </c>
    </row>
    <row r="1985" spans="1:3">
      <c r="A1985" s="28">
        <v>43085</v>
      </c>
      <c r="B1985" s="29">
        <v>58.898699999999998</v>
      </c>
      <c r="C1985" s="28">
        <f t="shared" si="39"/>
        <v>43070</v>
      </c>
    </row>
    <row r="1986" spans="1:3">
      <c r="A1986" s="28">
        <v>43084</v>
      </c>
      <c r="B1986" s="29">
        <v>58.708199999999998</v>
      </c>
      <c r="C1986" s="28">
        <f t="shared" si="39"/>
        <v>43070</v>
      </c>
    </row>
    <row r="1987" spans="1:3">
      <c r="A1987" s="28">
        <v>43083</v>
      </c>
      <c r="B1987" s="29">
        <v>59.144599999999997</v>
      </c>
      <c r="C1987" s="28">
        <f t="shared" ref="C1987:C2050" si="40">DATE(YEAR(A1987),MONTH(A1987),1)</f>
        <v>43070</v>
      </c>
    </row>
    <row r="1988" spans="1:3">
      <c r="A1988" s="28">
        <v>43082</v>
      </c>
      <c r="B1988" s="29">
        <v>58.837000000000003</v>
      </c>
      <c r="C1988" s="28">
        <f t="shared" si="40"/>
        <v>43070</v>
      </c>
    </row>
    <row r="1989" spans="1:3">
      <c r="A1989" s="28">
        <v>43081</v>
      </c>
      <c r="B1989" s="29">
        <v>59.2348</v>
      </c>
      <c r="C1989" s="28">
        <f t="shared" si="40"/>
        <v>43070</v>
      </c>
    </row>
    <row r="1990" spans="1:3">
      <c r="A1990" s="28">
        <v>43078</v>
      </c>
      <c r="B1990" s="29">
        <v>59.281100000000002</v>
      </c>
      <c r="C1990" s="28">
        <f t="shared" si="40"/>
        <v>43070</v>
      </c>
    </row>
    <row r="1991" spans="1:3">
      <c r="A1991" s="28">
        <v>43077</v>
      </c>
      <c r="B1991" s="29">
        <v>59.294800000000002</v>
      </c>
      <c r="C1991" s="28">
        <f t="shared" si="40"/>
        <v>43070</v>
      </c>
    </row>
    <row r="1992" spans="1:3">
      <c r="A1992" s="28">
        <v>43076</v>
      </c>
      <c r="B1992" s="29">
        <v>58.928100000000001</v>
      </c>
      <c r="C1992" s="28">
        <f t="shared" si="40"/>
        <v>43070</v>
      </c>
    </row>
    <row r="1993" spans="1:3">
      <c r="A1993" s="28">
        <v>43075</v>
      </c>
      <c r="B1993" s="29">
        <v>58.692399999999999</v>
      </c>
      <c r="C1993" s="28">
        <f t="shared" si="40"/>
        <v>43070</v>
      </c>
    </row>
    <row r="1994" spans="1:3">
      <c r="A1994" s="28">
        <v>43074</v>
      </c>
      <c r="B1994" s="29">
        <v>58.991100000000003</v>
      </c>
      <c r="C1994" s="28">
        <f t="shared" si="40"/>
        <v>43070</v>
      </c>
    </row>
    <row r="1995" spans="1:3">
      <c r="A1995" s="28">
        <v>43071</v>
      </c>
      <c r="B1995" s="29">
        <v>58.5182</v>
      </c>
      <c r="C1995" s="28">
        <f t="shared" si="40"/>
        <v>43070</v>
      </c>
    </row>
    <row r="1996" spans="1:3">
      <c r="A1996" s="28">
        <v>43070</v>
      </c>
      <c r="B1996" s="29">
        <v>58.581400000000002</v>
      </c>
      <c r="C1996" s="28">
        <f t="shared" si="40"/>
        <v>43070</v>
      </c>
    </row>
    <row r="1997" spans="1:3">
      <c r="A1997" s="28">
        <v>43069</v>
      </c>
      <c r="B1997" s="29">
        <v>58.331099999999999</v>
      </c>
      <c r="C1997" s="28">
        <f t="shared" si="40"/>
        <v>43040</v>
      </c>
    </row>
    <row r="1998" spans="1:3">
      <c r="A1998" s="28">
        <v>43068</v>
      </c>
      <c r="B1998" s="29">
        <v>58.412500000000001</v>
      </c>
      <c r="C1998" s="28">
        <f t="shared" si="40"/>
        <v>43040</v>
      </c>
    </row>
    <row r="1999" spans="1:3">
      <c r="A1999" s="28">
        <v>43067</v>
      </c>
      <c r="B1999" s="29">
        <v>58.277299999999997</v>
      </c>
      <c r="C1999" s="28">
        <f t="shared" si="40"/>
        <v>43040</v>
      </c>
    </row>
    <row r="2000" spans="1:3">
      <c r="A2000" s="28">
        <v>43064</v>
      </c>
      <c r="B2000" s="29">
        <v>58.531799999999997</v>
      </c>
      <c r="C2000" s="28">
        <f t="shared" si="40"/>
        <v>43040</v>
      </c>
    </row>
    <row r="2001" spans="1:3">
      <c r="A2001" s="28">
        <v>43063</v>
      </c>
      <c r="B2001" s="29">
        <v>58.462200000000003</v>
      </c>
      <c r="C2001" s="28">
        <f t="shared" si="40"/>
        <v>43040</v>
      </c>
    </row>
    <row r="2002" spans="1:3">
      <c r="A2002" s="28">
        <v>43062</v>
      </c>
      <c r="B2002" s="29">
        <v>59.006100000000004</v>
      </c>
      <c r="C2002" s="28">
        <f t="shared" si="40"/>
        <v>43040</v>
      </c>
    </row>
    <row r="2003" spans="1:3">
      <c r="A2003" s="28">
        <v>43061</v>
      </c>
      <c r="B2003" s="29">
        <v>59.4604</v>
      </c>
      <c r="C2003" s="28">
        <f t="shared" si="40"/>
        <v>43040</v>
      </c>
    </row>
    <row r="2004" spans="1:3">
      <c r="A2004" s="28">
        <v>43060</v>
      </c>
      <c r="B2004" s="29">
        <v>59.2746</v>
      </c>
      <c r="C2004" s="28">
        <f t="shared" si="40"/>
        <v>43040</v>
      </c>
    </row>
    <row r="2005" spans="1:3">
      <c r="A2005" s="28">
        <v>43057</v>
      </c>
      <c r="B2005" s="29">
        <v>59.6325</v>
      </c>
      <c r="C2005" s="28">
        <f t="shared" si="40"/>
        <v>43040</v>
      </c>
    </row>
    <row r="2006" spans="1:3">
      <c r="A2006" s="28">
        <v>43056</v>
      </c>
      <c r="B2006" s="29">
        <v>59.989800000000002</v>
      </c>
      <c r="C2006" s="28">
        <f t="shared" si="40"/>
        <v>43040</v>
      </c>
    </row>
    <row r="2007" spans="1:3">
      <c r="A2007" s="28">
        <v>43055</v>
      </c>
      <c r="B2007" s="29">
        <v>60.249000000000002</v>
      </c>
      <c r="C2007" s="28">
        <f t="shared" si="40"/>
        <v>43040</v>
      </c>
    </row>
    <row r="2008" spans="1:3">
      <c r="A2008" s="28">
        <v>43054</v>
      </c>
      <c r="B2008" s="29">
        <v>59.620699999999999</v>
      </c>
      <c r="C2008" s="28">
        <f t="shared" si="40"/>
        <v>43040</v>
      </c>
    </row>
    <row r="2009" spans="1:3">
      <c r="A2009" s="28">
        <v>43053</v>
      </c>
      <c r="B2009" s="29">
        <v>59.182299999999998</v>
      </c>
      <c r="C2009" s="28">
        <f t="shared" si="40"/>
        <v>43040</v>
      </c>
    </row>
    <row r="2010" spans="1:3">
      <c r="A2010" s="28">
        <v>43050</v>
      </c>
      <c r="B2010" s="29">
        <v>59.280799999999999</v>
      </c>
      <c r="C2010" s="28">
        <f t="shared" si="40"/>
        <v>43040</v>
      </c>
    </row>
    <row r="2011" spans="1:3">
      <c r="A2011" s="28">
        <v>43049</v>
      </c>
      <c r="B2011" s="29">
        <v>59.252699999999997</v>
      </c>
      <c r="C2011" s="28">
        <f t="shared" si="40"/>
        <v>43040</v>
      </c>
    </row>
    <row r="2012" spans="1:3">
      <c r="A2012" s="28">
        <v>43048</v>
      </c>
      <c r="B2012" s="29">
        <v>59.247999999999998</v>
      </c>
      <c r="C2012" s="28">
        <f t="shared" si="40"/>
        <v>43040</v>
      </c>
    </row>
    <row r="2013" spans="1:3">
      <c r="A2013" s="28">
        <v>43047</v>
      </c>
      <c r="B2013" s="29">
        <v>58.4557</v>
      </c>
      <c r="C2013" s="28">
        <f t="shared" si="40"/>
        <v>43040</v>
      </c>
    </row>
    <row r="2014" spans="1:3">
      <c r="A2014" s="28">
        <v>43043</v>
      </c>
      <c r="B2014" s="29">
        <v>58.429600000000001</v>
      </c>
      <c r="C2014" s="28">
        <f t="shared" si="40"/>
        <v>43040</v>
      </c>
    </row>
    <row r="2015" spans="1:3">
      <c r="A2015" s="28">
        <v>43042</v>
      </c>
      <c r="B2015" s="29">
        <v>58.0869</v>
      </c>
      <c r="C2015" s="28">
        <f t="shared" si="40"/>
        <v>43040</v>
      </c>
    </row>
    <row r="2016" spans="1:3">
      <c r="A2016" s="28">
        <v>43041</v>
      </c>
      <c r="B2016" s="29">
        <v>58.155700000000003</v>
      </c>
      <c r="C2016" s="28">
        <f t="shared" si="40"/>
        <v>43040</v>
      </c>
    </row>
    <row r="2017" spans="1:3">
      <c r="A2017" s="28">
        <v>43040</v>
      </c>
      <c r="B2017" s="29">
        <v>58.117899999999999</v>
      </c>
      <c r="C2017" s="28">
        <f t="shared" si="40"/>
        <v>43040</v>
      </c>
    </row>
    <row r="2018" spans="1:3">
      <c r="A2018" s="28">
        <v>43039</v>
      </c>
      <c r="B2018" s="29">
        <v>57.871600000000001</v>
      </c>
      <c r="C2018" s="28">
        <f t="shared" si="40"/>
        <v>43009</v>
      </c>
    </row>
    <row r="2019" spans="1:3">
      <c r="A2019" s="28">
        <v>43036</v>
      </c>
      <c r="B2019" s="29">
        <v>58.083300000000001</v>
      </c>
      <c r="C2019" s="28">
        <f t="shared" si="40"/>
        <v>43009</v>
      </c>
    </row>
    <row r="2020" spans="1:3">
      <c r="A2020" s="28">
        <v>43035</v>
      </c>
      <c r="B2020" s="29">
        <v>57.764299999999999</v>
      </c>
      <c r="C2020" s="28">
        <f t="shared" si="40"/>
        <v>43009</v>
      </c>
    </row>
    <row r="2021" spans="1:3">
      <c r="A2021" s="28">
        <v>43034</v>
      </c>
      <c r="B2021" s="29">
        <v>57.613999999999997</v>
      </c>
      <c r="C2021" s="28">
        <f t="shared" si="40"/>
        <v>43009</v>
      </c>
    </row>
    <row r="2022" spans="1:3">
      <c r="A2022" s="28">
        <v>43033</v>
      </c>
      <c r="B2022" s="29">
        <v>57.5852</v>
      </c>
      <c r="C2022" s="28">
        <f t="shared" si="40"/>
        <v>43009</v>
      </c>
    </row>
    <row r="2023" spans="1:3">
      <c r="A2023" s="28">
        <v>43032</v>
      </c>
      <c r="B2023" s="29">
        <v>57.470599999999997</v>
      </c>
      <c r="C2023" s="28">
        <f t="shared" si="40"/>
        <v>43009</v>
      </c>
    </row>
    <row r="2024" spans="1:3">
      <c r="A2024" s="28">
        <v>43029</v>
      </c>
      <c r="B2024" s="29">
        <v>57.511800000000001</v>
      </c>
      <c r="C2024" s="28">
        <f t="shared" si="40"/>
        <v>43009</v>
      </c>
    </row>
    <row r="2025" spans="1:3">
      <c r="A2025" s="28">
        <v>43028</v>
      </c>
      <c r="B2025" s="29">
        <v>57.570599999999999</v>
      </c>
      <c r="C2025" s="28">
        <f t="shared" si="40"/>
        <v>43009</v>
      </c>
    </row>
    <row r="2026" spans="1:3">
      <c r="A2026" s="28">
        <v>43027</v>
      </c>
      <c r="B2026" s="29">
        <v>57.272100000000002</v>
      </c>
      <c r="C2026" s="28">
        <f t="shared" si="40"/>
        <v>43009</v>
      </c>
    </row>
    <row r="2027" spans="1:3">
      <c r="A2027" s="28">
        <v>43026</v>
      </c>
      <c r="B2027" s="29">
        <v>57.339199999999998</v>
      </c>
      <c r="C2027" s="28">
        <f t="shared" si="40"/>
        <v>43009</v>
      </c>
    </row>
    <row r="2028" spans="1:3">
      <c r="A2028" s="28">
        <v>43025</v>
      </c>
      <c r="B2028" s="29">
        <v>57.086100000000002</v>
      </c>
      <c r="C2028" s="28">
        <f t="shared" si="40"/>
        <v>43009</v>
      </c>
    </row>
    <row r="2029" spans="1:3">
      <c r="A2029" s="28">
        <v>43022</v>
      </c>
      <c r="B2029" s="29">
        <v>57.619599999999998</v>
      </c>
      <c r="C2029" s="28">
        <f t="shared" si="40"/>
        <v>43009</v>
      </c>
    </row>
    <row r="2030" spans="1:3">
      <c r="A2030" s="28">
        <v>43021</v>
      </c>
      <c r="B2030" s="29">
        <v>57.686900000000001</v>
      </c>
      <c r="C2030" s="28">
        <f t="shared" si="40"/>
        <v>43009</v>
      </c>
    </row>
    <row r="2031" spans="1:3">
      <c r="A2031" s="28">
        <v>43020</v>
      </c>
      <c r="B2031" s="29">
        <v>57.920999999999999</v>
      </c>
      <c r="C2031" s="28">
        <f t="shared" si="40"/>
        <v>43009</v>
      </c>
    </row>
    <row r="2032" spans="1:3">
      <c r="A2032" s="28">
        <v>43019</v>
      </c>
      <c r="B2032" s="29">
        <v>58.071300000000001</v>
      </c>
      <c r="C2032" s="28">
        <f t="shared" si="40"/>
        <v>43009</v>
      </c>
    </row>
    <row r="2033" spans="1:3">
      <c r="A2033" s="28">
        <v>43018</v>
      </c>
      <c r="B2033" s="29">
        <v>58.315100000000001</v>
      </c>
      <c r="C2033" s="28">
        <f t="shared" si="40"/>
        <v>43009</v>
      </c>
    </row>
    <row r="2034" spans="1:3">
      <c r="A2034" s="28">
        <v>43015</v>
      </c>
      <c r="B2034" s="29">
        <v>57.761200000000002</v>
      </c>
      <c r="C2034" s="28">
        <f t="shared" si="40"/>
        <v>43009</v>
      </c>
    </row>
    <row r="2035" spans="1:3">
      <c r="A2035" s="28">
        <v>43014</v>
      </c>
      <c r="B2035" s="29">
        <v>57.581099999999999</v>
      </c>
      <c r="C2035" s="28">
        <f t="shared" si="40"/>
        <v>43009</v>
      </c>
    </row>
    <row r="2036" spans="1:3">
      <c r="A2036" s="28">
        <v>43013</v>
      </c>
      <c r="B2036" s="29">
        <v>57.783200000000001</v>
      </c>
      <c r="C2036" s="28">
        <f t="shared" si="40"/>
        <v>43009</v>
      </c>
    </row>
    <row r="2037" spans="1:3">
      <c r="A2037" s="28">
        <v>43012</v>
      </c>
      <c r="B2037" s="29">
        <v>57.9375</v>
      </c>
      <c r="C2037" s="28">
        <f t="shared" si="40"/>
        <v>43009</v>
      </c>
    </row>
    <row r="2038" spans="1:3">
      <c r="A2038" s="28">
        <v>43011</v>
      </c>
      <c r="B2038" s="29">
        <v>57.813400000000001</v>
      </c>
      <c r="C2038" s="28">
        <f t="shared" si="40"/>
        <v>43009</v>
      </c>
    </row>
    <row r="2039" spans="1:3">
      <c r="A2039" s="28">
        <v>43008</v>
      </c>
      <c r="B2039" s="29">
        <v>58.0169</v>
      </c>
      <c r="C2039" s="28">
        <f t="shared" si="40"/>
        <v>42979</v>
      </c>
    </row>
    <row r="2040" spans="1:3">
      <c r="A2040" s="28">
        <v>43007</v>
      </c>
      <c r="B2040" s="29">
        <v>58.4255</v>
      </c>
      <c r="C2040" s="28">
        <f t="shared" si="40"/>
        <v>42979</v>
      </c>
    </row>
    <row r="2041" spans="1:3">
      <c r="A2041" s="28">
        <v>43006</v>
      </c>
      <c r="B2041" s="29">
        <v>58.010199999999998</v>
      </c>
      <c r="C2041" s="28">
        <f t="shared" si="40"/>
        <v>42979</v>
      </c>
    </row>
    <row r="2042" spans="1:3">
      <c r="A2042" s="28">
        <v>43005</v>
      </c>
      <c r="B2042" s="29">
        <v>57.518599999999999</v>
      </c>
      <c r="C2042" s="28">
        <f t="shared" si="40"/>
        <v>42979</v>
      </c>
    </row>
    <row r="2043" spans="1:3">
      <c r="A2043" s="28">
        <v>43004</v>
      </c>
      <c r="B2043" s="29">
        <v>57.566000000000003</v>
      </c>
      <c r="C2043" s="28">
        <f t="shared" si="40"/>
        <v>42979</v>
      </c>
    </row>
    <row r="2044" spans="1:3">
      <c r="A2044" s="28">
        <v>43001</v>
      </c>
      <c r="B2044" s="29">
        <v>57.652700000000003</v>
      </c>
      <c r="C2044" s="28">
        <f t="shared" si="40"/>
        <v>42979</v>
      </c>
    </row>
    <row r="2045" spans="1:3">
      <c r="A2045" s="28">
        <v>43000</v>
      </c>
      <c r="B2045" s="29">
        <v>58.224200000000003</v>
      </c>
      <c r="C2045" s="28">
        <f t="shared" si="40"/>
        <v>42979</v>
      </c>
    </row>
    <row r="2046" spans="1:3">
      <c r="A2046" s="28">
        <v>42999</v>
      </c>
      <c r="B2046" s="29">
        <v>58.128999999999998</v>
      </c>
      <c r="C2046" s="28">
        <f t="shared" si="40"/>
        <v>42979</v>
      </c>
    </row>
    <row r="2047" spans="1:3">
      <c r="A2047" s="28">
        <v>42998</v>
      </c>
      <c r="B2047" s="29">
        <v>58.099299999999999</v>
      </c>
      <c r="C2047" s="28">
        <f t="shared" si="40"/>
        <v>42979</v>
      </c>
    </row>
    <row r="2048" spans="1:3">
      <c r="A2048" s="28">
        <v>42997</v>
      </c>
      <c r="B2048" s="29">
        <v>57.624200000000002</v>
      </c>
      <c r="C2048" s="28">
        <f t="shared" si="40"/>
        <v>42979</v>
      </c>
    </row>
    <row r="2049" spans="1:3">
      <c r="A2049" s="28">
        <v>42994</v>
      </c>
      <c r="B2049" s="29">
        <v>57.5336</v>
      </c>
      <c r="C2049" s="28">
        <f t="shared" si="40"/>
        <v>42979</v>
      </c>
    </row>
    <row r="2050" spans="1:3">
      <c r="A2050" s="28">
        <v>42993</v>
      </c>
      <c r="B2050" s="29">
        <v>57.770600000000002</v>
      </c>
      <c r="C2050" s="28">
        <f t="shared" si="40"/>
        <v>42979</v>
      </c>
    </row>
    <row r="2051" spans="1:3">
      <c r="A2051" s="28">
        <v>42992</v>
      </c>
      <c r="B2051" s="29">
        <v>57.667900000000003</v>
      </c>
      <c r="C2051" s="28">
        <f t="shared" ref="C2051:C2114" si="41">DATE(YEAR(A2051),MONTH(A2051),1)</f>
        <v>42979</v>
      </c>
    </row>
    <row r="2052" spans="1:3">
      <c r="A2052" s="28">
        <v>42991</v>
      </c>
      <c r="B2052" s="29">
        <v>57.265599999999999</v>
      </c>
      <c r="C2052" s="28">
        <f t="shared" si="41"/>
        <v>42979</v>
      </c>
    </row>
    <row r="2053" spans="1:3">
      <c r="A2053" s="28">
        <v>42990</v>
      </c>
      <c r="B2053" s="29">
        <v>57.169400000000003</v>
      </c>
      <c r="C2053" s="28">
        <f t="shared" si="41"/>
        <v>42979</v>
      </c>
    </row>
    <row r="2054" spans="1:3">
      <c r="A2054" s="28">
        <v>42987</v>
      </c>
      <c r="B2054" s="29">
        <v>56.996600000000001</v>
      </c>
      <c r="C2054" s="28">
        <f t="shared" si="41"/>
        <v>42979</v>
      </c>
    </row>
    <row r="2055" spans="1:3">
      <c r="A2055" s="28">
        <v>42986</v>
      </c>
      <c r="B2055" s="29">
        <v>57.141100000000002</v>
      </c>
      <c r="C2055" s="28">
        <f t="shared" si="41"/>
        <v>42979</v>
      </c>
    </row>
    <row r="2056" spans="1:3">
      <c r="A2056" s="28">
        <v>42985</v>
      </c>
      <c r="B2056" s="29">
        <v>57.338700000000003</v>
      </c>
      <c r="C2056" s="28">
        <f t="shared" si="41"/>
        <v>42979</v>
      </c>
    </row>
    <row r="2057" spans="1:3">
      <c r="A2057" s="28">
        <v>42984</v>
      </c>
      <c r="B2057" s="29">
        <v>57.850299999999997</v>
      </c>
      <c r="C2057" s="28">
        <f t="shared" si="41"/>
        <v>42979</v>
      </c>
    </row>
    <row r="2058" spans="1:3">
      <c r="A2058" s="28">
        <v>42983</v>
      </c>
      <c r="B2058" s="29">
        <v>57.781700000000001</v>
      </c>
      <c r="C2058" s="28">
        <f t="shared" si="41"/>
        <v>42979</v>
      </c>
    </row>
    <row r="2059" spans="1:3">
      <c r="A2059" s="28">
        <v>42980</v>
      </c>
      <c r="B2059" s="29">
        <v>58.055700000000002</v>
      </c>
      <c r="C2059" s="28">
        <f t="shared" si="41"/>
        <v>42979</v>
      </c>
    </row>
    <row r="2060" spans="1:3">
      <c r="A2060" s="28">
        <v>42979</v>
      </c>
      <c r="B2060" s="29">
        <v>58.545400000000001</v>
      </c>
      <c r="C2060" s="28">
        <f t="shared" si="41"/>
        <v>42979</v>
      </c>
    </row>
    <row r="2061" spans="1:3">
      <c r="A2061" s="28">
        <v>42978</v>
      </c>
      <c r="B2061" s="29">
        <v>58.730600000000003</v>
      </c>
      <c r="C2061" s="28">
        <f t="shared" si="41"/>
        <v>42948</v>
      </c>
    </row>
    <row r="2062" spans="1:3">
      <c r="A2062" s="28">
        <v>42977</v>
      </c>
      <c r="B2062" s="29">
        <v>58.531999999999996</v>
      </c>
      <c r="C2062" s="28">
        <f t="shared" si="41"/>
        <v>42948</v>
      </c>
    </row>
    <row r="2063" spans="1:3">
      <c r="A2063" s="28">
        <v>42976</v>
      </c>
      <c r="B2063" s="29">
        <v>58.546900000000001</v>
      </c>
      <c r="C2063" s="28">
        <f t="shared" si="41"/>
        <v>42948</v>
      </c>
    </row>
    <row r="2064" spans="1:3">
      <c r="A2064" s="28">
        <v>42973</v>
      </c>
      <c r="B2064" s="29">
        <v>59.147599999999997</v>
      </c>
      <c r="C2064" s="28">
        <f t="shared" si="41"/>
        <v>42948</v>
      </c>
    </row>
    <row r="2065" spans="1:3">
      <c r="A2065" s="28">
        <v>42972</v>
      </c>
      <c r="B2065" s="29">
        <v>59.139699999999998</v>
      </c>
      <c r="C2065" s="28">
        <f t="shared" si="41"/>
        <v>42948</v>
      </c>
    </row>
    <row r="2066" spans="1:3">
      <c r="A2066" s="28">
        <v>42971</v>
      </c>
      <c r="B2066" s="29">
        <v>59.1312</v>
      </c>
      <c r="C2066" s="28">
        <f t="shared" si="41"/>
        <v>42948</v>
      </c>
    </row>
    <row r="2067" spans="1:3">
      <c r="A2067" s="28">
        <v>42970</v>
      </c>
      <c r="B2067" s="29">
        <v>59.0396</v>
      </c>
      <c r="C2067" s="28">
        <f t="shared" si="41"/>
        <v>42948</v>
      </c>
    </row>
    <row r="2068" spans="1:3">
      <c r="A2068" s="28">
        <v>42969</v>
      </c>
      <c r="B2068" s="29">
        <v>59.140900000000002</v>
      </c>
      <c r="C2068" s="28">
        <f t="shared" si="41"/>
        <v>42948</v>
      </c>
    </row>
    <row r="2069" spans="1:3">
      <c r="A2069" s="28">
        <v>42966</v>
      </c>
      <c r="B2069" s="29">
        <v>59.361199999999997</v>
      </c>
      <c r="C2069" s="28">
        <f t="shared" si="41"/>
        <v>42948</v>
      </c>
    </row>
    <row r="2070" spans="1:3">
      <c r="A2070" s="28">
        <v>42965</v>
      </c>
      <c r="B2070" s="29">
        <v>59.249000000000002</v>
      </c>
      <c r="C2070" s="28">
        <f t="shared" si="41"/>
        <v>42948</v>
      </c>
    </row>
    <row r="2071" spans="1:3">
      <c r="A2071" s="28">
        <v>42964</v>
      </c>
      <c r="B2071" s="29">
        <v>59.652099999999997</v>
      </c>
      <c r="C2071" s="28">
        <f t="shared" si="41"/>
        <v>42948</v>
      </c>
    </row>
    <row r="2072" spans="1:3">
      <c r="A2072" s="28">
        <v>42963</v>
      </c>
      <c r="B2072" s="29">
        <v>59.926600000000001</v>
      </c>
      <c r="C2072" s="28">
        <f t="shared" si="41"/>
        <v>42948</v>
      </c>
    </row>
    <row r="2073" spans="1:3">
      <c r="A2073" s="28">
        <v>42962</v>
      </c>
      <c r="B2073" s="29">
        <v>59.798999999999999</v>
      </c>
      <c r="C2073" s="28">
        <f t="shared" si="41"/>
        <v>42948</v>
      </c>
    </row>
    <row r="2074" spans="1:3">
      <c r="A2074" s="28">
        <v>42959</v>
      </c>
      <c r="B2074" s="29">
        <v>60.1873</v>
      </c>
      <c r="C2074" s="28">
        <f t="shared" si="41"/>
        <v>42948</v>
      </c>
    </row>
    <row r="2075" spans="1:3">
      <c r="A2075" s="28">
        <v>42958</v>
      </c>
      <c r="B2075" s="29">
        <v>59.9298</v>
      </c>
      <c r="C2075" s="28">
        <f t="shared" si="41"/>
        <v>42948</v>
      </c>
    </row>
    <row r="2076" spans="1:3">
      <c r="A2076" s="28">
        <v>42957</v>
      </c>
      <c r="B2076" s="29">
        <v>59.961100000000002</v>
      </c>
      <c r="C2076" s="28">
        <f t="shared" si="41"/>
        <v>42948</v>
      </c>
    </row>
    <row r="2077" spans="1:3">
      <c r="A2077" s="28">
        <v>42956</v>
      </c>
      <c r="B2077" s="29">
        <v>59.988599999999998</v>
      </c>
      <c r="C2077" s="28">
        <f t="shared" si="41"/>
        <v>42948</v>
      </c>
    </row>
    <row r="2078" spans="1:3">
      <c r="A2078" s="28">
        <v>42955</v>
      </c>
      <c r="B2078" s="29">
        <v>60.060499999999998</v>
      </c>
      <c r="C2078" s="28">
        <f t="shared" si="41"/>
        <v>42948</v>
      </c>
    </row>
    <row r="2079" spans="1:3">
      <c r="A2079" s="28">
        <v>42952</v>
      </c>
      <c r="B2079" s="29">
        <v>60.328099999999999</v>
      </c>
      <c r="C2079" s="28">
        <f t="shared" si="41"/>
        <v>42948</v>
      </c>
    </row>
    <row r="2080" spans="1:3">
      <c r="A2080" s="28">
        <v>42951</v>
      </c>
      <c r="B2080" s="29">
        <v>60.750300000000003</v>
      </c>
      <c r="C2080" s="28">
        <f t="shared" si="41"/>
        <v>42948</v>
      </c>
    </row>
    <row r="2081" spans="1:3">
      <c r="A2081" s="28">
        <v>42950</v>
      </c>
      <c r="B2081" s="29">
        <v>60.581899999999997</v>
      </c>
      <c r="C2081" s="28">
        <f t="shared" si="41"/>
        <v>42948</v>
      </c>
    </row>
    <row r="2082" spans="1:3">
      <c r="A2082" s="28">
        <v>42949</v>
      </c>
      <c r="B2082" s="29">
        <v>59.845399999999998</v>
      </c>
      <c r="C2082" s="28">
        <f t="shared" si="41"/>
        <v>42948</v>
      </c>
    </row>
    <row r="2083" spans="1:3">
      <c r="A2083" s="28">
        <v>42948</v>
      </c>
      <c r="B2083" s="29">
        <v>60.063299999999998</v>
      </c>
      <c r="C2083" s="28">
        <f t="shared" si="41"/>
        <v>42948</v>
      </c>
    </row>
    <row r="2084" spans="1:3">
      <c r="A2084" s="28">
        <v>42945</v>
      </c>
      <c r="B2084" s="29">
        <v>59.543599999999998</v>
      </c>
      <c r="C2084" s="28">
        <f t="shared" si="41"/>
        <v>42917</v>
      </c>
    </row>
    <row r="2085" spans="1:3">
      <c r="A2085" s="28">
        <v>42944</v>
      </c>
      <c r="B2085" s="29">
        <v>59.410200000000003</v>
      </c>
      <c r="C2085" s="28">
        <f t="shared" si="41"/>
        <v>42917</v>
      </c>
    </row>
    <row r="2086" spans="1:3">
      <c r="A2086" s="28">
        <v>42943</v>
      </c>
      <c r="B2086" s="29">
        <v>59.910200000000003</v>
      </c>
      <c r="C2086" s="28">
        <f t="shared" si="41"/>
        <v>42917</v>
      </c>
    </row>
    <row r="2087" spans="1:3">
      <c r="A2087" s="28">
        <v>42942</v>
      </c>
      <c r="B2087" s="29">
        <v>59.8185</v>
      </c>
      <c r="C2087" s="28">
        <f t="shared" si="41"/>
        <v>42917</v>
      </c>
    </row>
    <row r="2088" spans="1:3">
      <c r="A2088" s="28">
        <v>42941</v>
      </c>
      <c r="B2088" s="29">
        <v>59.657200000000003</v>
      </c>
      <c r="C2088" s="28">
        <f t="shared" si="41"/>
        <v>42917</v>
      </c>
    </row>
    <row r="2089" spans="1:3">
      <c r="A2089" s="28">
        <v>42938</v>
      </c>
      <c r="B2089" s="29">
        <v>58.932499999999997</v>
      </c>
      <c r="C2089" s="28">
        <f t="shared" si="41"/>
        <v>42917</v>
      </c>
    </row>
    <row r="2090" spans="1:3">
      <c r="A2090" s="28">
        <v>42937</v>
      </c>
      <c r="B2090" s="29">
        <v>59.082299999999996</v>
      </c>
      <c r="C2090" s="28">
        <f t="shared" si="41"/>
        <v>42917</v>
      </c>
    </row>
    <row r="2091" spans="1:3">
      <c r="A2091" s="28">
        <v>42936</v>
      </c>
      <c r="B2091" s="29">
        <v>59.241799999999998</v>
      </c>
      <c r="C2091" s="28">
        <f t="shared" si="41"/>
        <v>42917</v>
      </c>
    </row>
    <row r="2092" spans="1:3">
      <c r="A2092" s="28">
        <v>42935</v>
      </c>
      <c r="B2092" s="29">
        <v>59.3705</v>
      </c>
      <c r="C2092" s="28">
        <f t="shared" si="41"/>
        <v>42917</v>
      </c>
    </row>
    <row r="2093" spans="1:3">
      <c r="A2093" s="28">
        <v>42934</v>
      </c>
      <c r="B2093" s="29">
        <v>59.0657</v>
      </c>
      <c r="C2093" s="28">
        <f t="shared" si="41"/>
        <v>42917</v>
      </c>
    </row>
    <row r="2094" spans="1:3">
      <c r="A2094" s="28">
        <v>42931</v>
      </c>
      <c r="B2094" s="29">
        <v>59.880600000000001</v>
      </c>
      <c r="C2094" s="28">
        <f t="shared" si="41"/>
        <v>42917</v>
      </c>
    </row>
    <row r="2095" spans="1:3">
      <c r="A2095" s="28">
        <v>42930</v>
      </c>
      <c r="B2095" s="29">
        <v>60.183599999999998</v>
      </c>
      <c r="C2095" s="28">
        <f t="shared" si="41"/>
        <v>42917</v>
      </c>
    </row>
    <row r="2096" spans="1:3">
      <c r="A2096" s="28">
        <v>42929</v>
      </c>
      <c r="B2096" s="29">
        <v>60.622700000000002</v>
      </c>
      <c r="C2096" s="28">
        <f t="shared" si="41"/>
        <v>42917</v>
      </c>
    </row>
    <row r="2097" spans="1:3">
      <c r="A2097" s="28">
        <v>42928</v>
      </c>
      <c r="B2097" s="29">
        <v>60.739699999999999</v>
      </c>
      <c r="C2097" s="28">
        <f t="shared" si="41"/>
        <v>42917</v>
      </c>
    </row>
    <row r="2098" spans="1:3">
      <c r="A2098" s="28">
        <v>42927</v>
      </c>
      <c r="B2098" s="29">
        <v>60.301400000000001</v>
      </c>
      <c r="C2098" s="28">
        <f t="shared" si="41"/>
        <v>42917</v>
      </c>
    </row>
    <row r="2099" spans="1:3">
      <c r="A2099" s="28">
        <v>42924</v>
      </c>
      <c r="B2099" s="29">
        <v>60.379199999999997</v>
      </c>
      <c r="C2099" s="28">
        <f t="shared" si="41"/>
        <v>42917</v>
      </c>
    </row>
    <row r="2100" spans="1:3">
      <c r="A2100" s="28">
        <v>42923</v>
      </c>
      <c r="B2100" s="29">
        <v>60.242600000000003</v>
      </c>
      <c r="C2100" s="28">
        <f t="shared" si="41"/>
        <v>42917</v>
      </c>
    </row>
    <row r="2101" spans="1:3">
      <c r="A2101" s="28">
        <v>42922</v>
      </c>
      <c r="B2101" s="29">
        <v>59.578699999999998</v>
      </c>
      <c r="C2101" s="28">
        <f t="shared" si="41"/>
        <v>42917</v>
      </c>
    </row>
    <row r="2102" spans="1:3">
      <c r="A2102" s="28">
        <v>42921</v>
      </c>
      <c r="B2102" s="29">
        <v>59.229500000000002</v>
      </c>
      <c r="C2102" s="28">
        <f t="shared" si="41"/>
        <v>42917</v>
      </c>
    </row>
    <row r="2103" spans="1:3">
      <c r="A2103" s="28">
        <v>42920</v>
      </c>
      <c r="B2103" s="29">
        <v>58.969499999999996</v>
      </c>
      <c r="C2103" s="28">
        <f t="shared" si="41"/>
        <v>42917</v>
      </c>
    </row>
    <row r="2104" spans="1:3">
      <c r="A2104" s="28">
        <v>42917</v>
      </c>
      <c r="B2104" s="29">
        <v>59.386200000000002</v>
      </c>
      <c r="C2104" s="28">
        <f t="shared" si="41"/>
        <v>42917</v>
      </c>
    </row>
    <row r="2105" spans="1:3">
      <c r="A2105" s="28">
        <v>42916</v>
      </c>
      <c r="B2105" s="29">
        <v>59.085500000000003</v>
      </c>
      <c r="C2105" s="28">
        <f t="shared" si="41"/>
        <v>42887</v>
      </c>
    </row>
    <row r="2106" spans="1:3">
      <c r="A2106" s="28">
        <v>42915</v>
      </c>
      <c r="B2106" s="29">
        <v>59.541499999999999</v>
      </c>
      <c r="C2106" s="28">
        <f t="shared" si="41"/>
        <v>42887</v>
      </c>
    </row>
    <row r="2107" spans="1:3">
      <c r="A2107" s="28">
        <v>42914</v>
      </c>
      <c r="B2107" s="29">
        <v>58.884300000000003</v>
      </c>
      <c r="C2107" s="28">
        <f t="shared" si="41"/>
        <v>42887</v>
      </c>
    </row>
    <row r="2108" spans="1:3">
      <c r="A2108" s="28">
        <v>42913</v>
      </c>
      <c r="B2108" s="29">
        <v>59.001399999999997</v>
      </c>
      <c r="C2108" s="28">
        <f t="shared" si="41"/>
        <v>42887</v>
      </c>
    </row>
    <row r="2109" spans="1:3">
      <c r="A2109" s="28">
        <v>42910</v>
      </c>
      <c r="B2109" s="29">
        <v>59.656399999999998</v>
      </c>
      <c r="C2109" s="28">
        <f t="shared" si="41"/>
        <v>42887</v>
      </c>
    </row>
    <row r="2110" spans="1:3">
      <c r="A2110" s="28">
        <v>42909</v>
      </c>
      <c r="B2110" s="29">
        <v>60.148200000000003</v>
      </c>
      <c r="C2110" s="28">
        <f t="shared" si="41"/>
        <v>42887</v>
      </c>
    </row>
    <row r="2111" spans="1:3">
      <c r="A2111" s="28">
        <v>42908</v>
      </c>
      <c r="B2111" s="29">
        <v>60</v>
      </c>
      <c r="C2111" s="28">
        <f t="shared" si="41"/>
        <v>42887</v>
      </c>
    </row>
    <row r="2112" spans="1:3">
      <c r="A2112" s="28">
        <v>42907</v>
      </c>
      <c r="B2112" s="29">
        <v>58.578600000000002</v>
      </c>
      <c r="C2112" s="28">
        <f t="shared" si="41"/>
        <v>42887</v>
      </c>
    </row>
    <row r="2113" spans="1:3">
      <c r="A2113" s="28">
        <v>42906</v>
      </c>
      <c r="B2113" s="29">
        <v>57.958500000000001</v>
      </c>
      <c r="C2113" s="28">
        <f t="shared" si="41"/>
        <v>42887</v>
      </c>
    </row>
    <row r="2114" spans="1:3">
      <c r="A2114" s="28">
        <v>42903</v>
      </c>
      <c r="B2114" s="29">
        <v>57.7408</v>
      </c>
      <c r="C2114" s="28">
        <f t="shared" si="41"/>
        <v>42887</v>
      </c>
    </row>
    <row r="2115" spans="1:3">
      <c r="A2115" s="28">
        <v>42902</v>
      </c>
      <c r="B2115" s="29">
        <v>57.4437</v>
      </c>
      <c r="C2115" s="28">
        <f t="shared" ref="C2115:C2178" si="42">DATE(YEAR(A2115),MONTH(A2115),1)</f>
        <v>42887</v>
      </c>
    </row>
    <row r="2116" spans="1:3">
      <c r="A2116" s="28">
        <v>42901</v>
      </c>
      <c r="B2116" s="29">
        <v>57.030299999999997</v>
      </c>
      <c r="C2116" s="28">
        <f t="shared" si="42"/>
        <v>42887</v>
      </c>
    </row>
    <row r="2117" spans="1:3">
      <c r="A2117" s="28">
        <v>42900</v>
      </c>
      <c r="B2117" s="29">
        <v>56.909599999999998</v>
      </c>
      <c r="C2117" s="28">
        <f t="shared" si="42"/>
        <v>42887</v>
      </c>
    </row>
    <row r="2118" spans="1:3">
      <c r="A2118" s="28">
        <v>42896</v>
      </c>
      <c r="B2118" s="29">
        <v>57.002000000000002</v>
      </c>
      <c r="C2118" s="28">
        <f t="shared" si="42"/>
        <v>42887</v>
      </c>
    </row>
    <row r="2119" spans="1:3">
      <c r="A2119" s="28">
        <v>42895</v>
      </c>
      <c r="B2119" s="29">
        <v>56.985700000000001</v>
      </c>
      <c r="C2119" s="28">
        <f t="shared" si="42"/>
        <v>42887</v>
      </c>
    </row>
    <row r="2120" spans="1:3">
      <c r="A2120" s="28">
        <v>42894</v>
      </c>
      <c r="B2120" s="29">
        <v>56.587800000000001</v>
      </c>
      <c r="C2120" s="28">
        <f t="shared" si="42"/>
        <v>42887</v>
      </c>
    </row>
    <row r="2121" spans="1:3">
      <c r="A2121" s="28">
        <v>42893</v>
      </c>
      <c r="B2121" s="29">
        <v>56.674700000000001</v>
      </c>
      <c r="C2121" s="28">
        <f t="shared" si="42"/>
        <v>42887</v>
      </c>
    </row>
    <row r="2122" spans="1:3">
      <c r="A2122" s="28">
        <v>42892</v>
      </c>
      <c r="B2122" s="29">
        <v>56.615200000000002</v>
      </c>
      <c r="C2122" s="28">
        <f t="shared" si="42"/>
        <v>42887</v>
      </c>
    </row>
    <row r="2123" spans="1:3">
      <c r="A2123" s="28">
        <v>42889</v>
      </c>
      <c r="B2123" s="29">
        <v>56.687600000000003</v>
      </c>
      <c r="C2123" s="28">
        <f t="shared" si="42"/>
        <v>42887</v>
      </c>
    </row>
    <row r="2124" spans="1:3">
      <c r="A2124" s="28">
        <v>42888</v>
      </c>
      <c r="B2124" s="29">
        <v>56.537300000000002</v>
      </c>
      <c r="C2124" s="28">
        <f t="shared" si="42"/>
        <v>42887</v>
      </c>
    </row>
    <row r="2125" spans="1:3">
      <c r="A2125" s="28">
        <v>42887</v>
      </c>
      <c r="B2125" s="29">
        <v>56.687600000000003</v>
      </c>
      <c r="C2125" s="28">
        <f t="shared" si="42"/>
        <v>42887</v>
      </c>
    </row>
    <row r="2126" spans="1:3">
      <c r="A2126" s="28">
        <v>42886</v>
      </c>
      <c r="B2126" s="29">
        <v>56.516800000000003</v>
      </c>
      <c r="C2126" s="28">
        <f t="shared" si="42"/>
        <v>42856</v>
      </c>
    </row>
    <row r="2127" spans="1:3">
      <c r="A2127" s="28">
        <v>42885</v>
      </c>
      <c r="B2127" s="29">
        <v>56.710599999999999</v>
      </c>
      <c r="C2127" s="28">
        <f t="shared" si="42"/>
        <v>42856</v>
      </c>
    </row>
    <row r="2128" spans="1:3">
      <c r="A2128" s="28">
        <v>42882</v>
      </c>
      <c r="B2128" s="29">
        <v>56.756</v>
      </c>
      <c r="C2128" s="28">
        <f t="shared" si="42"/>
        <v>42856</v>
      </c>
    </row>
    <row r="2129" spans="1:3">
      <c r="A2129" s="28">
        <v>42881</v>
      </c>
      <c r="B2129" s="29">
        <v>56.070099999999996</v>
      </c>
      <c r="C2129" s="28">
        <f t="shared" si="42"/>
        <v>42856</v>
      </c>
    </row>
    <row r="2130" spans="1:3">
      <c r="A2130" s="28">
        <v>42880</v>
      </c>
      <c r="B2130" s="29">
        <v>56.274299999999997</v>
      </c>
      <c r="C2130" s="28">
        <f t="shared" si="42"/>
        <v>42856</v>
      </c>
    </row>
    <row r="2131" spans="1:3">
      <c r="A2131" s="28">
        <v>42879</v>
      </c>
      <c r="B2131" s="29">
        <v>56.555199999999999</v>
      </c>
      <c r="C2131" s="28">
        <f t="shared" si="42"/>
        <v>42856</v>
      </c>
    </row>
    <row r="2132" spans="1:3">
      <c r="A2132" s="28">
        <v>42878</v>
      </c>
      <c r="B2132" s="29">
        <v>56.498800000000003</v>
      </c>
      <c r="C2132" s="28">
        <f t="shared" si="42"/>
        <v>42856</v>
      </c>
    </row>
    <row r="2133" spans="1:3">
      <c r="A2133" s="28">
        <v>42875</v>
      </c>
      <c r="B2133" s="29">
        <v>57.160200000000003</v>
      </c>
      <c r="C2133" s="28">
        <f t="shared" si="42"/>
        <v>42856</v>
      </c>
    </row>
    <row r="2134" spans="1:3">
      <c r="A2134" s="28">
        <v>42874</v>
      </c>
      <c r="B2134" s="29">
        <v>57.468299999999999</v>
      </c>
      <c r="C2134" s="28">
        <f t="shared" si="42"/>
        <v>42856</v>
      </c>
    </row>
    <row r="2135" spans="1:3">
      <c r="A2135" s="28">
        <v>42873</v>
      </c>
      <c r="B2135" s="29">
        <v>56.738300000000002</v>
      </c>
      <c r="C2135" s="28">
        <f t="shared" si="42"/>
        <v>42856</v>
      </c>
    </row>
    <row r="2136" spans="1:3">
      <c r="A2136" s="28">
        <v>42872</v>
      </c>
      <c r="B2136" s="29">
        <v>56.260300000000001</v>
      </c>
      <c r="C2136" s="28">
        <f t="shared" si="42"/>
        <v>42856</v>
      </c>
    </row>
    <row r="2137" spans="1:3">
      <c r="A2137" s="28">
        <v>42871</v>
      </c>
      <c r="B2137" s="29">
        <v>56.525799999999997</v>
      </c>
      <c r="C2137" s="28">
        <f t="shared" si="42"/>
        <v>42856</v>
      </c>
    </row>
    <row r="2138" spans="1:3">
      <c r="A2138" s="28">
        <v>42868</v>
      </c>
      <c r="B2138" s="29">
        <v>57.164000000000001</v>
      </c>
      <c r="C2138" s="28">
        <f t="shared" si="42"/>
        <v>42856</v>
      </c>
    </row>
    <row r="2139" spans="1:3">
      <c r="A2139" s="28">
        <v>42867</v>
      </c>
      <c r="B2139" s="29">
        <v>57.116100000000003</v>
      </c>
      <c r="C2139" s="28">
        <f t="shared" si="42"/>
        <v>42856</v>
      </c>
    </row>
    <row r="2140" spans="1:3">
      <c r="A2140" s="28">
        <v>42866</v>
      </c>
      <c r="B2140" s="29">
        <v>58.0824</v>
      </c>
      <c r="C2140" s="28">
        <f t="shared" si="42"/>
        <v>42856</v>
      </c>
    </row>
    <row r="2141" spans="1:3">
      <c r="A2141" s="28">
        <v>42861</v>
      </c>
      <c r="B2141" s="29">
        <v>58.538200000000003</v>
      </c>
      <c r="C2141" s="28">
        <f t="shared" si="42"/>
        <v>42856</v>
      </c>
    </row>
    <row r="2142" spans="1:3">
      <c r="A2142" s="28">
        <v>42860</v>
      </c>
      <c r="B2142" s="29">
        <v>57.571399999999997</v>
      </c>
      <c r="C2142" s="28">
        <f t="shared" si="42"/>
        <v>42856</v>
      </c>
    </row>
    <row r="2143" spans="1:3">
      <c r="A2143" s="28">
        <v>42859</v>
      </c>
      <c r="B2143" s="29">
        <v>57.092700000000001</v>
      </c>
      <c r="C2143" s="28">
        <f t="shared" si="42"/>
        <v>42856</v>
      </c>
    </row>
    <row r="2144" spans="1:3">
      <c r="A2144" s="28">
        <v>42858</v>
      </c>
      <c r="B2144" s="29">
        <v>56.951799999999999</v>
      </c>
      <c r="C2144" s="28">
        <f t="shared" si="42"/>
        <v>42856</v>
      </c>
    </row>
    <row r="2145" spans="1:3">
      <c r="A2145" s="28">
        <v>42854</v>
      </c>
      <c r="B2145" s="29">
        <v>56.983800000000002</v>
      </c>
      <c r="C2145" s="28">
        <f t="shared" si="42"/>
        <v>42826</v>
      </c>
    </row>
    <row r="2146" spans="1:3">
      <c r="A2146" s="28">
        <v>42853</v>
      </c>
      <c r="B2146" s="29">
        <v>56.970700000000001</v>
      </c>
      <c r="C2146" s="28">
        <f t="shared" si="42"/>
        <v>42826</v>
      </c>
    </row>
    <row r="2147" spans="1:3">
      <c r="A2147" s="28">
        <v>42852</v>
      </c>
      <c r="B2147" s="29">
        <v>56.313099999999999</v>
      </c>
      <c r="C2147" s="28">
        <f t="shared" si="42"/>
        <v>42826</v>
      </c>
    </row>
    <row r="2148" spans="1:3">
      <c r="A2148" s="28">
        <v>42851</v>
      </c>
      <c r="B2148" s="29">
        <v>55.845300000000002</v>
      </c>
      <c r="C2148" s="28">
        <f t="shared" si="42"/>
        <v>42826</v>
      </c>
    </row>
    <row r="2149" spans="1:3">
      <c r="A2149" s="28">
        <v>42850</v>
      </c>
      <c r="B2149" s="29">
        <v>56.0794</v>
      </c>
      <c r="C2149" s="28">
        <f t="shared" si="42"/>
        <v>42826</v>
      </c>
    </row>
    <row r="2150" spans="1:3">
      <c r="A2150" s="28">
        <v>42847</v>
      </c>
      <c r="B2150" s="29">
        <v>56.230699999999999</v>
      </c>
      <c r="C2150" s="28">
        <f t="shared" si="42"/>
        <v>42826</v>
      </c>
    </row>
    <row r="2151" spans="1:3">
      <c r="A2151" s="28">
        <v>42846</v>
      </c>
      <c r="B2151" s="29">
        <v>56.416499999999999</v>
      </c>
      <c r="C2151" s="28">
        <f t="shared" si="42"/>
        <v>42826</v>
      </c>
    </row>
    <row r="2152" spans="1:3">
      <c r="A2152" s="28">
        <v>42845</v>
      </c>
      <c r="B2152" s="29">
        <v>56.1753</v>
      </c>
      <c r="C2152" s="28">
        <f t="shared" si="42"/>
        <v>42826</v>
      </c>
    </row>
    <row r="2153" spans="1:3">
      <c r="A2153" s="28">
        <v>42844</v>
      </c>
      <c r="B2153" s="29">
        <v>55.979300000000002</v>
      </c>
      <c r="C2153" s="28">
        <f t="shared" si="42"/>
        <v>42826</v>
      </c>
    </row>
    <row r="2154" spans="1:3">
      <c r="A2154" s="28">
        <v>42843</v>
      </c>
      <c r="B2154" s="29">
        <v>56.250500000000002</v>
      </c>
      <c r="C2154" s="28">
        <f t="shared" si="42"/>
        <v>42826</v>
      </c>
    </row>
    <row r="2155" spans="1:3">
      <c r="A2155" s="28">
        <v>42840</v>
      </c>
      <c r="B2155" s="29">
        <v>56.294499999999999</v>
      </c>
      <c r="C2155" s="28">
        <f t="shared" si="42"/>
        <v>42826</v>
      </c>
    </row>
    <row r="2156" spans="1:3">
      <c r="A2156" s="28">
        <v>42839</v>
      </c>
      <c r="B2156" s="29">
        <v>56.601900000000001</v>
      </c>
      <c r="C2156" s="28">
        <f t="shared" si="42"/>
        <v>42826</v>
      </c>
    </row>
    <row r="2157" spans="1:3">
      <c r="A2157" s="28">
        <v>42838</v>
      </c>
      <c r="B2157" s="29">
        <v>56.755600000000001</v>
      </c>
      <c r="C2157" s="28">
        <f t="shared" si="42"/>
        <v>42826</v>
      </c>
    </row>
    <row r="2158" spans="1:3">
      <c r="A2158" s="28">
        <v>42837</v>
      </c>
      <c r="B2158" s="29">
        <v>56.955199999999998</v>
      </c>
      <c r="C2158" s="28">
        <f t="shared" si="42"/>
        <v>42826</v>
      </c>
    </row>
    <row r="2159" spans="1:3">
      <c r="A2159" s="28">
        <v>42836</v>
      </c>
      <c r="B2159" s="29">
        <v>57.389600000000002</v>
      </c>
      <c r="C2159" s="28">
        <f t="shared" si="42"/>
        <v>42826</v>
      </c>
    </row>
    <row r="2160" spans="1:3">
      <c r="A2160" s="28">
        <v>42833</v>
      </c>
      <c r="B2160" s="29">
        <v>56.920099999999998</v>
      </c>
      <c r="C2160" s="28">
        <f t="shared" si="42"/>
        <v>42826</v>
      </c>
    </row>
    <row r="2161" spans="1:3">
      <c r="A2161" s="28">
        <v>42832</v>
      </c>
      <c r="B2161" s="29">
        <v>56.436900000000001</v>
      </c>
      <c r="C2161" s="28">
        <f t="shared" si="42"/>
        <v>42826</v>
      </c>
    </row>
    <row r="2162" spans="1:3">
      <c r="A2162" s="28">
        <v>42831</v>
      </c>
      <c r="B2162" s="29">
        <v>55.893999999999998</v>
      </c>
      <c r="C2162" s="28">
        <f t="shared" si="42"/>
        <v>42826</v>
      </c>
    </row>
    <row r="2163" spans="1:3">
      <c r="A2163" s="28">
        <v>42830</v>
      </c>
      <c r="B2163" s="29">
        <v>56.555300000000003</v>
      </c>
      <c r="C2163" s="28">
        <f t="shared" si="42"/>
        <v>42826</v>
      </c>
    </row>
    <row r="2164" spans="1:3">
      <c r="A2164" s="28">
        <v>42829</v>
      </c>
      <c r="B2164" s="29">
        <v>56.139600000000002</v>
      </c>
      <c r="C2164" s="28">
        <f t="shared" si="42"/>
        <v>42826</v>
      </c>
    </row>
    <row r="2165" spans="1:3">
      <c r="A2165" s="28">
        <v>42826</v>
      </c>
      <c r="B2165" s="29">
        <v>55.960599999999999</v>
      </c>
      <c r="C2165" s="28">
        <f t="shared" si="42"/>
        <v>42826</v>
      </c>
    </row>
    <row r="2166" spans="1:3">
      <c r="A2166" s="28">
        <v>42825</v>
      </c>
      <c r="B2166" s="29">
        <v>56.377899999999997</v>
      </c>
      <c r="C2166" s="28">
        <f t="shared" si="42"/>
        <v>42795</v>
      </c>
    </row>
    <row r="2167" spans="1:3">
      <c r="A2167" s="28">
        <v>42824</v>
      </c>
      <c r="B2167" s="29">
        <v>57.024099999999997</v>
      </c>
      <c r="C2167" s="28">
        <f t="shared" si="42"/>
        <v>42795</v>
      </c>
    </row>
    <row r="2168" spans="1:3">
      <c r="A2168" s="28">
        <v>42823</v>
      </c>
      <c r="B2168" s="29">
        <v>56.936399999999999</v>
      </c>
      <c r="C2168" s="28">
        <f t="shared" si="42"/>
        <v>42795</v>
      </c>
    </row>
    <row r="2169" spans="1:3">
      <c r="A2169" s="28">
        <v>42822</v>
      </c>
      <c r="B2169" s="29">
        <v>57.023299999999999</v>
      </c>
      <c r="C2169" s="28">
        <f t="shared" si="42"/>
        <v>42795</v>
      </c>
    </row>
    <row r="2170" spans="1:3">
      <c r="A2170" s="28">
        <v>42819</v>
      </c>
      <c r="B2170" s="29">
        <v>57.424700000000001</v>
      </c>
      <c r="C2170" s="28">
        <f t="shared" si="42"/>
        <v>42795</v>
      </c>
    </row>
    <row r="2171" spans="1:3">
      <c r="A2171" s="28">
        <v>42818</v>
      </c>
      <c r="B2171" s="29">
        <v>57.522799999999997</v>
      </c>
      <c r="C2171" s="28">
        <f t="shared" si="42"/>
        <v>42795</v>
      </c>
    </row>
    <row r="2172" spans="1:3">
      <c r="A2172" s="28">
        <v>42817</v>
      </c>
      <c r="B2172" s="29">
        <v>57.636000000000003</v>
      </c>
      <c r="C2172" s="28">
        <f t="shared" si="42"/>
        <v>42795</v>
      </c>
    </row>
    <row r="2173" spans="1:3">
      <c r="A2173" s="28">
        <v>42816</v>
      </c>
      <c r="B2173" s="29">
        <v>57.232300000000002</v>
      </c>
      <c r="C2173" s="28">
        <f t="shared" si="42"/>
        <v>42795</v>
      </c>
    </row>
    <row r="2174" spans="1:3">
      <c r="A2174" s="28">
        <v>42815</v>
      </c>
      <c r="B2174" s="29">
        <v>57.284700000000001</v>
      </c>
      <c r="C2174" s="28">
        <f t="shared" si="42"/>
        <v>42795</v>
      </c>
    </row>
    <row r="2175" spans="1:3">
      <c r="A2175" s="28">
        <v>42812</v>
      </c>
      <c r="B2175" s="29">
        <v>57.934399999999997</v>
      </c>
      <c r="C2175" s="28">
        <f t="shared" si="42"/>
        <v>42795</v>
      </c>
    </row>
    <row r="2176" spans="1:3">
      <c r="A2176" s="28">
        <v>42811</v>
      </c>
      <c r="B2176" s="29">
        <v>58.243699999999997</v>
      </c>
      <c r="C2176" s="28">
        <f t="shared" si="42"/>
        <v>42795</v>
      </c>
    </row>
    <row r="2177" spans="1:3">
      <c r="A2177" s="28">
        <v>42810</v>
      </c>
      <c r="B2177" s="29">
        <v>59.1128</v>
      </c>
      <c r="C2177" s="28">
        <f t="shared" si="42"/>
        <v>42795</v>
      </c>
    </row>
    <row r="2178" spans="1:3">
      <c r="A2178" s="28">
        <v>42809</v>
      </c>
      <c r="B2178" s="29">
        <v>58.954000000000001</v>
      </c>
      <c r="C2178" s="28">
        <f t="shared" si="42"/>
        <v>42795</v>
      </c>
    </row>
    <row r="2179" spans="1:3">
      <c r="A2179" s="28">
        <v>42808</v>
      </c>
      <c r="B2179" s="29">
        <v>59.1327</v>
      </c>
      <c r="C2179" s="28">
        <f t="shared" ref="C2179:C2242" si="43">DATE(YEAR(A2179),MONTH(A2179),1)</f>
        <v>42795</v>
      </c>
    </row>
    <row r="2180" spans="1:3">
      <c r="A2180" s="28">
        <v>42805</v>
      </c>
      <c r="B2180" s="29">
        <v>59.217399999999998</v>
      </c>
      <c r="C2180" s="28">
        <f t="shared" si="43"/>
        <v>42795</v>
      </c>
    </row>
    <row r="2181" spans="1:3">
      <c r="A2181" s="28">
        <v>42804</v>
      </c>
      <c r="B2181" s="29">
        <v>58.831800000000001</v>
      </c>
      <c r="C2181" s="28">
        <f t="shared" si="43"/>
        <v>42795</v>
      </c>
    </row>
    <row r="2182" spans="1:3">
      <c r="A2182" s="28">
        <v>42802</v>
      </c>
      <c r="B2182" s="29">
        <v>58.262999999999998</v>
      </c>
      <c r="C2182" s="28">
        <f t="shared" si="43"/>
        <v>42795</v>
      </c>
    </row>
    <row r="2183" spans="1:3">
      <c r="A2183" s="28">
        <v>42801</v>
      </c>
      <c r="B2183" s="29">
        <v>58.337000000000003</v>
      </c>
      <c r="C2183" s="28">
        <f t="shared" si="43"/>
        <v>42795</v>
      </c>
    </row>
    <row r="2184" spans="1:3">
      <c r="A2184" s="28">
        <v>42798</v>
      </c>
      <c r="B2184" s="29">
        <v>58.9099</v>
      </c>
      <c r="C2184" s="28">
        <f t="shared" si="43"/>
        <v>42795</v>
      </c>
    </row>
    <row r="2185" spans="1:3">
      <c r="A2185" s="28">
        <v>42797</v>
      </c>
      <c r="B2185" s="29">
        <v>58.406700000000001</v>
      </c>
      <c r="C2185" s="28">
        <f t="shared" si="43"/>
        <v>42795</v>
      </c>
    </row>
    <row r="2186" spans="1:3">
      <c r="A2186" s="28">
        <v>42796</v>
      </c>
      <c r="B2186" s="29">
        <v>58.377600000000001</v>
      </c>
      <c r="C2186" s="28">
        <f t="shared" si="43"/>
        <v>42795</v>
      </c>
    </row>
    <row r="2187" spans="1:3">
      <c r="A2187" s="28">
        <v>42795</v>
      </c>
      <c r="B2187" s="29">
        <v>57.962699999999998</v>
      </c>
      <c r="C2187" s="28">
        <f t="shared" si="43"/>
        <v>42795</v>
      </c>
    </row>
    <row r="2188" spans="1:3">
      <c r="A2188" s="28">
        <v>42794</v>
      </c>
      <c r="B2188" s="29">
        <v>57.937100000000001</v>
      </c>
      <c r="C2188" s="28">
        <f t="shared" si="43"/>
        <v>42767</v>
      </c>
    </row>
    <row r="2189" spans="1:3">
      <c r="A2189" s="28">
        <v>42789</v>
      </c>
      <c r="B2189" s="29">
        <v>57.476199999999999</v>
      </c>
      <c r="C2189" s="28">
        <f t="shared" si="43"/>
        <v>42767</v>
      </c>
    </row>
    <row r="2190" spans="1:3">
      <c r="A2190" s="28">
        <v>42788</v>
      </c>
      <c r="B2190" s="29">
        <v>57.859000000000002</v>
      </c>
      <c r="C2190" s="28">
        <f t="shared" si="43"/>
        <v>42767</v>
      </c>
    </row>
    <row r="2191" spans="1:3">
      <c r="A2191" s="28">
        <v>42787</v>
      </c>
      <c r="B2191" s="29">
        <v>58.096699999999998</v>
      </c>
      <c r="C2191" s="28">
        <f t="shared" si="43"/>
        <v>42767</v>
      </c>
    </row>
    <row r="2192" spans="1:3">
      <c r="A2192" s="28">
        <v>42784</v>
      </c>
      <c r="B2192" s="29">
        <v>57.6342</v>
      </c>
      <c r="C2192" s="28">
        <f t="shared" si="43"/>
        <v>42767</v>
      </c>
    </row>
    <row r="2193" spans="1:3">
      <c r="A2193" s="28">
        <v>42783</v>
      </c>
      <c r="B2193" s="29">
        <v>57.150700000000001</v>
      </c>
      <c r="C2193" s="28">
        <f t="shared" si="43"/>
        <v>42767</v>
      </c>
    </row>
    <row r="2194" spans="1:3">
      <c r="A2194" s="28">
        <v>42782</v>
      </c>
      <c r="B2194" s="29">
        <v>56.771900000000002</v>
      </c>
      <c r="C2194" s="28">
        <f t="shared" si="43"/>
        <v>42767</v>
      </c>
    </row>
    <row r="2195" spans="1:3">
      <c r="A2195" s="28">
        <v>42781</v>
      </c>
      <c r="B2195" s="29">
        <v>57.738799999999998</v>
      </c>
      <c r="C2195" s="28">
        <f t="shared" si="43"/>
        <v>42767</v>
      </c>
    </row>
    <row r="2196" spans="1:3">
      <c r="A2196" s="28">
        <v>42780</v>
      </c>
      <c r="B2196" s="29">
        <v>58.061900000000001</v>
      </c>
      <c r="C2196" s="28">
        <f t="shared" si="43"/>
        <v>42767</v>
      </c>
    </row>
    <row r="2197" spans="1:3">
      <c r="A2197" s="28">
        <v>42777</v>
      </c>
      <c r="B2197" s="29">
        <v>58.845700000000001</v>
      </c>
      <c r="C2197" s="28">
        <f t="shared" si="43"/>
        <v>42767</v>
      </c>
    </row>
    <row r="2198" spans="1:3">
      <c r="A2198" s="28">
        <v>42776</v>
      </c>
      <c r="B2198" s="29">
        <v>59.023499999999999</v>
      </c>
      <c r="C2198" s="28">
        <f t="shared" si="43"/>
        <v>42767</v>
      </c>
    </row>
    <row r="2199" spans="1:3">
      <c r="A2199" s="28">
        <v>42775</v>
      </c>
      <c r="B2199" s="29">
        <v>59.512900000000002</v>
      </c>
      <c r="C2199" s="28">
        <f t="shared" si="43"/>
        <v>42767</v>
      </c>
    </row>
    <row r="2200" spans="1:3">
      <c r="A2200" s="28">
        <v>42774</v>
      </c>
      <c r="B2200" s="29">
        <v>59.193300000000001</v>
      </c>
      <c r="C2200" s="28">
        <f t="shared" si="43"/>
        <v>42767</v>
      </c>
    </row>
    <row r="2201" spans="1:3">
      <c r="A2201" s="28">
        <v>42773</v>
      </c>
      <c r="B2201" s="29">
        <v>58.7121</v>
      </c>
      <c r="C2201" s="28">
        <f t="shared" si="43"/>
        <v>42767</v>
      </c>
    </row>
    <row r="2202" spans="1:3">
      <c r="A2202" s="28">
        <v>42770</v>
      </c>
      <c r="B2202" s="29">
        <v>59.313699999999997</v>
      </c>
      <c r="C2202" s="28">
        <f t="shared" si="43"/>
        <v>42767</v>
      </c>
    </row>
    <row r="2203" spans="1:3">
      <c r="A2203" s="28">
        <v>42769</v>
      </c>
      <c r="B2203" s="29">
        <v>59.985799999999998</v>
      </c>
      <c r="C2203" s="28">
        <f t="shared" si="43"/>
        <v>42767</v>
      </c>
    </row>
    <row r="2204" spans="1:3">
      <c r="A2204" s="28">
        <v>42768</v>
      </c>
      <c r="B2204" s="29">
        <v>60.309899999999999</v>
      </c>
      <c r="C2204" s="28">
        <f t="shared" si="43"/>
        <v>42767</v>
      </c>
    </row>
    <row r="2205" spans="1:3">
      <c r="A2205" s="28">
        <v>42767</v>
      </c>
      <c r="B2205" s="29">
        <v>60.085099999999997</v>
      </c>
      <c r="C2205" s="28">
        <f t="shared" si="43"/>
        <v>42767</v>
      </c>
    </row>
    <row r="2206" spans="1:3">
      <c r="A2206" s="28">
        <v>42766</v>
      </c>
      <c r="B2206" s="29">
        <v>60.161799999999999</v>
      </c>
      <c r="C2206" s="28">
        <f t="shared" si="43"/>
        <v>42736</v>
      </c>
    </row>
    <row r="2207" spans="1:3">
      <c r="A2207" s="28">
        <v>42763</v>
      </c>
      <c r="B2207" s="29">
        <v>60.319600000000001</v>
      </c>
      <c r="C2207" s="28">
        <f t="shared" si="43"/>
        <v>42736</v>
      </c>
    </row>
    <row r="2208" spans="1:3">
      <c r="A2208" s="28">
        <v>42762</v>
      </c>
      <c r="B2208" s="29">
        <v>59.635599999999997</v>
      </c>
      <c r="C2208" s="28">
        <f t="shared" si="43"/>
        <v>42736</v>
      </c>
    </row>
    <row r="2209" spans="1:3">
      <c r="A2209" s="28">
        <v>42761</v>
      </c>
      <c r="B2209" s="29">
        <v>59.148899999999998</v>
      </c>
      <c r="C2209" s="28">
        <f t="shared" si="43"/>
        <v>42736</v>
      </c>
    </row>
    <row r="2210" spans="1:3">
      <c r="A2210" s="28">
        <v>42760</v>
      </c>
      <c r="B2210" s="29">
        <v>59.216799999999999</v>
      </c>
      <c r="C2210" s="28">
        <f t="shared" si="43"/>
        <v>42736</v>
      </c>
    </row>
    <row r="2211" spans="1:3">
      <c r="A2211" s="28">
        <v>42759</v>
      </c>
      <c r="B2211" s="29">
        <v>59.503399999999999</v>
      </c>
      <c r="C2211" s="28">
        <f t="shared" si="43"/>
        <v>42736</v>
      </c>
    </row>
    <row r="2212" spans="1:3">
      <c r="A2212" s="28">
        <v>42756</v>
      </c>
      <c r="B2212" s="29">
        <v>59.669699999999999</v>
      </c>
      <c r="C2212" s="28">
        <f t="shared" si="43"/>
        <v>42736</v>
      </c>
    </row>
    <row r="2213" spans="1:3">
      <c r="A2213" s="28">
        <v>42755</v>
      </c>
      <c r="B2213" s="29">
        <v>59.3521</v>
      </c>
      <c r="C2213" s="28">
        <f t="shared" si="43"/>
        <v>42736</v>
      </c>
    </row>
    <row r="2214" spans="1:3">
      <c r="A2214" s="28">
        <v>42754</v>
      </c>
      <c r="B2214" s="29">
        <v>59.183</v>
      </c>
      <c r="C2214" s="28">
        <f t="shared" si="43"/>
        <v>42736</v>
      </c>
    </row>
    <row r="2215" spans="1:3">
      <c r="A2215" s="28">
        <v>42753</v>
      </c>
      <c r="B2215" s="29">
        <v>59.401499999999999</v>
      </c>
      <c r="C2215" s="28">
        <f t="shared" si="43"/>
        <v>42736</v>
      </c>
    </row>
    <row r="2216" spans="1:3">
      <c r="A2216" s="28">
        <v>42752</v>
      </c>
      <c r="B2216" s="29">
        <v>59.606699999999996</v>
      </c>
      <c r="C2216" s="28">
        <f t="shared" si="43"/>
        <v>42736</v>
      </c>
    </row>
    <row r="2217" spans="1:3">
      <c r="A2217" s="28">
        <v>42749</v>
      </c>
      <c r="B2217" s="29">
        <v>59.37</v>
      </c>
      <c r="C2217" s="28">
        <f t="shared" si="43"/>
        <v>42736</v>
      </c>
    </row>
    <row r="2218" spans="1:3">
      <c r="A2218" s="28">
        <v>42748</v>
      </c>
      <c r="B2218" s="29">
        <v>59.497799999999998</v>
      </c>
      <c r="C2218" s="28">
        <f t="shared" si="43"/>
        <v>42736</v>
      </c>
    </row>
    <row r="2219" spans="1:3">
      <c r="A2219" s="28">
        <v>42747</v>
      </c>
      <c r="B2219" s="29">
        <v>60.1614</v>
      </c>
      <c r="C2219" s="28">
        <f t="shared" si="43"/>
        <v>42736</v>
      </c>
    </row>
    <row r="2220" spans="1:3">
      <c r="A2220" s="28">
        <v>42746</v>
      </c>
      <c r="B2220" s="29">
        <v>59.953299999999999</v>
      </c>
      <c r="C2220" s="28">
        <f t="shared" si="43"/>
        <v>42736</v>
      </c>
    </row>
    <row r="2221" spans="1:3">
      <c r="A2221" s="28">
        <v>42745</v>
      </c>
      <c r="B2221" s="29">
        <v>59.896099999999997</v>
      </c>
      <c r="C2221" s="28">
        <f t="shared" si="43"/>
        <v>42736</v>
      </c>
    </row>
    <row r="2222" spans="1:3">
      <c r="A2222" s="28">
        <v>42735</v>
      </c>
      <c r="B2222" s="29">
        <v>60.6569</v>
      </c>
      <c r="C2222" s="28">
        <f t="shared" si="43"/>
        <v>42705</v>
      </c>
    </row>
    <row r="2223" spans="1:3">
      <c r="A2223" s="28">
        <v>42734</v>
      </c>
      <c r="B2223" s="29">
        <v>60.273000000000003</v>
      </c>
      <c r="C2223" s="28">
        <f t="shared" si="43"/>
        <v>42705</v>
      </c>
    </row>
    <row r="2224" spans="1:3">
      <c r="A2224" s="28">
        <v>42733</v>
      </c>
      <c r="B2224" s="29">
        <v>60.666899999999998</v>
      </c>
      <c r="C2224" s="28">
        <f t="shared" si="43"/>
        <v>42705</v>
      </c>
    </row>
    <row r="2225" spans="1:3">
      <c r="A2225" s="28">
        <v>42732</v>
      </c>
      <c r="B2225" s="29">
        <v>60.858699999999999</v>
      </c>
      <c r="C2225" s="28">
        <f t="shared" si="43"/>
        <v>42705</v>
      </c>
    </row>
    <row r="2226" spans="1:3">
      <c r="A2226" s="28">
        <v>42731</v>
      </c>
      <c r="B2226" s="29">
        <v>60.9084</v>
      </c>
      <c r="C2226" s="28">
        <f t="shared" si="43"/>
        <v>42705</v>
      </c>
    </row>
    <row r="2227" spans="1:3">
      <c r="A2227" s="28">
        <v>42728</v>
      </c>
      <c r="B2227" s="29">
        <v>60.852800000000002</v>
      </c>
      <c r="C2227" s="28">
        <f t="shared" si="43"/>
        <v>42705</v>
      </c>
    </row>
    <row r="2228" spans="1:3">
      <c r="A2228" s="28">
        <v>42727</v>
      </c>
      <c r="B2228" s="29">
        <v>60.864100000000001</v>
      </c>
      <c r="C2228" s="28">
        <f t="shared" si="43"/>
        <v>42705</v>
      </c>
    </row>
    <row r="2229" spans="1:3">
      <c r="A2229" s="28">
        <v>42726</v>
      </c>
      <c r="B2229" s="29">
        <v>61.109200000000001</v>
      </c>
      <c r="C2229" s="28">
        <f t="shared" si="43"/>
        <v>42705</v>
      </c>
    </row>
    <row r="2230" spans="1:3">
      <c r="A2230" s="28">
        <v>42725</v>
      </c>
      <c r="B2230" s="29">
        <v>61.796700000000001</v>
      </c>
      <c r="C2230" s="28">
        <f t="shared" si="43"/>
        <v>42705</v>
      </c>
    </row>
    <row r="2231" spans="1:3">
      <c r="A2231" s="28">
        <v>42724</v>
      </c>
      <c r="B2231" s="29">
        <v>61.793100000000003</v>
      </c>
      <c r="C2231" s="28">
        <f t="shared" si="43"/>
        <v>42705</v>
      </c>
    </row>
    <row r="2232" spans="1:3">
      <c r="A2232" s="28">
        <v>42721</v>
      </c>
      <c r="B2232" s="29">
        <v>61.7515</v>
      </c>
      <c r="C2232" s="28">
        <f t="shared" si="43"/>
        <v>42705</v>
      </c>
    </row>
    <row r="2233" spans="1:3">
      <c r="A2233" s="28">
        <v>42720</v>
      </c>
      <c r="B2233" s="29">
        <v>61.636800000000001</v>
      </c>
      <c r="C2233" s="28">
        <f t="shared" si="43"/>
        <v>42705</v>
      </c>
    </row>
    <row r="2234" spans="1:3">
      <c r="A2234" s="28">
        <v>42719</v>
      </c>
      <c r="B2234" s="29">
        <v>60.807899999999997</v>
      </c>
      <c r="C2234" s="28">
        <f t="shared" si="43"/>
        <v>42705</v>
      </c>
    </row>
    <row r="2235" spans="1:3">
      <c r="A2235" s="28">
        <v>42718</v>
      </c>
      <c r="B2235" s="29">
        <v>61.069000000000003</v>
      </c>
      <c r="C2235" s="28">
        <f t="shared" si="43"/>
        <v>42705</v>
      </c>
    </row>
    <row r="2236" spans="1:3">
      <c r="A2236" s="28">
        <v>42717</v>
      </c>
      <c r="B2236" s="29">
        <v>61.580399999999997</v>
      </c>
      <c r="C2236" s="28">
        <f t="shared" si="43"/>
        <v>42705</v>
      </c>
    </row>
    <row r="2237" spans="1:3">
      <c r="A2237" s="28">
        <v>42714</v>
      </c>
      <c r="B2237" s="29">
        <v>63.302799999999998</v>
      </c>
      <c r="C2237" s="28">
        <f t="shared" si="43"/>
        <v>42705</v>
      </c>
    </row>
    <row r="2238" spans="1:3">
      <c r="A2238" s="28">
        <v>42713</v>
      </c>
      <c r="B2238" s="29">
        <v>63.390099999999997</v>
      </c>
      <c r="C2238" s="28">
        <f t="shared" si="43"/>
        <v>42705</v>
      </c>
    </row>
    <row r="2239" spans="1:3">
      <c r="A2239" s="28">
        <v>42712</v>
      </c>
      <c r="B2239" s="29">
        <v>63.9114</v>
      </c>
      <c r="C2239" s="28">
        <f t="shared" si="43"/>
        <v>42705</v>
      </c>
    </row>
    <row r="2240" spans="1:3">
      <c r="A2240" s="28">
        <v>42711</v>
      </c>
      <c r="B2240" s="29">
        <v>63.874099999999999</v>
      </c>
      <c r="C2240" s="28">
        <f t="shared" si="43"/>
        <v>42705</v>
      </c>
    </row>
    <row r="2241" spans="1:3">
      <c r="A2241" s="28">
        <v>42710</v>
      </c>
      <c r="B2241" s="29">
        <v>63.924199999999999</v>
      </c>
      <c r="C2241" s="28">
        <f t="shared" si="43"/>
        <v>42705</v>
      </c>
    </row>
    <row r="2242" spans="1:3">
      <c r="A2242" s="28">
        <v>42707</v>
      </c>
      <c r="B2242" s="29">
        <v>64.152799999999999</v>
      </c>
      <c r="C2242" s="28">
        <f t="shared" si="43"/>
        <v>42705</v>
      </c>
    </row>
    <row r="2243" spans="1:3">
      <c r="A2243" s="28">
        <v>42706</v>
      </c>
      <c r="B2243" s="29">
        <v>63.680700000000002</v>
      </c>
      <c r="C2243" s="28">
        <f t="shared" ref="C2243:C2306" si="44">DATE(YEAR(A2243),MONTH(A2243),1)</f>
        <v>42705</v>
      </c>
    </row>
    <row r="2244" spans="1:3">
      <c r="A2244" s="28">
        <v>42705</v>
      </c>
      <c r="B2244" s="29">
        <v>65.238200000000006</v>
      </c>
      <c r="C2244" s="28">
        <f t="shared" si="44"/>
        <v>42705</v>
      </c>
    </row>
    <row r="2245" spans="1:3">
      <c r="A2245" s="28">
        <v>42704</v>
      </c>
      <c r="B2245" s="29">
        <v>64.944900000000004</v>
      </c>
      <c r="C2245" s="28">
        <f t="shared" si="44"/>
        <v>42675</v>
      </c>
    </row>
    <row r="2246" spans="1:3">
      <c r="A2246" s="28">
        <v>42703</v>
      </c>
      <c r="B2246" s="29">
        <v>64.915300000000002</v>
      </c>
      <c r="C2246" s="28">
        <f t="shared" si="44"/>
        <v>42675</v>
      </c>
    </row>
    <row r="2247" spans="1:3">
      <c r="A2247" s="28">
        <v>42700</v>
      </c>
      <c r="B2247" s="29">
        <v>64.617400000000004</v>
      </c>
      <c r="C2247" s="28">
        <f t="shared" si="44"/>
        <v>42675</v>
      </c>
    </row>
    <row r="2248" spans="1:3">
      <c r="A2248" s="28">
        <v>42699</v>
      </c>
      <c r="B2248" s="29">
        <v>64.627899999999997</v>
      </c>
      <c r="C2248" s="28">
        <f t="shared" si="44"/>
        <v>42675</v>
      </c>
    </row>
    <row r="2249" spans="1:3">
      <c r="A2249" s="28">
        <v>42698</v>
      </c>
      <c r="B2249" s="29">
        <v>64.008700000000005</v>
      </c>
      <c r="C2249" s="28">
        <f t="shared" si="44"/>
        <v>42675</v>
      </c>
    </row>
    <row r="2250" spans="1:3">
      <c r="A2250" s="28">
        <v>42697</v>
      </c>
      <c r="B2250" s="29">
        <v>63.6282</v>
      </c>
      <c r="C2250" s="28">
        <f t="shared" si="44"/>
        <v>42675</v>
      </c>
    </row>
    <row r="2251" spans="1:3">
      <c r="A2251" s="28">
        <v>42696</v>
      </c>
      <c r="B2251" s="29">
        <v>64.358000000000004</v>
      </c>
      <c r="C2251" s="28">
        <f t="shared" si="44"/>
        <v>42675</v>
      </c>
    </row>
    <row r="2252" spans="1:3">
      <c r="A2252" s="28">
        <v>42693</v>
      </c>
      <c r="B2252" s="29">
        <v>65.1023</v>
      </c>
      <c r="C2252" s="28">
        <f t="shared" si="44"/>
        <v>42675</v>
      </c>
    </row>
    <row r="2253" spans="1:3">
      <c r="A2253" s="28">
        <v>42692</v>
      </c>
      <c r="B2253" s="29">
        <v>64.915400000000005</v>
      </c>
      <c r="C2253" s="28">
        <f t="shared" si="44"/>
        <v>42675</v>
      </c>
    </row>
    <row r="2254" spans="1:3">
      <c r="A2254" s="28">
        <v>42691</v>
      </c>
      <c r="B2254" s="29">
        <v>64.546300000000002</v>
      </c>
      <c r="C2254" s="28">
        <f t="shared" si="44"/>
        <v>42675</v>
      </c>
    </row>
    <row r="2255" spans="1:3">
      <c r="A2255" s="28">
        <v>42690</v>
      </c>
      <c r="B2255" s="29">
        <v>65.5548</v>
      </c>
      <c r="C2255" s="28">
        <f t="shared" si="44"/>
        <v>42675</v>
      </c>
    </row>
    <row r="2256" spans="1:3">
      <c r="A2256" s="28">
        <v>42689</v>
      </c>
      <c r="B2256" s="29">
        <v>65.859099999999998</v>
      </c>
      <c r="C2256" s="28">
        <f t="shared" si="44"/>
        <v>42675</v>
      </c>
    </row>
    <row r="2257" spans="1:3">
      <c r="A2257" s="28">
        <v>42686</v>
      </c>
      <c r="B2257" s="29">
        <v>65.216700000000003</v>
      </c>
      <c r="C2257" s="28">
        <f t="shared" si="44"/>
        <v>42675</v>
      </c>
    </row>
    <row r="2258" spans="1:3">
      <c r="A2258" s="28">
        <v>42685</v>
      </c>
      <c r="B2258" s="29">
        <v>63.4161</v>
      </c>
      <c r="C2258" s="28">
        <f t="shared" si="44"/>
        <v>42675</v>
      </c>
    </row>
    <row r="2259" spans="1:3">
      <c r="A2259" s="28">
        <v>42684</v>
      </c>
      <c r="B2259" s="29">
        <v>63.892800000000001</v>
      </c>
      <c r="C2259" s="28">
        <f t="shared" si="44"/>
        <v>42675</v>
      </c>
    </row>
    <row r="2260" spans="1:3">
      <c r="A2260" s="28">
        <v>42683</v>
      </c>
      <c r="B2260" s="29">
        <v>63.736400000000003</v>
      </c>
      <c r="C2260" s="28">
        <f t="shared" si="44"/>
        <v>42675</v>
      </c>
    </row>
    <row r="2261" spans="1:3">
      <c r="A2261" s="28">
        <v>42682</v>
      </c>
      <c r="B2261" s="29">
        <v>63.907400000000003</v>
      </c>
      <c r="C2261" s="28">
        <f t="shared" si="44"/>
        <v>42675</v>
      </c>
    </row>
    <row r="2262" spans="1:3">
      <c r="A2262" s="28">
        <v>42678</v>
      </c>
      <c r="B2262" s="29">
        <v>63.504300000000001</v>
      </c>
      <c r="C2262" s="28">
        <f t="shared" si="44"/>
        <v>42675</v>
      </c>
    </row>
    <row r="2263" spans="1:3">
      <c r="A2263" s="28">
        <v>42677</v>
      </c>
      <c r="B2263" s="29">
        <v>63.416600000000003</v>
      </c>
      <c r="C2263" s="28">
        <f t="shared" si="44"/>
        <v>42675</v>
      </c>
    </row>
    <row r="2264" spans="1:3">
      <c r="A2264" s="28">
        <v>42676</v>
      </c>
      <c r="B2264" s="29">
        <v>63.202500000000001</v>
      </c>
      <c r="C2264" s="28">
        <f t="shared" si="44"/>
        <v>42675</v>
      </c>
    </row>
    <row r="2265" spans="1:3">
      <c r="A2265" s="28">
        <v>42675</v>
      </c>
      <c r="B2265" s="29">
        <v>63.217399999999998</v>
      </c>
      <c r="C2265" s="28">
        <f t="shared" si="44"/>
        <v>42675</v>
      </c>
    </row>
    <row r="2266" spans="1:3">
      <c r="A2266" s="28">
        <v>42672</v>
      </c>
      <c r="B2266" s="29">
        <v>62.903700000000001</v>
      </c>
      <c r="C2266" s="28">
        <f t="shared" si="44"/>
        <v>42644</v>
      </c>
    </row>
    <row r="2267" spans="1:3">
      <c r="A2267" s="28">
        <v>42671</v>
      </c>
      <c r="B2267" s="29">
        <v>63.039900000000003</v>
      </c>
      <c r="C2267" s="28">
        <f t="shared" si="44"/>
        <v>42644</v>
      </c>
    </row>
    <row r="2268" spans="1:3">
      <c r="A2268" s="28">
        <v>42670</v>
      </c>
      <c r="B2268" s="29">
        <v>62.259700000000002</v>
      </c>
      <c r="C2268" s="28">
        <f t="shared" si="44"/>
        <v>42644</v>
      </c>
    </row>
    <row r="2269" spans="1:3">
      <c r="A2269" s="28">
        <v>42669</v>
      </c>
      <c r="B2269" s="29">
        <v>62.048000000000002</v>
      </c>
      <c r="C2269" s="28">
        <f t="shared" si="44"/>
        <v>42644</v>
      </c>
    </row>
    <row r="2270" spans="1:3">
      <c r="A2270" s="28">
        <v>42668</v>
      </c>
      <c r="B2270" s="29">
        <v>62.234900000000003</v>
      </c>
      <c r="C2270" s="28">
        <f t="shared" si="44"/>
        <v>42644</v>
      </c>
    </row>
    <row r="2271" spans="1:3">
      <c r="A2271" s="28">
        <v>42665</v>
      </c>
      <c r="B2271" s="29">
        <v>62.4499</v>
      </c>
      <c r="C2271" s="28">
        <f t="shared" si="44"/>
        <v>42644</v>
      </c>
    </row>
    <row r="2272" spans="1:3">
      <c r="A2272" s="28">
        <v>42664</v>
      </c>
      <c r="B2272" s="29">
        <v>62.419400000000003</v>
      </c>
      <c r="C2272" s="28">
        <f t="shared" si="44"/>
        <v>42644</v>
      </c>
    </row>
    <row r="2273" spans="1:3">
      <c r="A2273" s="28">
        <v>42663</v>
      </c>
      <c r="B2273" s="29">
        <v>62.584099999999999</v>
      </c>
      <c r="C2273" s="28">
        <f t="shared" si="44"/>
        <v>42644</v>
      </c>
    </row>
    <row r="2274" spans="1:3">
      <c r="A2274" s="28">
        <v>42662</v>
      </c>
      <c r="B2274" s="29">
        <v>62.89</v>
      </c>
      <c r="C2274" s="28">
        <f t="shared" si="44"/>
        <v>42644</v>
      </c>
    </row>
    <row r="2275" spans="1:3">
      <c r="A2275" s="28">
        <v>42661</v>
      </c>
      <c r="B2275" s="29">
        <v>63.151000000000003</v>
      </c>
      <c r="C2275" s="28">
        <f t="shared" si="44"/>
        <v>42644</v>
      </c>
    </row>
    <row r="2276" spans="1:3">
      <c r="A2276" s="28">
        <v>42658</v>
      </c>
      <c r="B2276" s="29">
        <v>62.993400000000001</v>
      </c>
      <c r="C2276" s="28">
        <f t="shared" si="44"/>
        <v>42644</v>
      </c>
    </row>
    <row r="2277" spans="1:3">
      <c r="A2277" s="28">
        <v>42657</v>
      </c>
      <c r="B2277" s="29">
        <v>63.346499999999999</v>
      </c>
      <c r="C2277" s="28">
        <f t="shared" si="44"/>
        <v>42644</v>
      </c>
    </row>
    <row r="2278" spans="1:3">
      <c r="A2278" s="28">
        <v>42656</v>
      </c>
      <c r="B2278" s="29">
        <v>62.589199999999998</v>
      </c>
      <c r="C2278" s="28">
        <f t="shared" si="44"/>
        <v>42644</v>
      </c>
    </row>
    <row r="2279" spans="1:3">
      <c r="A2279" s="28">
        <v>42655</v>
      </c>
      <c r="B2279" s="29">
        <v>62.194600000000001</v>
      </c>
      <c r="C2279" s="28">
        <f t="shared" si="44"/>
        <v>42644</v>
      </c>
    </row>
    <row r="2280" spans="1:3">
      <c r="A2280" s="28">
        <v>42654</v>
      </c>
      <c r="B2280" s="29">
        <v>62.388399999999997</v>
      </c>
      <c r="C2280" s="28">
        <f t="shared" si="44"/>
        <v>42644</v>
      </c>
    </row>
    <row r="2281" spans="1:3">
      <c r="A2281" s="28">
        <v>42651</v>
      </c>
      <c r="B2281" s="29">
        <v>62.303100000000001</v>
      </c>
      <c r="C2281" s="28">
        <f t="shared" si="44"/>
        <v>42644</v>
      </c>
    </row>
    <row r="2282" spans="1:3">
      <c r="A2282" s="28">
        <v>42650</v>
      </c>
      <c r="B2282" s="29">
        <v>62.39</v>
      </c>
      <c r="C2282" s="28">
        <f t="shared" si="44"/>
        <v>42644</v>
      </c>
    </row>
    <row r="2283" spans="1:3">
      <c r="A2283" s="28">
        <v>42649</v>
      </c>
      <c r="B2283" s="29">
        <v>62.458300000000001</v>
      </c>
      <c r="C2283" s="28">
        <f t="shared" si="44"/>
        <v>42644</v>
      </c>
    </row>
    <row r="2284" spans="1:3">
      <c r="A2284" s="28">
        <v>42648</v>
      </c>
      <c r="B2284" s="29">
        <v>62.432299999999998</v>
      </c>
      <c r="C2284" s="28">
        <f t="shared" si="44"/>
        <v>42644</v>
      </c>
    </row>
    <row r="2285" spans="1:3">
      <c r="A2285" s="28">
        <v>42647</v>
      </c>
      <c r="B2285" s="29">
        <v>62.547699999999999</v>
      </c>
      <c r="C2285" s="28">
        <f t="shared" si="44"/>
        <v>42644</v>
      </c>
    </row>
    <row r="2286" spans="1:3">
      <c r="A2286" s="28">
        <v>42644</v>
      </c>
      <c r="B2286" s="29">
        <v>63.396000000000001</v>
      </c>
      <c r="C2286" s="28">
        <f t="shared" si="44"/>
        <v>42644</v>
      </c>
    </row>
    <row r="2287" spans="1:3">
      <c r="A2287" s="28">
        <v>42643</v>
      </c>
      <c r="B2287" s="29">
        <v>63.158099999999997</v>
      </c>
      <c r="C2287" s="28">
        <f t="shared" si="44"/>
        <v>42614</v>
      </c>
    </row>
    <row r="2288" spans="1:3">
      <c r="A2288" s="28">
        <v>42642</v>
      </c>
      <c r="B2288" s="29">
        <v>63.950899999999997</v>
      </c>
      <c r="C2288" s="28">
        <f t="shared" si="44"/>
        <v>42614</v>
      </c>
    </row>
    <row r="2289" spans="1:3">
      <c r="A2289" s="28">
        <v>42641</v>
      </c>
      <c r="B2289" s="29">
        <v>63.692100000000003</v>
      </c>
      <c r="C2289" s="28">
        <f t="shared" si="44"/>
        <v>42614</v>
      </c>
    </row>
    <row r="2290" spans="1:3">
      <c r="A2290" s="28">
        <v>42640</v>
      </c>
      <c r="B2290" s="29">
        <v>64.150599999999997</v>
      </c>
      <c r="C2290" s="28">
        <f t="shared" si="44"/>
        <v>42614</v>
      </c>
    </row>
    <row r="2291" spans="1:3">
      <c r="A2291" s="28">
        <v>42637</v>
      </c>
      <c r="B2291" s="29">
        <v>63.864199999999997</v>
      </c>
      <c r="C2291" s="28">
        <f t="shared" si="44"/>
        <v>42614</v>
      </c>
    </row>
    <row r="2292" spans="1:3">
      <c r="A2292" s="28">
        <v>42636</v>
      </c>
      <c r="B2292" s="29">
        <v>63.794199999999996</v>
      </c>
      <c r="C2292" s="28">
        <f t="shared" si="44"/>
        <v>42614</v>
      </c>
    </row>
    <row r="2293" spans="1:3">
      <c r="A2293" s="28">
        <v>42635</v>
      </c>
      <c r="B2293" s="29">
        <v>64.442400000000006</v>
      </c>
      <c r="C2293" s="28">
        <f t="shared" si="44"/>
        <v>42614</v>
      </c>
    </row>
    <row r="2294" spans="1:3">
      <c r="A2294" s="28">
        <v>42634</v>
      </c>
      <c r="B2294" s="29">
        <v>64.751300000000001</v>
      </c>
      <c r="C2294" s="28">
        <f t="shared" si="44"/>
        <v>42614</v>
      </c>
    </row>
    <row r="2295" spans="1:3">
      <c r="A2295" s="28">
        <v>42633</v>
      </c>
      <c r="B2295" s="29">
        <v>64.917299999999997</v>
      </c>
      <c r="C2295" s="28">
        <f t="shared" si="44"/>
        <v>42614</v>
      </c>
    </row>
    <row r="2296" spans="1:3">
      <c r="A2296" s="28">
        <v>42630</v>
      </c>
      <c r="B2296" s="29">
        <v>64.994</v>
      </c>
      <c r="C2296" s="28">
        <f t="shared" si="44"/>
        <v>42614</v>
      </c>
    </row>
    <row r="2297" spans="1:3">
      <c r="A2297" s="28">
        <v>42629</v>
      </c>
      <c r="B2297" s="29">
        <v>65.216999999999999</v>
      </c>
      <c r="C2297" s="28">
        <f t="shared" si="44"/>
        <v>42614</v>
      </c>
    </row>
    <row r="2298" spans="1:3">
      <c r="A2298" s="28">
        <v>42628</v>
      </c>
      <c r="B2298" s="29">
        <v>64.973699999999994</v>
      </c>
      <c r="C2298" s="28">
        <f t="shared" si="44"/>
        <v>42614</v>
      </c>
    </row>
    <row r="2299" spans="1:3">
      <c r="A2299" s="28">
        <v>42627</v>
      </c>
      <c r="B2299" s="29">
        <v>64.810199999999995</v>
      </c>
      <c r="C2299" s="28">
        <f t="shared" si="44"/>
        <v>42614</v>
      </c>
    </row>
    <row r="2300" spans="1:3">
      <c r="A2300" s="28">
        <v>42626</v>
      </c>
      <c r="B2300" s="29">
        <v>65.053899999999999</v>
      </c>
      <c r="C2300" s="28">
        <f t="shared" si="44"/>
        <v>42614</v>
      </c>
    </row>
    <row r="2301" spans="1:3">
      <c r="A2301" s="28">
        <v>42623</v>
      </c>
      <c r="B2301" s="29">
        <v>64.161699999999996</v>
      </c>
      <c r="C2301" s="28">
        <f t="shared" si="44"/>
        <v>42614</v>
      </c>
    </row>
    <row r="2302" spans="1:3">
      <c r="A2302" s="28">
        <v>42622</v>
      </c>
      <c r="B2302" s="29">
        <v>63.972999999999999</v>
      </c>
      <c r="C2302" s="28">
        <f t="shared" si="44"/>
        <v>42614</v>
      </c>
    </row>
    <row r="2303" spans="1:3">
      <c r="A2303" s="28">
        <v>42621</v>
      </c>
      <c r="B2303" s="29">
        <v>64.380399999999995</v>
      </c>
      <c r="C2303" s="28">
        <f t="shared" si="44"/>
        <v>42614</v>
      </c>
    </row>
    <row r="2304" spans="1:3">
      <c r="A2304" s="28">
        <v>42620</v>
      </c>
      <c r="B2304" s="29">
        <v>64.830600000000004</v>
      </c>
      <c r="C2304" s="28">
        <f t="shared" si="44"/>
        <v>42614</v>
      </c>
    </row>
    <row r="2305" spans="1:3">
      <c r="A2305" s="28">
        <v>42619</v>
      </c>
      <c r="B2305" s="29">
        <v>64.764399999999995</v>
      </c>
      <c r="C2305" s="28">
        <f t="shared" si="44"/>
        <v>42614</v>
      </c>
    </row>
    <row r="2306" spans="1:3">
      <c r="A2306" s="28">
        <v>42616</v>
      </c>
      <c r="B2306" s="29">
        <v>65.868399999999994</v>
      </c>
      <c r="C2306" s="28">
        <f t="shared" si="44"/>
        <v>42614</v>
      </c>
    </row>
    <row r="2307" spans="1:3">
      <c r="A2307" s="28">
        <v>42615</v>
      </c>
      <c r="B2307" s="29">
        <v>65.256600000000006</v>
      </c>
      <c r="C2307" s="28">
        <f t="shared" ref="C2307:C2370" si="45">DATE(YEAR(A2307),MONTH(A2307),1)</f>
        <v>42614</v>
      </c>
    </row>
    <row r="2308" spans="1:3">
      <c r="A2308" s="28">
        <v>42614</v>
      </c>
      <c r="B2308" s="29">
        <v>65.253500000000003</v>
      </c>
      <c r="C2308" s="28">
        <f t="shared" si="45"/>
        <v>42614</v>
      </c>
    </row>
    <row r="2309" spans="1:3">
      <c r="A2309" s="28">
        <v>42613</v>
      </c>
      <c r="B2309" s="29">
        <v>64.907200000000003</v>
      </c>
      <c r="C2309" s="28">
        <f t="shared" si="45"/>
        <v>42583</v>
      </c>
    </row>
    <row r="2310" spans="1:3">
      <c r="A2310" s="28">
        <v>42612</v>
      </c>
      <c r="B2310" s="29">
        <v>65.081000000000003</v>
      </c>
      <c r="C2310" s="28">
        <f t="shared" si="45"/>
        <v>42583</v>
      </c>
    </row>
    <row r="2311" spans="1:3">
      <c r="A2311" s="28">
        <v>42609</v>
      </c>
      <c r="B2311" s="29">
        <v>64.738</v>
      </c>
      <c r="C2311" s="28">
        <f t="shared" si="45"/>
        <v>42583</v>
      </c>
    </row>
    <row r="2312" spans="1:3">
      <c r="A2312" s="28">
        <v>42608</v>
      </c>
      <c r="B2312" s="29">
        <v>64.945899999999995</v>
      </c>
      <c r="C2312" s="28">
        <f t="shared" si="45"/>
        <v>42583</v>
      </c>
    </row>
    <row r="2313" spans="1:3">
      <c r="A2313" s="28">
        <v>42607</v>
      </c>
      <c r="B2313" s="29">
        <v>64.813999999999993</v>
      </c>
      <c r="C2313" s="28">
        <f t="shared" si="45"/>
        <v>42583</v>
      </c>
    </row>
    <row r="2314" spans="1:3">
      <c r="A2314" s="28">
        <v>42606</v>
      </c>
      <c r="B2314" s="29">
        <v>64.7684</v>
      </c>
      <c r="C2314" s="28">
        <f t="shared" si="45"/>
        <v>42583</v>
      </c>
    </row>
    <row r="2315" spans="1:3">
      <c r="A2315" s="28">
        <v>42605</v>
      </c>
      <c r="B2315" s="29">
        <v>64.207800000000006</v>
      </c>
      <c r="C2315" s="28">
        <f t="shared" si="45"/>
        <v>42583</v>
      </c>
    </row>
    <row r="2316" spans="1:3">
      <c r="A2316" s="28">
        <v>42602</v>
      </c>
      <c r="B2316" s="29">
        <v>63.939100000000003</v>
      </c>
      <c r="C2316" s="28">
        <f t="shared" si="45"/>
        <v>42583</v>
      </c>
    </row>
    <row r="2317" spans="1:3">
      <c r="A2317" s="28">
        <v>42601</v>
      </c>
      <c r="B2317" s="29">
        <v>63.548699999999997</v>
      </c>
      <c r="C2317" s="28">
        <f t="shared" si="45"/>
        <v>42583</v>
      </c>
    </row>
    <row r="2318" spans="1:3">
      <c r="A2318" s="28">
        <v>42600</v>
      </c>
      <c r="B2318" s="29">
        <v>63.994300000000003</v>
      </c>
      <c r="C2318" s="28">
        <f t="shared" si="45"/>
        <v>42583</v>
      </c>
    </row>
    <row r="2319" spans="1:3">
      <c r="A2319" s="28">
        <v>42599</v>
      </c>
      <c r="B2319" s="29">
        <v>63.9514</v>
      </c>
      <c r="C2319" s="28">
        <f t="shared" si="45"/>
        <v>42583</v>
      </c>
    </row>
    <row r="2320" spans="1:3">
      <c r="A2320" s="28">
        <v>42598</v>
      </c>
      <c r="B2320" s="29">
        <v>64.207599999999999</v>
      </c>
      <c r="C2320" s="28">
        <f t="shared" si="45"/>
        <v>42583</v>
      </c>
    </row>
    <row r="2321" spans="1:3">
      <c r="A2321" s="28">
        <v>42595</v>
      </c>
      <c r="B2321" s="29">
        <v>64.336399999999998</v>
      </c>
      <c r="C2321" s="28">
        <f t="shared" si="45"/>
        <v>42583</v>
      </c>
    </row>
    <row r="2322" spans="1:3">
      <c r="A2322" s="28">
        <v>42594</v>
      </c>
      <c r="B2322" s="29">
        <v>64.949700000000007</v>
      </c>
      <c r="C2322" s="28">
        <f t="shared" si="45"/>
        <v>42583</v>
      </c>
    </row>
    <row r="2323" spans="1:3">
      <c r="A2323" s="28">
        <v>42593</v>
      </c>
      <c r="B2323" s="29">
        <v>64.813699999999997</v>
      </c>
      <c r="C2323" s="28">
        <f t="shared" si="45"/>
        <v>42583</v>
      </c>
    </row>
    <row r="2324" spans="1:3">
      <c r="A2324" s="28">
        <v>42592</v>
      </c>
      <c r="B2324" s="29">
        <v>64.784800000000004</v>
      </c>
      <c r="C2324" s="28">
        <f t="shared" si="45"/>
        <v>42583</v>
      </c>
    </row>
    <row r="2325" spans="1:3">
      <c r="A2325" s="28">
        <v>42591</v>
      </c>
      <c r="B2325" s="29">
        <v>65.079899999999995</v>
      </c>
      <c r="C2325" s="28">
        <f t="shared" si="45"/>
        <v>42583</v>
      </c>
    </row>
    <row r="2326" spans="1:3">
      <c r="A2326" s="28">
        <v>42588</v>
      </c>
      <c r="B2326" s="29">
        <v>65.562700000000007</v>
      </c>
      <c r="C2326" s="28">
        <f t="shared" si="45"/>
        <v>42583</v>
      </c>
    </row>
    <row r="2327" spans="1:3">
      <c r="A2327" s="28">
        <v>42587</v>
      </c>
      <c r="B2327" s="29">
        <v>66.394099999999995</v>
      </c>
      <c r="C2327" s="28">
        <f t="shared" si="45"/>
        <v>42583</v>
      </c>
    </row>
    <row r="2328" spans="1:3">
      <c r="A2328" s="28">
        <v>42586</v>
      </c>
      <c r="B2328" s="29">
        <v>66.742000000000004</v>
      </c>
      <c r="C2328" s="28">
        <f t="shared" si="45"/>
        <v>42583</v>
      </c>
    </row>
    <row r="2329" spans="1:3">
      <c r="A2329" s="28">
        <v>42585</v>
      </c>
      <c r="B2329" s="29">
        <v>66.881600000000006</v>
      </c>
      <c r="C2329" s="28">
        <f t="shared" si="45"/>
        <v>42583</v>
      </c>
    </row>
    <row r="2330" spans="1:3">
      <c r="A2330" s="28">
        <v>42584</v>
      </c>
      <c r="B2330" s="29">
        <v>65.955299999999994</v>
      </c>
      <c r="C2330" s="28">
        <f t="shared" si="45"/>
        <v>42583</v>
      </c>
    </row>
    <row r="2331" spans="1:3">
      <c r="A2331" s="28">
        <v>42581</v>
      </c>
      <c r="B2331" s="29">
        <v>67.051199999999994</v>
      </c>
      <c r="C2331" s="28">
        <f t="shared" si="45"/>
        <v>42552</v>
      </c>
    </row>
    <row r="2332" spans="1:3">
      <c r="A2332" s="28">
        <v>42580</v>
      </c>
      <c r="B2332" s="29">
        <v>66.112499999999997</v>
      </c>
      <c r="C2332" s="28">
        <f t="shared" si="45"/>
        <v>42552</v>
      </c>
    </row>
    <row r="2333" spans="1:3">
      <c r="A2333" s="28">
        <v>42579</v>
      </c>
      <c r="B2333" s="29">
        <v>65.946700000000007</v>
      </c>
      <c r="C2333" s="28">
        <f t="shared" si="45"/>
        <v>42552</v>
      </c>
    </row>
    <row r="2334" spans="1:3">
      <c r="A2334" s="28">
        <v>42578</v>
      </c>
      <c r="B2334" s="29">
        <v>65.740799999999993</v>
      </c>
      <c r="C2334" s="28">
        <f t="shared" si="45"/>
        <v>42552</v>
      </c>
    </row>
    <row r="2335" spans="1:3">
      <c r="A2335" s="28">
        <v>42577</v>
      </c>
      <c r="B2335" s="29">
        <v>64.918400000000005</v>
      </c>
      <c r="C2335" s="28">
        <f t="shared" si="45"/>
        <v>42552</v>
      </c>
    </row>
    <row r="2336" spans="1:3">
      <c r="A2336" s="28">
        <v>42574</v>
      </c>
      <c r="B2336" s="29">
        <v>64.626999999999995</v>
      </c>
      <c r="C2336" s="28">
        <f t="shared" si="45"/>
        <v>42552</v>
      </c>
    </row>
    <row r="2337" spans="1:3">
      <c r="A2337" s="28">
        <v>42573</v>
      </c>
      <c r="B2337" s="29">
        <v>63.737299999999998</v>
      </c>
      <c r="C2337" s="28">
        <f t="shared" si="45"/>
        <v>42552</v>
      </c>
    </row>
    <row r="2338" spans="1:3">
      <c r="A2338" s="28">
        <v>42572</v>
      </c>
      <c r="B2338" s="29">
        <v>63.418300000000002</v>
      </c>
      <c r="C2338" s="28">
        <f t="shared" si="45"/>
        <v>42552</v>
      </c>
    </row>
    <row r="2339" spans="1:3">
      <c r="A2339" s="28">
        <v>42571</v>
      </c>
      <c r="B2339" s="29">
        <v>62.989100000000001</v>
      </c>
      <c r="C2339" s="28">
        <f t="shared" si="45"/>
        <v>42552</v>
      </c>
    </row>
    <row r="2340" spans="1:3">
      <c r="A2340" s="28">
        <v>42570</v>
      </c>
      <c r="B2340" s="29">
        <v>63.115400000000001</v>
      </c>
      <c r="C2340" s="28">
        <f t="shared" si="45"/>
        <v>42552</v>
      </c>
    </row>
    <row r="2341" spans="1:3">
      <c r="A2341" s="28">
        <v>42567</v>
      </c>
      <c r="B2341" s="29">
        <v>63.169699999999999</v>
      </c>
      <c r="C2341" s="28">
        <f t="shared" si="45"/>
        <v>42552</v>
      </c>
    </row>
    <row r="2342" spans="1:3">
      <c r="A2342" s="28">
        <v>42566</v>
      </c>
      <c r="B2342" s="29">
        <v>63.577300000000001</v>
      </c>
      <c r="C2342" s="28">
        <f t="shared" si="45"/>
        <v>42552</v>
      </c>
    </row>
    <row r="2343" spans="1:3">
      <c r="A2343" s="28">
        <v>42565</v>
      </c>
      <c r="B2343" s="29">
        <v>63.853099999999998</v>
      </c>
      <c r="C2343" s="28">
        <f t="shared" si="45"/>
        <v>42552</v>
      </c>
    </row>
    <row r="2344" spans="1:3">
      <c r="A2344" s="28">
        <v>42564</v>
      </c>
      <c r="B2344" s="29">
        <v>63.902900000000002</v>
      </c>
      <c r="C2344" s="28">
        <f t="shared" si="45"/>
        <v>42552</v>
      </c>
    </row>
    <row r="2345" spans="1:3">
      <c r="A2345" s="28">
        <v>42563</v>
      </c>
      <c r="B2345" s="29">
        <v>64.202399999999997</v>
      </c>
      <c r="C2345" s="28">
        <f t="shared" si="45"/>
        <v>42552</v>
      </c>
    </row>
    <row r="2346" spans="1:3">
      <c r="A2346" s="28">
        <v>42560</v>
      </c>
      <c r="B2346" s="29">
        <v>64.248800000000003</v>
      </c>
      <c r="C2346" s="28">
        <f t="shared" si="45"/>
        <v>42552</v>
      </c>
    </row>
    <row r="2347" spans="1:3">
      <c r="A2347" s="28">
        <v>42559</v>
      </c>
      <c r="B2347" s="29">
        <v>64.05</v>
      </c>
      <c r="C2347" s="28">
        <f t="shared" si="45"/>
        <v>42552</v>
      </c>
    </row>
    <row r="2348" spans="1:3">
      <c r="A2348" s="28">
        <v>42558</v>
      </c>
      <c r="B2348" s="29">
        <v>64.630399999999995</v>
      </c>
      <c r="C2348" s="28">
        <f t="shared" si="45"/>
        <v>42552</v>
      </c>
    </row>
    <row r="2349" spans="1:3">
      <c r="A2349" s="28">
        <v>42557</v>
      </c>
      <c r="B2349" s="29">
        <v>64.267600000000002</v>
      </c>
      <c r="C2349" s="28">
        <f t="shared" si="45"/>
        <v>42552</v>
      </c>
    </row>
    <row r="2350" spans="1:3">
      <c r="A2350" s="28">
        <v>42556</v>
      </c>
      <c r="B2350" s="29">
        <v>63.684399999999997</v>
      </c>
      <c r="C2350" s="28">
        <f t="shared" si="45"/>
        <v>42552</v>
      </c>
    </row>
    <row r="2351" spans="1:3">
      <c r="A2351" s="28">
        <v>42553</v>
      </c>
      <c r="B2351" s="29">
        <v>64.016499999999994</v>
      </c>
      <c r="C2351" s="28">
        <f t="shared" si="45"/>
        <v>42552</v>
      </c>
    </row>
    <row r="2352" spans="1:3">
      <c r="A2352" s="28">
        <v>42552</v>
      </c>
      <c r="B2352" s="29">
        <v>64.1755</v>
      </c>
      <c r="C2352" s="28">
        <f t="shared" si="45"/>
        <v>42552</v>
      </c>
    </row>
    <row r="2353" spans="1:3">
      <c r="A2353" s="28">
        <v>42551</v>
      </c>
      <c r="B2353" s="29">
        <v>64.257499999999993</v>
      </c>
      <c r="C2353" s="28">
        <f t="shared" si="45"/>
        <v>42522</v>
      </c>
    </row>
    <row r="2354" spans="1:3">
      <c r="A2354" s="28">
        <v>42550</v>
      </c>
      <c r="B2354" s="29">
        <v>64.8095</v>
      </c>
      <c r="C2354" s="28">
        <f t="shared" si="45"/>
        <v>42522</v>
      </c>
    </row>
    <row r="2355" spans="1:3">
      <c r="A2355" s="28">
        <v>42549</v>
      </c>
      <c r="B2355" s="29">
        <v>65.058800000000005</v>
      </c>
      <c r="C2355" s="28">
        <f t="shared" si="45"/>
        <v>42522</v>
      </c>
    </row>
    <row r="2356" spans="1:3">
      <c r="A2356" s="28">
        <v>42546</v>
      </c>
      <c r="B2356" s="29">
        <v>65.528700000000001</v>
      </c>
      <c r="C2356" s="28">
        <f t="shared" si="45"/>
        <v>42522</v>
      </c>
    </row>
    <row r="2357" spans="1:3">
      <c r="A2357" s="28">
        <v>42545</v>
      </c>
      <c r="B2357" s="29">
        <v>64.321200000000005</v>
      </c>
      <c r="C2357" s="28">
        <f t="shared" si="45"/>
        <v>42522</v>
      </c>
    </row>
    <row r="2358" spans="1:3">
      <c r="A2358" s="28">
        <v>42544</v>
      </c>
      <c r="B2358" s="29">
        <v>63.716200000000001</v>
      </c>
      <c r="C2358" s="28">
        <f t="shared" si="45"/>
        <v>42522</v>
      </c>
    </row>
    <row r="2359" spans="1:3">
      <c r="A2359" s="28">
        <v>42543</v>
      </c>
      <c r="B2359" s="29">
        <v>64.174300000000002</v>
      </c>
      <c r="C2359" s="28">
        <f t="shared" si="45"/>
        <v>42522</v>
      </c>
    </row>
    <row r="2360" spans="1:3">
      <c r="A2360" s="28">
        <v>42542</v>
      </c>
      <c r="B2360" s="29">
        <v>64.150899999999993</v>
      </c>
      <c r="C2360" s="28">
        <f t="shared" si="45"/>
        <v>42522</v>
      </c>
    </row>
    <row r="2361" spans="1:3">
      <c r="A2361" s="28">
        <v>42539</v>
      </c>
      <c r="B2361" s="29">
        <v>65.439800000000005</v>
      </c>
      <c r="C2361" s="28">
        <f t="shared" si="45"/>
        <v>42522</v>
      </c>
    </row>
    <row r="2362" spans="1:3">
      <c r="A2362" s="28">
        <v>42538</v>
      </c>
      <c r="B2362" s="29">
        <v>65.861800000000002</v>
      </c>
      <c r="C2362" s="28">
        <f t="shared" si="45"/>
        <v>42522</v>
      </c>
    </row>
    <row r="2363" spans="1:3">
      <c r="A2363" s="28">
        <v>42537</v>
      </c>
      <c r="B2363" s="29">
        <v>65.915599999999998</v>
      </c>
      <c r="C2363" s="28">
        <f t="shared" si="45"/>
        <v>42522</v>
      </c>
    </row>
    <row r="2364" spans="1:3">
      <c r="A2364" s="28">
        <v>42536</v>
      </c>
      <c r="B2364" s="29">
        <v>66.030600000000007</v>
      </c>
      <c r="C2364" s="28">
        <f t="shared" si="45"/>
        <v>42522</v>
      </c>
    </row>
    <row r="2365" spans="1:3">
      <c r="A2365" s="28">
        <v>42532</v>
      </c>
      <c r="B2365" s="29">
        <v>64.707700000000003</v>
      </c>
      <c r="C2365" s="28">
        <f t="shared" si="45"/>
        <v>42522</v>
      </c>
    </row>
    <row r="2366" spans="1:3">
      <c r="A2366" s="28">
        <v>42531</v>
      </c>
      <c r="B2366" s="29">
        <v>63.740200000000002</v>
      </c>
      <c r="C2366" s="28">
        <f t="shared" si="45"/>
        <v>42522</v>
      </c>
    </row>
    <row r="2367" spans="1:3">
      <c r="A2367" s="28">
        <v>42530</v>
      </c>
      <c r="B2367" s="29">
        <v>64.679699999999997</v>
      </c>
      <c r="C2367" s="28">
        <f t="shared" si="45"/>
        <v>42522</v>
      </c>
    </row>
    <row r="2368" spans="1:3">
      <c r="A2368" s="28">
        <v>42529</v>
      </c>
      <c r="B2368" s="29">
        <v>65.2089</v>
      </c>
      <c r="C2368" s="28">
        <f t="shared" si="45"/>
        <v>42522</v>
      </c>
    </row>
    <row r="2369" spans="1:3">
      <c r="A2369" s="28">
        <v>42528</v>
      </c>
      <c r="B2369" s="29">
        <v>65.789400000000001</v>
      </c>
      <c r="C2369" s="28">
        <f t="shared" si="45"/>
        <v>42522</v>
      </c>
    </row>
    <row r="2370" spans="1:3">
      <c r="A2370" s="28">
        <v>42525</v>
      </c>
      <c r="B2370" s="29">
        <v>66.852900000000005</v>
      </c>
      <c r="C2370" s="28">
        <f t="shared" si="45"/>
        <v>42522</v>
      </c>
    </row>
    <row r="2371" spans="1:3">
      <c r="A2371" s="28">
        <v>42524</v>
      </c>
      <c r="B2371" s="29">
        <v>66.749099999999999</v>
      </c>
      <c r="C2371" s="28">
        <f t="shared" ref="C2371:C2434" si="46">DATE(YEAR(A2371),MONTH(A2371),1)</f>
        <v>42522</v>
      </c>
    </row>
    <row r="2372" spans="1:3">
      <c r="A2372" s="28">
        <v>42523</v>
      </c>
      <c r="B2372" s="29">
        <v>66.615600000000001</v>
      </c>
      <c r="C2372" s="28">
        <f t="shared" si="46"/>
        <v>42522</v>
      </c>
    </row>
    <row r="2373" spans="1:3">
      <c r="A2373" s="28">
        <v>42522</v>
      </c>
      <c r="B2373" s="29">
        <v>65.996200000000002</v>
      </c>
      <c r="C2373" s="28">
        <f t="shared" si="46"/>
        <v>42522</v>
      </c>
    </row>
    <row r="2374" spans="1:3">
      <c r="A2374" s="28">
        <v>42521</v>
      </c>
      <c r="B2374" s="29">
        <v>66.082499999999996</v>
      </c>
      <c r="C2374" s="28">
        <f t="shared" si="46"/>
        <v>42491</v>
      </c>
    </row>
    <row r="2375" spans="1:3">
      <c r="A2375" s="28">
        <v>42518</v>
      </c>
      <c r="B2375" s="29">
        <v>66.041300000000007</v>
      </c>
      <c r="C2375" s="28">
        <f t="shared" si="46"/>
        <v>42491</v>
      </c>
    </row>
    <row r="2376" spans="1:3">
      <c r="A2376" s="28">
        <v>42517</v>
      </c>
      <c r="B2376" s="29">
        <v>65.206199999999995</v>
      </c>
      <c r="C2376" s="28">
        <f t="shared" si="46"/>
        <v>42491</v>
      </c>
    </row>
    <row r="2377" spans="1:3">
      <c r="A2377" s="28">
        <v>42516</v>
      </c>
      <c r="B2377" s="29">
        <v>65.894900000000007</v>
      </c>
      <c r="C2377" s="28">
        <f t="shared" si="46"/>
        <v>42491</v>
      </c>
    </row>
    <row r="2378" spans="1:3">
      <c r="A2378" s="28">
        <v>42515</v>
      </c>
      <c r="B2378" s="29">
        <v>67.049300000000002</v>
      </c>
      <c r="C2378" s="28">
        <f t="shared" si="46"/>
        <v>42491</v>
      </c>
    </row>
    <row r="2379" spans="1:3">
      <c r="A2379" s="28">
        <v>42514</v>
      </c>
      <c r="B2379" s="29">
        <v>67.047499999999999</v>
      </c>
      <c r="C2379" s="28">
        <f t="shared" si="46"/>
        <v>42491</v>
      </c>
    </row>
    <row r="2380" spans="1:3">
      <c r="A2380" s="28">
        <v>42511</v>
      </c>
      <c r="B2380" s="29">
        <v>66.377499999999998</v>
      </c>
      <c r="C2380" s="28">
        <f t="shared" si="46"/>
        <v>42491</v>
      </c>
    </row>
    <row r="2381" spans="1:3">
      <c r="A2381" s="28">
        <v>42510</v>
      </c>
      <c r="B2381" s="29">
        <v>66.210999999999999</v>
      </c>
      <c r="C2381" s="28">
        <f t="shared" si="46"/>
        <v>42491</v>
      </c>
    </row>
    <row r="2382" spans="1:3">
      <c r="A2382" s="28">
        <v>42509</v>
      </c>
      <c r="B2382" s="29">
        <v>65.064099999999996</v>
      </c>
      <c r="C2382" s="28">
        <f t="shared" si="46"/>
        <v>42491</v>
      </c>
    </row>
    <row r="2383" spans="1:3">
      <c r="A2383" s="28">
        <v>42508</v>
      </c>
      <c r="B2383" s="29">
        <v>64.513800000000003</v>
      </c>
      <c r="C2383" s="28">
        <f t="shared" si="46"/>
        <v>42491</v>
      </c>
    </row>
    <row r="2384" spans="1:3">
      <c r="A2384" s="28">
        <v>42507</v>
      </c>
      <c r="B2384" s="29">
        <v>64.889499999999998</v>
      </c>
      <c r="C2384" s="28">
        <f t="shared" si="46"/>
        <v>42491</v>
      </c>
    </row>
    <row r="2385" spans="1:3">
      <c r="A2385" s="28">
        <v>42504</v>
      </c>
      <c r="B2385" s="29">
        <v>64.930599999999998</v>
      </c>
      <c r="C2385" s="28">
        <f t="shared" si="46"/>
        <v>42491</v>
      </c>
    </row>
    <row r="2386" spans="1:3">
      <c r="A2386" s="28">
        <v>42503</v>
      </c>
      <c r="B2386" s="29">
        <v>64.960700000000003</v>
      </c>
      <c r="C2386" s="28">
        <f t="shared" si="46"/>
        <v>42491</v>
      </c>
    </row>
    <row r="2387" spans="1:3">
      <c r="A2387" s="28">
        <v>42502</v>
      </c>
      <c r="B2387" s="29">
        <v>66.242800000000003</v>
      </c>
      <c r="C2387" s="28">
        <f t="shared" si="46"/>
        <v>42491</v>
      </c>
    </row>
    <row r="2388" spans="1:3">
      <c r="A2388" s="28">
        <v>42501</v>
      </c>
      <c r="B2388" s="29">
        <v>66.327699999999993</v>
      </c>
      <c r="C2388" s="28">
        <f t="shared" si="46"/>
        <v>42491</v>
      </c>
    </row>
    <row r="2389" spans="1:3">
      <c r="A2389" s="28">
        <v>42497</v>
      </c>
      <c r="B2389" s="29">
        <v>66.192800000000005</v>
      </c>
      <c r="C2389" s="28">
        <f t="shared" si="46"/>
        <v>42491</v>
      </c>
    </row>
    <row r="2390" spans="1:3">
      <c r="A2390" s="28">
        <v>42496</v>
      </c>
      <c r="B2390" s="29">
        <v>65.891800000000003</v>
      </c>
      <c r="C2390" s="28">
        <f t="shared" si="46"/>
        <v>42491</v>
      </c>
    </row>
    <row r="2391" spans="1:3">
      <c r="A2391" s="28">
        <v>42495</v>
      </c>
      <c r="B2391" s="29">
        <v>66.171800000000005</v>
      </c>
      <c r="C2391" s="28">
        <f t="shared" si="46"/>
        <v>42491</v>
      </c>
    </row>
    <row r="2392" spans="1:3">
      <c r="A2392" s="28">
        <v>42490</v>
      </c>
      <c r="B2392" s="29">
        <v>64.333399999999997</v>
      </c>
      <c r="C2392" s="28">
        <f t="shared" si="46"/>
        <v>42461</v>
      </c>
    </row>
    <row r="2393" spans="1:3">
      <c r="A2393" s="28">
        <v>42489</v>
      </c>
      <c r="B2393" s="29">
        <v>65.113299999999995</v>
      </c>
      <c r="C2393" s="28">
        <f t="shared" si="46"/>
        <v>42461</v>
      </c>
    </row>
    <row r="2394" spans="1:3">
      <c r="A2394" s="28">
        <v>42488</v>
      </c>
      <c r="B2394" s="29">
        <v>65.161799999999999</v>
      </c>
      <c r="C2394" s="28">
        <f t="shared" si="46"/>
        <v>42461</v>
      </c>
    </row>
    <row r="2395" spans="1:3">
      <c r="A2395" s="28">
        <v>42487</v>
      </c>
      <c r="B2395" s="29">
        <v>66.4559</v>
      </c>
      <c r="C2395" s="28">
        <f t="shared" si="46"/>
        <v>42461</v>
      </c>
    </row>
    <row r="2396" spans="1:3">
      <c r="A2396" s="28">
        <v>42486</v>
      </c>
      <c r="B2396" s="29">
        <v>66.629499999999993</v>
      </c>
      <c r="C2396" s="28">
        <f t="shared" si="46"/>
        <v>42461</v>
      </c>
    </row>
    <row r="2397" spans="1:3">
      <c r="A2397" s="28">
        <v>42483</v>
      </c>
      <c r="B2397" s="29">
        <v>66.219800000000006</v>
      </c>
      <c r="C2397" s="28">
        <f t="shared" si="46"/>
        <v>42461</v>
      </c>
    </row>
    <row r="2398" spans="1:3">
      <c r="A2398" s="28">
        <v>42482</v>
      </c>
      <c r="B2398" s="29">
        <v>65.025400000000005</v>
      </c>
      <c r="C2398" s="28">
        <f t="shared" si="46"/>
        <v>42461</v>
      </c>
    </row>
    <row r="2399" spans="1:3">
      <c r="A2399" s="28">
        <v>42481</v>
      </c>
      <c r="B2399" s="29">
        <v>66.0364</v>
      </c>
      <c r="C2399" s="28">
        <f t="shared" si="46"/>
        <v>42461</v>
      </c>
    </row>
    <row r="2400" spans="1:3">
      <c r="A2400" s="28">
        <v>42480</v>
      </c>
      <c r="B2400" s="29">
        <v>65.647400000000005</v>
      </c>
      <c r="C2400" s="28">
        <f t="shared" si="46"/>
        <v>42461</v>
      </c>
    </row>
    <row r="2401" spans="1:3">
      <c r="A2401" s="28">
        <v>42479</v>
      </c>
      <c r="B2401" s="29">
        <v>68.272400000000005</v>
      </c>
      <c r="C2401" s="28">
        <f t="shared" si="46"/>
        <v>42461</v>
      </c>
    </row>
    <row r="2402" spans="1:3">
      <c r="A2402" s="28">
        <v>42476</v>
      </c>
      <c r="B2402" s="29">
        <v>66.045199999999994</v>
      </c>
      <c r="C2402" s="28">
        <f t="shared" si="46"/>
        <v>42461</v>
      </c>
    </row>
    <row r="2403" spans="1:3">
      <c r="A2403" s="28">
        <v>42475</v>
      </c>
      <c r="B2403" s="29">
        <v>66.495400000000004</v>
      </c>
      <c r="C2403" s="28">
        <f t="shared" si="46"/>
        <v>42461</v>
      </c>
    </row>
    <row r="2404" spans="1:3">
      <c r="A2404" s="28">
        <v>42474</v>
      </c>
      <c r="B2404" s="29">
        <v>65.766199999999998</v>
      </c>
      <c r="C2404" s="28">
        <f t="shared" si="46"/>
        <v>42461</v>
      </c>
    </row>
    <row r="2405" spans="1:3">
      <c r="A2405" s="28">
        <v>42473</v>
      </c>
      <c r="B2405" s="29">
        <v>66.345600000000005</v>
      </c>
      <c r="C2405" s="28">
        <f t="shared" si="46"/>
        <v>42461</v>
      </c>
    </row>
    <row r="2406" spans="1:3">
      <c r="A2406" s="28">
        <v>42472</v>
      </c>
      <c r="B2406" s="29">
        <v>67.125</v>
      </c>
      <c r="C2406" s="28">
        <f t="shared" si="46"/>
        <v>42461</v>
      </c>
    </row>
    <row r="2407" spans="1:3">
      <c r="A2407" s="28">
        <v>42469</v>
      </c>
      <c r="B2407" s="29">
        <v>67.466200000000001</v>
      </c>
      <c r="C2407" s="28">
        <f t="shared" si="46"/>
        <v>42461</v>
      </c>
    </row>
    <row r="2408" spans="1:3">
      <c r="A2408" s="28">
        <v>42468</v>
      </c>
      <c r="B2408" s="29">
        <v>67.796000000000006</v>
      </c>
      <c r="C2408" s="28">
        <f t="shared" si="46"/>
        <v>42461</v>
      </c>
    </row>
    <row r="2409" spans="1:3">
      <c r="A2409" s="28">
        <v>42467</v>
      </c>
      <c r="B2409" s="29">
        <v>68.521500000000003</v>
      </c>
      <c r="C2409" s="28">
        <f t="shared" si="46"/>
        <v>42461</v>
      </c>
    </row>
    <row r="2410" spans="1:3">
      <c r="A2410" s="28">
        <v>42466</v>
      </c>
      <c r="B2410" s="29">
        <v>68.890100000000004</v>
      </c>
      <c r="C2410" s="28">
        <f t="shared" si="46"/>
        <v>42461</v>
      </c>
    </row>
    <row r="2411" spans="1:3">
      <c r="A2411" s="28">
        <v>42465</v>
      </c>
      <c r="B2411" s="29">
        <v>68.675299999999993</v>
      </c>
      <c r="C2411" s="28">
        <f t="shared" si="46"/>
        <v>42461</v>
      </c>
    </row>
    <row r="2412" spans="1:3">
      <c r="A2412" s="28">
        <v>42462</v>
      </c>
      <c r="B2412" s="29">
        <v>67.141000000000005</v>
      </c>
      <c r="C2412" s="28">
        <f t="shared" si="46"/>
        <v>42461</v>
      </c>
    </row>
    <row r="2413" spans="1:3">
      <c r="A2413" s="28">
        <v>42461</v>
      </c>
      <c r="B2413" s="29">
        <v>67.855199999999996</v>
      </c>
      <c r="C2413" s="28">
        <f t="shared" si="46"/>
        <v>42461</v>
      </c>
    </row>
    <row r="2414" spans="1:3">
      <c r="A2414" s="28">
        <v>42460</v>
      </c>
      <c r="B2414" s="29">
        <v>67.607600000000005</v>
      </c>
      <c r="C2414" s="28">
        <f t="shared" si="46"/>
        <v>42430</v>
      </c>
    </row>
    <row r="2415" spans="1:3">
      <c r="A2415" s="28">
        <v>42459</v>
      </c>
      <c r="B2415" s="29">
        <v>68.754900000000006</v>
      </c>
      <c r="C2415" s="28">
        <f t="shared" si="46"/>
        <v>42430</v>
      </c>
    </row>
    <row r="2416" spans="1:3">
      <c r="A2416" s="28">
        <v>42458</v>
      </c>
      <c r="B2416" s="29">
        <v>67.780699999999996</v>
      </c>
      <c r="C2416" s="28">
        <f t="shared" si="46"/>
        <v>42430</v>
      </c>
    </row>
    <row r="2417" spans="1:3">
      <c r="A2417" s="28">
        <v>42455</v>
      </c>
      <c r="B2417" s="29">
        <v>68.434600000000003</v>
      </c>
      <c r="C2417" s="28">
        <f t="shared" si="46"/>
        <v>42430</v>
      </c>
    </row>
    <row r="2418" spans="1:3">
      <c r="A2418" s="28">
        <v>42454</v>
      </c>
      <c r="B2418" s="29">
        <v>68.9328</v>
      </c>
      <c r="C2418" s="28">
        <f t="shared" si="46"/>
        <v>42430</v>
      </c>
    </row>
    <row r="2419" spans="1:3">
      <c r="A2419" s="28">
        <v>42453</v>
      </c>
      <c r="B2419" s="29">
        <v>67.640900000000002</v>
      </c>
      <c r="C2419" s="28">
        <f t="shared" si="46"/>
        <v>42430</v>
      </c>
    </row>
    <row r="2420" spans="1:3">
      <c r="A2420" s="28">
        <v>42452</v>
      </c>
      <c r="B2420" s="29">
        <v>67.776399999999995</v>
      </c>
      <c r="C2420" s="28">
        <f t="shared" si="46"/>
        <v>42430</v>
      </c>
    </row>
    <row r="2421" spans="1:3">
      <c r="A2421" s="28">
        <v>42451</v>
      </c>
      <c r="B2421" s="29">
        <v>68.808599999999998</v>
      </c>
      <c r="C2421" s="28">
        <f t="shared" si="46"/>
        <v>42430</v>
      </c>
    </row>
    <row r="2422" spans="1:3">
      <c r="A2422" s="28">
        <v>42448</v>
      </c>
      <c r="B2422" s="29">
        <v>68.402600000000007</v>
      </c>
      <c r="C2422" s="28">
        <f t="shared" si="46"/>
        <v>42430</v>
      </c>
    </row>
    <row r="2423" spans="1:3">
      <c r="A2423" s="28">
        <v>42447</v>
      </c>
      <c r="B2423" s="29">
        <v>68.559799999999996</v>
      </c>
      <c r="C2423" s="28">
        <f t="shared" si="46"/>
        <v>42430</v>
      </c>
    </row>
    <row r="2424" spans="1:3">
      <c r="A2424" s="28">
        <v>42446</v>
      </c>
      <c r="B2424" s="29">
        <v>71.025599999999997</v>
      </c>
      <c r="C2424" s="28">
        <f t="shared" si="46"/>
        <v>42430</v>
      </c>
    </row>
    <row r="2425" spans="1:3">
      <c r="A2425" s="28">
        <v>42445</v>
      </c>
      <c r="B2425" s="29">
        <v>70.540800000000004</v>
      </c>
      <c r="C2425" s="28">
        <f t="shared" si="46"/>
        <v>42430</v>
      </c>
    </row>
    <row r="2426" spans="1:3">
      <c r="A2426" s="28">
        <v>42444</v>
      </c>
      <c r="B2426" s="29">
        <v>70.154200000000003</v>
      </c>
      <c r="C2426" s="28">
        <f t="shared" si="46"/>
        <v>42430</v>
      </c>
    </row>
    <row r="2427" spans="1:3">
      <c r="A2427" s="28">
        <v>42441</v>
      </c>
      <c r="B2427" s="29">
        <v>70.306700000000006</v>
      </c>
      <c r="C2427" s="28">
        <f t="shared" si="46"/>
        <v>42430</v>
      </c>
    </row>
    <row r="2428" spans="1:3">
      <c r="A2428" s="28">
        <v>42440</v>
      </c>
      <c r="B2428" s="29">
        <v>71.092799999999997</v>
      </c>
      <c r="C2428" s="28">
        <f t="shared" si="46"/>
        <v>42430</v>
      </c>
    </row>
    <row r="2429" spans="1:3">
      <c r="A2429" s="28">
        <v>42439</v>
      </c>
      <c r="B2429" s="29">
        <v>72.377499999999998</v>
      </c>
      <c r="C2429" s="28">
        <f t="shared" si="46"/>
        <v>42430</v>
      </c>
    </row>
    <row r="2430" spans="1:3">
      <c r="A2430" s="28">
        <v>42434</v>
      </c>
      <c r="B2430" s="29">
        <v>73.185400000000001</v>
      </c>
      <c r="C2430" s="28">
        <f t="shared" si="46"/>
        <v>42430</v>
      </c>
    </row>
    <row r="2431" spans="1:3">
      <c r="A2431" s="28">
        <v>42433</v>
      </c>
      <c r="B2431" s="29">
        <v>73.824200000000005</v>
      </c>
      <c r="C2431" s="28">
        <f t="shared" si="46"/>
        <v>42430</v>
      </c>
    </row>
    <row r="2432" spans="1:3">
      <c r="A2432" s="28">
        <v>42432</v>
      </c>
      <c r="B2432" s="29">
        <v>73.625600000000006</v>
      </c>
      <c r="C2432" s="28">
        <f t="shared" si="46"/>
        <v>42430</v>
      </c>
    </row>
    <row r="2433" spans="1:3">
      <c r="A2433" s="28">
        <v>42431</v>
      </c>
      <c r="B2433" s="29">
        <v>74.053600000000003</v>
      </c>
      <c r="C2433" s="28">
        <f t="shared" si="46"/>
        <v>42430</v>
      </c>
    </row>
    <row r="2434" spans="1:3">
      <c r="A2434" s="28">
        <v>42430</v>
      </c>
      <c r="B2434" s="29">
        <v>75.8994</v>
      </c>
      <c r="C2434" s="28">
        <f t="shared" si="46"/>
        <v>42430</v>
      </c>
    </row>
    <row r="2435" spans="1:3">
      <c r="A2435" s="28">
        <v>42427</v>
      </c>
      <c r="B2435" s="29">
        <v>75.090299999999999</v>
      </c>
      <c r="C2435" s="28">
        <f t="shared" ref="C2435:C2498" si="47">DATE(YEAR(A2435),MONTH(A2435),1)</f>
        <v>42401</v>
      </c>
    </row>
    <row r="2436" spans="1:3">
      <c r="A2436" s="28">
        <v>42426</v>
      </c>
      <c r="B2436" s="29">
        <v>76.392899999999997</v>
      </c>
      <c r="C2436" s="28">
        <f t="shared" si="47"/>
        <v>42401</v>
      </c>
    </row>
    <row r="2437" spans="1:3">
      <c r="A2437" s="28">
        <v>42425</v>
      </c>
      <c r="B2437" s="29">
        <v>76.392799999999994</v>
      </c>
      <c r="C2437" s="28">
        <f t="shared" si="47"/>
        <v>42401</v>
      </c>
    </row>
    <row r="2438" spans="1:3">
      <c r="A2438" s="28">
        <v>42421</v>
      </c>
      <c r="B2438" s="29">
        <v>77.132599999999996</v>
      </c>
      <c r="C2438" s="28">
        <f t="shared" si="47"/>
        <v>42401</v>
      </c>
    </row>
    <row r="2439" spans="1:3">
      <c r="A2439" s="28">
        <v>42420</v>
      </c>
      <c r="B2439" s="29">
        <v>76.365700000000004</v>
      </c>
      <c r="C2439" s="28">
        <f t="shared" si="47"/>
        <v>42401</v>
      </c>
    </row>
    <row r="2440" spans="1:3">
      <c r="A2440" s="28">
        <v>42419</v>
      </c>
      <c r="B2440" s="29">
        <v>75.457499999999996</v>
      </c>
      <c r="C2440" s="28">
        <f t="shared" si="47"/>
        <v>42401</v>
      </c>
    </row>
    <row r="2441" spans="1:3">
      <c r="A2441" s="28">
        <v>42418</v>
      </c>
      <c r="B2441" s="29">
        <v>77.850300000000004</v>
      </c>
      <c r="C2441" s="28">
        <f t="shared" si="47"/>
        <v>42401</v>
      </c>
    </row>
    <row r="2442" spans="1:3">
      <c r="A2442" s="28">
        <v>42417</v>
      </c>
      <c r="B2442" s="29">
        <v>76.245000000000005</v>
      </c>
      <c r="C2442" s="28">
        <f t="shared" si="47"/>
        <v>42401</v>
      </c>
    </row>
    <row r="2443" spans="1:3">
      <c r="A2443" s="28">
        <v>42416</v>
      </c>
      <c r="B2443" s="29">
        <v>77.779200000000003</v>
      </c>
      <c r="C2443" s="28">
        <f t="shared" si="47"/>
        <v>42401</v>
      </c>
    </row>
    <row r="2444" spans="1:3">
      <c r="A2444" s="28">
        <v>42413</v>
      </c>
      <c r="B2444" s="29">
        <v>79.495099999999994</v>
      </c>
      <c r="C2444" s="28">
        <f t="shared" si="47"/>
        <v>42401</v>
      </c>
    </row>
    <row r="2445" spans="1:3">
      <c r="A2445" s="28">
        <v>42412</v>
      </c>
      <c r="B2445" s="29">
        <v>79.114400000000003</v>
      </c>
      <c r="C2445" s="28">
        <f t="shared" si="47"/>
        <v>42401</v>
      </c>
    </row>
    <row r="2446" spans="1:3">
      <c r="A2446" s="28">
        <v>42411</v>
      </c>
      <c r="B2446" s="29">
        <v>79.068899999999999</v>
      </c>
      <c r="C2446" s="28">
        <f t="shared" si="47"/>
        <v>42401</v>
      </c>
    </row>
    <row r="2447" spans="1:3">
      <c r="A2447" s="28">
        <v>42410</v>
      </c>
      <c r="B2447" s="29">
        <v>78.680499999999995</v>
      </c>
      <c r="C2447" s="28">
        <f t="shared" si="47"/>
        <v>42401</v>
      </c>
    </row>
    <row r="2448" spans="1:3">
      <c r="A2448" s="28">
        <v>42409</v>
      </c>
      <c r="B2448" s="29">
        <v>76.861400000000003</v>
      </c>
      <c r="C2448" s="28">
        <f t="shared" si="47"/>
        <v>42401</v>
      </c>
    </row>
    <row r="2449" spans="1:3">
      <c r="A2449" s="28">
        <v>42406</v>
      </c>
      <c r="B2449" s="29">
        <v>77.340900000000005</v>
      </c>
      <c r="C2449" s="28">
        <f t="shared" si="47"/>
        <v>42401</v>
      </c>
    </row>
    <row r="2450" spans="1:3">
      <c r="A2450" s="28">
        <v>42405</v>
      </c>
      <c r="B2450" s="29">
        <v>76.460899999999995</v>
      </c>
      <c r="C2450" s="28">
        <f t="shared" si="47"/>
        <v>42401</v>
      </c>
    </row>
    <row r="2451" spans="1:3">
      <c r="A2451" s="28">
        <v>42404</v>
      </c>
      <c r="B2451" s="29">
        <v>79.259299999999996</v>
      </c>
      <c r="C2451" s="28">
        <f t="shared" si="47"/>
        <v>42401</v>
      </c>
    </row>
    <row r="2452" spans="1:3">
      <c r="A2452" s="28">
        <v>42403</v>
      </c>
      <c r="B2452" s="29">
        <v>77.927300000000002</v>
      </c>
      <c r="C2452" s="28">
        <f t="shared" si="47"/>
        <v>42401</v>
      </c>
    </row>
    <row r="2453" spans="1:3">
      <c r="A2453" s="28">
        <v>42402</v>
      </c>
      <c r="B2453" s="29">
        <v>76.326400000000007</v>
      </c>
      <c r="C2453" s="28">
        <f t="shared" si="47"/>
        <v>42401</v>
      </c>
    </row>
    <row r="2454" spans="1:3">
      <c r="A2454" s="28">
        <v>42399</v>
      </c>
      <c r="B2454" s="29">
        <v>75.172300000000007</v>
      </c>
      <c r="C2454" s="28">
        <f t="shared" si="47"/>
        <v>42370</v>
      </c>
    </row>
    <row r="2455" spans="1:3">
      <c r="A2455" s="28">
        <v>42398</v>
      </c>
      <c r="B2455" s="29">
        <v>77.367400000000004</v>
      </c>
      <c r="C2455" s="28">
        <f t="shared" si="47"/>
        <v>42370</v>
      </c>
    </row>
    <row r="2456" spans="1:3">
      <c r="A2456" s="28">
        <v>42397</v>
      </c>
      <c r="B2456" s="29">
        <v>78.996899999999997</v>
      </c>
      <c r="C2456" s="28">
        <f t="shared" si="47"/>
        <v>42370</v>
      </c>
    </row>
    <row r="2457" spans="1:3">
      <c r="A2457" s="28">
        <v>42396</v>
      </c>
      <c r="B2457" s="29">
        <v>81.839399999999998</v>
      </c>
      <c r="C2457" s="28">
        <f t="shared" si="47"/>
        <v>42370</v>
      </c>
    </row>
    <row r="2458" spans="1:3">
      <c r="A2458" s="28">
        <v>42395</v>
      </c>
      <c r="B2458" s="29">
        <v>77.796499999999995</v>
      </c>
      <c r="C2458" s="28">
        <f t="shared" si="47"/>
        <v>42370</v>
      </c>
    </row>
    <row r="2459" spans="1:3">
      <c r="A2459" s="28">
        <v>42392</v>
      </c>
      <c r="B2459" s="29">
        <v>80.571399999999997</v>
      </c>
      <c r="C2459" s="28">
        <f t="shared" si="47"/>
        <v>42370</v>
      </c>
    </row>
    <row r="2460" spans="1:3">
      <c r="A2460" s="28">
        <v>42391</v>
      </c>
      <c r="B2460" s="29">
        <v>83.591300000000004</v>
      </c>
      <c r="C2460" s="28">
        <f t="shared" si="47"/>
        <v>42370</v>
      </c>
    </row>
    <row r="2461" spans="1:3">
      <c r="A2461" s="28">
        <v>42390</v>
      </c>
      <c r="B2461" s="29">
        <v>79.461399999999998</v>
      </c>
      <c r="C2461" s="28">
        <f t="shared" si="47"/>
        <v>42370</v>
      </c>
    </row>
    <row r="2462" spans="1:3">
      <c r="A2462" s="28">
        <v>42389</v>
      </c>
      <c r="B2462" s="29">
        <v>78.486199999999997</v>
      </c>
      <c r="C2462" s="28">
        <f t="shared" si="47"/>
        <v>42370</v>
      </c>
    </row>
    <row r="2463" spans="1:3">
      <c r="A2463" s="28">
        <v>42388</v>
      </c>
      <c r="B2463" s="29">
        <v>78.6678</v>
      </c>
      <c r="C2463" s="28">
        <f t="shared" si="47"/>
        <v>42370</v>
      </c>
    </row>
    <row r="2464" spans="1:3">
      <c r="A2464" s="28">
        <v>42385</v>
      </c>
      <c r="B2464" s="29">
        <v>76.564999999999998</v>
      </c>
      <c r="C2464" s="28">
        <f t="shared" si="47"/>
        <v>42370</v>
      </c>
    </row>
    <row r="2465" spans="1:3">
      <c r="A2465" s="28">
        <v>42384</v>
      </c>
      <c r="B2465" s="29">
        <v>76.522999999999996</v>
      </c>
      <c r="C2465" s="28">
        <f t="shared" si="47"/>
        <v>42370</v>
      </c>
    </row>
    <row r="2466" spans="1:3">
      <c r="A2466" s="28">
        <v>42383</v>
      </c>
      <c r="B2466" s="29">
        <v>76.427499999999995</v>
      </c>
      <c r="C2466" s="28">
        <f t="shared" si="47"/>
        <v>42370</v>
      </c>
    </row>
    <row r="2467" spans="1:3">
      <c r="A2467" s="28">
        <v>42382</v>
      </c>
      <c r="B2467" s="29">
        <v>76.604100000000003</v>
      </c>
      <c r="C2467" s="28">
        <f t="shared" si="47"/>
        <v>42370</v>
      </c>
    </row>
    <row r="2468" spans="1:3">
      <c r="A2468" s="28">
        <v>42381</v>
      </c>
      <c r="B2468" s="29">
        <v>75.950699999999998</v>
      </c>
      <c r="C2468" s="28">
        <f t="shared" si="47"/>
        <v>42370</v>
      </c>
    </row>
    <row r="2469" spans="1:3">
      <c r="A2469" s="28">
        <v>42370</v>
      </c>
      <c r="B2469" s="29">
        <v>72.929900000000004</v>
      </c>
      <c r="C2469" s="28">
        <f t="shared" si="47"/>
        <v>42370</v>
      </c>
    </row>
    <row r="2470" spans="1:3">
      <c r="A2470" s="28">
        <v>42369</v>
      </c>
      <c r="B2470" s="29">
        <v>72.8827</v>
      </c>
      <c r="C2470" s="28">
        <f t="shared" si="47"/>
        <v>42339</v>
      </c>
    </row>
    <row r="2471" spans="1:3">
      <c r="A2471" s="28">
        <v>42368</v>
      </c>
      <c r="B2471" s="29">
        <v>72.506600000000006</v>
      </c>
      <c r="C2471" s="28">
        <f t="shared" si="47"/>
        <v>42339</v>
      </c>
    </row>
    <row r="2472" spans="1:3">
      <c r="A2472" s="28">
        <v>42367</v>
      </c>
      <c r="B2472" s="29">
        <v>70.786500000000004</v>
      </c>
      <c r="C2472" s="28">
        <f t="shared" si="47"/>
        <v>42339</v>
      </c>
    </row>
    <row r="2473" spans="1:3">
      <c r="A2473" s="28">
        <v>42364</v>
      </c>
      <c r="B2473" s="29">
        <v>70.269000000000005</v>
      </c>
      <c r="C2473" s="28">
        <f t="shared" si="47"/>
        <v>42339</v>
      </c>
    </row>
    <row r="2474" spans="1:3">
      <c r="A2474" s="28">
        <v>42363</v>
      </c>
      <c r="B2474" s="29">
        <v>69.516499999999994</v>
      </c>
      <c r="C2474" s="28">
        <f t="shared" si="47"/>
        <v>42339</v>
      </c>
    </row>
    <row r="2475" spans="1:3">
      <c r="A2475" s="28">
        <v>42362</v>
      </c>
      <c r="B2475" s="29">
        <v>70.933300000000003</v>
      </c>
      <c r="C2475" s="28">
        <f t="shared" si="47"/>
        <v>42339</v>
      </c>
    </row>
    <row r="2476" spans="1:3">
      <c r="A2476" s="28">
        <v>42361</v>
      </c>
      <c r="B2476" s="29">
        <v>71.121099999999998</v>
      </c>
      <c r="C2476" s="28">
        <f t="shared" si="47"/>
        <v>42339</v>
      </c>
    </row>
    <row r="2477" spans="1:3">
      <c r="A2477" s="28">
        <v>42360</v>
      </c>
      <c r="B2477" s="29">
        <v>71.255300000000005</v>
      </c>
      <c r="C2477" s="28">
        <f t="shared" si="47"/>
        <v>42339</v>
      </c>
    </row>
    <row r="2478" spans="1:3">
      <c r="A2478" s="28">
        <v>42357</v>
      </c>
      <c r="B2478" s="29">
        <v>71.3215</v>
      </c>
      <c r="C2478" s="28">
        <f t="shared" si="47"/>
        <v>42339</v>
      </c>
    </row>
    <row r="2479" spans="1:3">
      <c r="A2479" s="28">
        <v>42356</v>
      </c>
      <c r="B2479" s="29">
        <v>70.580600000000004</v>
      </c>
      <c r="C2479" s="28">
        <f t="shared" si="47"/>
        <v>42339</v>
      </c>
    </row>
    <row r="2480" spans="1:3">
      <c r="A2480" s="28">
        <v>42355</v>
      </c>
      <c r="B2480" s="29">
        <v>70.401200000000003</v>
      </c>
      <c r="C2480" s="28">
        <f t="shared" si="47"/>
        <v>42339</v>
      </c>
    </row>
    <row r="2481" spans="1:3">
      <c r="A2481" s="28">
        <v>42354</v>
      </c>
      <c r="B2481" s="29">
        <v>70.829499999999996</v>
      </c>
      <c r="C2481" s="28">
        <f t="shared" si="47"/>
        <v>42339</v>
      </c>
    </row>
    <row r="2482" spans="1:3">
      <c r="A2482" s="28">
        <v>42353</v>
      </c>
      <c r="B2482" s="29">
        <v>70.224400000000003</v>
      </c>
      <c r="C2482" s="28">
        <f t="shared" si="47"/>
        <v>42339</v>
      </c>
    </row>
    <row r="2483" spans="1:3">
      <c r="A2483" s="28">
        <v>42350</v>
      </c>
      <c r="B2483" s="29">
        <v>69.1755</v>
      </c>
      <c r="C2483" s="28">
        <f t="shared" si="47"/>
        <v>42339</v>
      </c>
    </row>
    <row r="2484" spans="1:3">
      <c r="A2484" s="28">
        <v>42349</v>
      </c>
      <c r="B2484" s="29">
        <v>69.215100000000007</v>
      </c>
      <c r="C2484" s="28">
        <f t="shared" si="47"/>
        <v>42339</v>
      </c>
    </row>
    <row r="2485" spans="1:3">
      <c r="A2485" s="28">
        <v>42348</v>
      </c>
      <c r="B2485" s="29">
        <v>69.2</v>
      </c>
      <c r="C2485" s="28">
        <f t="shared" si="47"/>
        <v>42339</v>
      </c>
    </row>
    <row r="2486" spans="1:3">
      <c r="A2486" s="28">
        <v>42347</v>
      </c>
      <c r="B2486" s="29">
        <v>69.302599999999998</v>
      </c>
      <c r="C2486" s="28">
        <f t="shared" si="47"/>
        <v>42339</v>
      </c>
    </row>
    <row r="2487" spans="1:3">
      <c r="A2487" s="28">
        <v>42346</v>
      </c>
      <c r="B2487" s="29">
        <v>68.515600000000006</v>
      </c>
      <c r="C2487" s="28">
        <f t="shared" si="47"/>
        <v>42339</v>
      </c>
    </row>
    <row r="2488" spans="1:3">
      <c r="A2488" s="28">
        <v>42343</v>
      </c>
      <c r="B2488" s="29">
        <v>67.669799999999995</v>
      </c>
      <c r="C2488" s="28">
        <f t="shared" si="47"/>
        <v>42339</v>
      </c>
    </row>
    <row r="2489" spans="1:3">
      <c r="A2489" s="28">
        <v>42342</v>
      </c>
      <c r="B2489" s="29">
        <v>67.769099999999995</v>
      </c>
      <c r="C2489" s="28">
        <f t="shared" si="47"/>
        <v>42339</v>
      </c>
    </row>
    <row r="2490" spans="1:3">
      <c r="A2490" s="28">
        <v>42341</v>
      </c>
      <c r="B2490" s="29">
        <v>66.740200000000002</v>
      </c>
      <c r="C2490" s="28">
        <f t="shared" si="47"/>
        <v>42339</v>
      </c>
    </row>
    <row r="2491" spans="1:3">
      <c r="A2491" s="28">
        <v>42340</v>
      </c>
      <c r="B2491" s="29">
        <v>66.258399999999995</v>
      </c>
      <c r="C2491" s="28">
        <f t="shared" si="47"/>
        <v>42339</v>
      </c>
    </row>
    <row r="2492" spans="1:3">
      <c r="A2492" s="28">
        <v>42339</v>
      </c>
      <c r="B2492" s="29">
        <v>66.736999999999995</v>
      </c>
      <c r="C2492" s="28">
        <f t="shared" si="47"/>
        <v>42339</v>
      </c>
    </row>
    <row r="2493" spans="1:3">
      <c r="A2493" s="28">
        <v>42336</v>
      </c>
      <c r="B2493" s="29">
        <v>66.2393</v>
      </c>
      <c r="C2493" s="28">
        <f t="shared" si="47"/>
        <v>42309</v>
      </c>
    </row>
    <row r="2494" spans="1:3">
      <c r="A2494" s="28">
        <v>42335</v>
      </c>
      <c r="B2494" s="29">
        <v>65.683599999999998</v>
      </c>
      <c r="C2494" s="28">
        <f t="shared" si="47"/>
        <v>42309</v>
      </c>
    </row>
    <row r="2495" spans="1:3">
      <c r="A2495" s="28">
        <v>42334</v>
      </c>
      <c r="B2495" s="29">
        <v>65.478899999999996</v>
      </c>
      <c r="C2495" s="28">
        <f t="shared" si="47"/>
        <v>42309</v>
      </c>
    </row>
    <row r="2496" spans="1:3">
      <c r="A2496" s="28">
        <v>42333</v>
      </c>
      <c r="B2496" s="29">
        <v>65.620999999999995</v>
      </c>
      <c r="C2496" s="28">
        <f t="shared" si="47"/>
        <v>42309</v>
      </c>
    </row>
    <row r="2497" spans="1:3">
      <c r="A2497" s="28">
        <v>42332</v>
      </c>
      <c r="B2497" s="29">
        <v>65.597300000000004</v>
      </c>
      <c r="C2497" s="28">
        <f t="shared" si="47"/>
        <v>42309</v>
      </c>
    </row>
    <row r="2498" spans="1:3">
      <c r="A2498" s="28">
        <v>42329</v>
      </c>
      <c r="B2498" s="29">
        <v>64.8673</v>
      </c>
      <c r="C2498" s="28">
        <f t="shared" si="47"/>
        <v>42309</v>
      </c>
    </row>
    <row r="2499" spans="1:3">
      <c r="A2499" s="28">
        <v>42328</v>
      </c>
      <c r="B2499" s="29">
        <v>64.912000000000006</v>
      </c>
      <c r="C2499" s="28">
        <f t="shared" ref="C2499:C2562" si="48">DATE(YEAR(A2499),MONTH(A2499),1)</f>
        <v>42309</v>
      </c>
    </row>
    <row r="2500" spans="1:3">
      <c r="A2500" s="28">
        <v>42327</v>
      </c>
      <c r="B2500" s="29">
        <v>64.778499999999994</v>
      </c>
      <c r="C2500" s="28">
        <f t="shared" si="48"/>
        <v>42309</v>
      </c>
    </row>
    <row r="2501" spans="1:3">
      <c r="A2501" s="28">
        <v>42326</v>
      </c>
      <c r="B2501" s="29">
        <v>65.479900000000001</v>
      </c>
      <c r="C2501" s="28">
        <f t="shared" si="48"/>
        <v>42309</v>
      </c>
    </row>
    <row r="2502" spans="1:3">
      <c r="A2502" s="28">
        <v>42325</v>
      </c>
      <c r="B2502" s="29">
        <v>66.460700000000003</v>
      </c>
      <c r="C2502" s="28">
        <f t="shared" si="48"/>
        <v>42309</v>
      </c>
    </row>
    <row r="2503" spans="1:3">
      <c r="A2503" s="28">
        <v>42322</v>
      </c>
      <c r="B2503" s="29">
        <v>66.634299999999996</v>
      </c>
      <c r="C2503" s="28">
        <f t="shared" si="48"/>
        <v>42309</v>
      </c>
    </row>
    <row r="2504" spans="1:3">
      <c r="A2504" s="28">
        <v>42321</v>
      </c>
      <c r="B2504" s="29">
        <v>65.454099999999997</v>
      </c>
      <c r="C2504" s="28">
        <f t="shared" si="48"/>
        <v>42309</v>
      </c>
    </row>
    <row r="2505" spans="1:3">
      <c r="A2505" s="28">
        <v>42320</v>
      </c>
      <c r="B2505" s="29">
        <v>64.569299999999998</v>
      </c>
      <c r="C2505" s="28">
        <f t="shared" si="48"/>
        <v>42309</v>
      </c>
    </row>
    <row r="2506" spans="1:3">
      <c r="A2506" s="28">
        <v>42319</v>
      </c>
      <c r="B2506" s="29">
        <v>64.390799999999999</v>
      </c>
      <c r="C2506" s="28">
        <f t="shared" si="48"/>
        <v>42309</v>
      </c>
    </row>
    <row r="2507" spans="1:3">
      <c r="A2507" s="28">
        <v>42318</v>
      </c>
      <c r="B2507" s="29">
        <v>64.660600000000002</v>
      </c>
      <c r="C2507" s="28">
        <f t="shared" si="48"/>
        <v>42309</v>
      </c>
    </row>
    <row r="2508" spans="1:3">
      <c r="A2508" s="28">
        <v>42315</v>
      </c>
      <c r="B2508" s="29">
        <v>63.683199999999999</v>
      </c>
      <c r="C2508" s="28">
        <f t="shared" si="48"/>
        <v>42309</v>
      </c>
    </row>
    <row r="2509" spans="1:3">
      <c r="A2509" s="28">
        <v>42314</v>
      </c>
      <c r="B2509" s="29">
        <v>63.399099999999997</v>
      </c>
      <c r="C2509" s="28">
        <f t="shared" si="48"/>
        <v>42309</v>
      </c>
    </row>
    <row r="2510" spans="1:3">
      <c r="A2510" s="28">
        <v>42312</v>
      </c>
      <c r="B2510" s="29">
        <v>63.852499999999999</v>
      </c>
      <c r="C2510" s="28">
        <f t="shared" si="48"/>
        <v>42309</v>
      </c>
    </row>
    <row r="2511" spans="1:3">
      <c r="A2511" s="28">
        <v>42311</v>
      </c>
      <c r="B2511" s="29">
        <v>63.799300000000002</v>
      </c>
      <c r="C2511" s="28">
        <f t="shared" si="48"/>
        <v>42309</v>
      </c>
    </row>
    <row r="2512" spans="1:3">
      <c r="A2512" s="28">
        <v>42308</v>
      </c>
      <c r="B2512" s="29">
        <v>64.374200000000002</v>
      </c>
      <c r="C2512" s="28">
        <f t="shared" si="48"/>
        <v>42278</v>
      </c>
    </row>
    <row r="2513" spans="1:3">
      <c r="A2513" s="28">
        <v>42307</v>
      </c>
      <c r="B2513" s="29">
        <v>64.168599999999998</v>
      </c>
      <c r="C2513" s="28">
        <f t="shared" si="48"/>
        <v>42278</v>
      </c>
    </row>
    <row r="2514" spans="1:3">
      <c r="A2514" s="28">
        <v>42306</v>
      </c>
      <c r="B2514" s="29">
        <v>65.315899999999999</v>
      </c>
      <c r="C2514" s="28">
        <f t="shared" si="48"/>
        <v>42278</v>
      </c>
    </row>
    <row r="2515" spans="1:3">
      <c r="A2515" s="28">
        <v>42305</v>
      </c>
      <c r="B2515" s="29">
        <v>63.500399999999999</v>
      </c>
      <c r="C2515" s="28">
        <f t="shared" si="48"/>
        <v>42278</v>
      </c>
    </row>
    <row r="2516" spans="1:3">
      <c r="A2516" s="28">
        <v>42304</v>
      </c>
      <c r="B2516" s="29">
        <v>62.503799999999998</v>
      </c>
      <c r="C2516" s="28">
        <f t="shared" si="48"/>
        <v>42278</v>
      </c>
    </row>
    <row r="2517" spans="1:3">
      <c r="A2517" s="28">
        <v>42301</v>
      </c>
      <c r="B2517" s="29">
        <v>61.928600000000003</v>
      </c>
      <c r="C2517" s="28">
        <f t="shared" si="48"/>
        <v>42278</v>
      </c>
    </row>
    <row r="2518" spans="1:3">
      <c r="A2518" s="28">
        <v>42300</v>
      </c>
      <c r="B2518" s="29">
        <v>62.788800000000002</v>
      </c>
      <c r="C2518" s="28">
        <f t="shared" si="48"/>
        <v>42278</v>
      </c>
    </row>
    <row r="2519" spans="1:3">
      <c r="A2519" s="28">
        <v>42299</v>
      </c>
      <c r="B2519" s="29">
        <v>62.630899999999997</v>
      </c>
      <c r="C2519" s="28">
        <f t="shared" si="48"/>
        <v>42278</v>
      </c>
    </row>
    <row r="2520" spans="1:3">
      <c r="A2520" s="28">
        <v>42298</v>
      </c>
      <c r="B2520" s="29">
        <v>62.161999999999999</v>
      </c>
      <c r="C2520" s="28">
        <f t="shared" si="48"/>
        <v>42278</v>
      </c>
    </row>
    <row r="2521" spans="1:3">
      <c r="A2521" s="28">
        <v>42297</v>
      </c>
      <c r="B2521" s="29">
        <v>61.441899999999997</v>
      </c>
      <c r="C2521" s="28">
        <f t="shared" si="48"/>
        <v>42278</v>
      </c>
    </row>
    <row r="2522" spans="1:3">
      <c r="A2522" s="28">
        <v>42294</v>
      </c>
      <c r="B2522" s="29">
        <v>61.358699999999999</v>
      </c>
      <c r="C2522" s="28">
        <f t="shared" si="48"/>
        <v>42278</v>
      </c>
    </row>
    <row r="2523" spans="1:3">
      <c r="A2523" s="28">
        <v>42293</v>
      </c>
      <c r="B2523" s="29">
        <v>62.243299999999998</v>
      </c>
      <c r="C2523" s="28">
        <f t="shared" si="48"/>
        <v>42278</v>
      </c>
    </row>
    <row r="2524" spans="1:3">
      <c r="A2524" s="28">
        <v>42292</v>
      </c>
      <c r="B2524" s="29">
        <v>63.1248</v>
      </c>
      <c r="C2524" s="28">
        <f t="shared" si="48"/>
        <v>42278</v>
      </c>
    </row>
    <row r="2525" spans="1:3">
      <c r="A2525" s="28">
        <v>42291</v>
      </c>
      <c r="B2525" s="29">
        <v>62.223700000000001</v>
      </c>
      <c r="C2525" s="28">
        <f t="shared" si="48"/>
        <v>42278</v>
      </c>
    </row>
    <row r="2526" spans="1:3">
      <c r="A2526" s="28">
        <v>42290</v>
      </c>
      <c r="B2526" s="29">
        <v>61.153500000000001</v>
      </c>
      <c r="C2526" s="28">
        <f t="shared" si="48"/>
        <v>42278</v>
      </c>
    </row>
    <row r="2527" spans="1:3">
      <c r="A2527" s="28">
        <v>42287</v>
      </c>
      <c r="B2527" s="29">
        <v>61.296700000000001</v>
      </c>
      <c r="C2527" s="28">
        <f t="shared" si="48"/>
        <v>42278</v>
      </c>
    </row>
    <row r="2528" spans="1:3">
      <c r="A2528" s="28">
        <v>42286</v>
      </c>
      <c r="B2528" s="29">
        <v>62.294199999999996</v>
      </c>
      <c r="C2528" s="28">
        <f t="shared" si="48"/>
        <v>42278</v>
      </c>
    </row>
    <row r="2529" spans="1:3">
      <c r="A2529" s="28">
        <v>42285</v>
      </c>
      <c r="B2529" s="29">
        <v>62.706099999999999</v>
      </c>
      <c r="C2529" s="28">
        <f t="shared" si="48"/>
        <v>42278</v>
      </c>
    </row>
    <row r="2530" spans="1:3">
      <c r="A2530" s="28">
        <v>42284</v>
      </c>
      <c r="B2530" s="29">
        <v>65.096199999999996</v>
      </c>
      <c r="C2530" s="28">
        <f t="shared" si="48"/>
        <v>42278</v>
      </c>
    </row>
    <row r="2531" spans="1:3">
      <c r="A2531" s="28">
        <v>42283</v>
      </c>
      <c r="B2531" s="29">
        <v>65.624799999999993</v>
      </c>
      <c r="C2531" s="28">
        <f t="shared" si="48"/>
        <v>42278</v>
      </c>
    </row>
    <row r="2532" spans="1:3">
      <c r="A2532" s="28">
        <v>42280</v>
      </c>
      <c r="B2532" s="29">
        <v>65.941400000000002</v>
      </c>
      <c r="C2532" s="28">
        <f t="shared" si="48"/>
        <v>42278</v>
      </c>
    </row>
    <row r="2533" spans="1:3">
      <c r="A2533" s="28">
        <v>42279</v>
      </c>
      <c r="B2533" s="29">
        <v>65.033600000000007</v>
      </c>
      <c r="C2533" s="28">
        <f t="shared" si="48"/>
        <v>42278</v>
      </c>
    </row>
    <row r="2534" spans="1:3">
      <c r="A2534" s="28">
        <v>42278</v>
      </c>
      <c r="B2534" s="29">
        <v>65.736400000000003</v>
      </c>
      <c r="C2534" s="28">
        <f t="shared" si="48"/>
        <v>42278</v>
      </c>
    </row>
    <row r="2535" spans="1:3">
      <c r="A2535" s="28">
        <v>42277</v>
      </c>
      <c r="B2535" s="29">
        <v>66.236699999999999</v>
      </c>
      <c r="C2535" s="28">
        <f t="shared" si="48"/>
        <v>42248</v>
      </c>
    </row>
    <row r="2536" spans="1:3">
      <c r="A2536" s="28">
        <v>42276</v>
      </c>
      <c r="B2536" s="29">
        <v>65.546999999999997</v>
      </c>
      <c r="C2536" s="28">
        <f t="shared" si="48"/>
        <v>42248</v>
      </c>
    </row>
    <row r="2537" spans="1:3">
      <c r="A2537" s="28">
        <v>42273</v>
      </c>
      <c r="B2537" s="29">
        <v>65.672700000000006</v>
      </c>
      <c r="C2537" s="28">
        <f t="shared" si="48"/>
        <v>42248</v>
      </c>
    </row>
    <row r="2538" spans="1:3">
      <c r="A2538" s="28">
        <v>42272</v>
      </c>
      <c r="B2538" s="29">
        <v>66.515100000000004</v>
      </c>
      <c r="C2538" s="28">
        <f t="shared" si="48"/>
        <v>42248</v>
      </c>
    </row>
    <row r="2539" spans="1:3">
      <c r="A2539" s="28">
        <v>42271</v>
      </c>
      <c r="B2539" s="29">
        <v>66.040999999999997</v>
      </c>
      <c r="C2539" s="28">
        <f t="shared" si="48"/>
        <v>42248</v>
      </c>
    </row>
    <row r="2540" spans="1:3">
      <c r="A2540" s="28">
        <v>42270</v>
      </c>
      <c r="B2540" s="29">
        <v>66.174700000000001</v>
      </c>
      <c r="C2540" s="28">
        <f t="shared" si="48"/>
        <v>42248</v>
      </c>
    </row>
    <row r="2541" spans="1:3">
      <c r="A2541" s="28">
        <v>42269</v>
      </c>
      <c r="B2541" s="29">
        <v>66.145499999999998</v>
      </c>
      <c r="C2541" s="28">
        <f t="shared" si="48"/>
        <v>42248</v>
      </c>
    </row>
    <row r="2542" spans="1:3">
      <c r="A2542" s="28">
        <v>42266</v>
      </c>
      <c r="B2542" s="29">
        <v>65.644499999999994</v>
      </c>
      <c r="C2542" s="28">
        <f t="shared" si="48"/>
        <v>42248</v>
      </c>
    </row>
    <row r="2543" spans="1:3">
      <c r="A2543" s="28">
        <v>42265</v>
      </c>
      <c r="B2543" s="29">
        <v>65.362300000000005</v>
      </c>
      <c r="C2543" s="28">
        <f t="shared" si="48"/>
        <v>42248</v>
      </c>
    </row>
    <row r="2544" spans="1:3">
      <c r="A2544" s="28">
        <v>42264</v>
      </c>
      <c r="B2544" s="29">
        <v>65.927300000000002</v>
      </c>
      <c r="C2544" s="28">
        <f t="shared" si="48"/>
        <v>42248</v>
      </c>
    </row>
    <row r="2545" spans="1:3">
      <c r="A2545" s="28">
        <v>42263</v>
      </c>
      <c r="B2545" s="29">
        <v>67.157399999999996</v>
      </c>
      <c r="C2545" s="28">
        <f t="shared" si="48"/>
        <v>42248</v>
      </c>
    </row>
    <row r="2546" spans="1:3">
      <c r="A2546" s="28">
        <v>42262</v>
      </c>
      <c r="B2546" s="29">
        <v>67.957099999999997</v>
      </c>
      <c r="C2546" s="28">
        <f t="shared" si="48"/>
        <v>42248</v>
      </c>
    </row>
    <row r="2547" spans="1:3">
      <c r="A2547" s="28">
        <v>42259</v>
      </c>
      <c r="B2547" s="29">
        <v>68.009299999999996</v>
      </c>
      <c r="C2547" s="28">
        <f t="shared" si="48"/>
        <v>42248</v>
      </c>
    </row>
    <row r="2548" spans="1:3">
      <c r="A2548" s="28">
        <v>42258</v>
      </c>
      <c r="B2548" s="29">
        <v>68.496099999999998</v>
      </c>
      <c r="C2548" s="28">
        <f t="shared" si="48"/>
        <v>42248</v>
      </c>
    </row>
    <row r="2549" spans="1:3">
      <c r="A2549" s="28">
        <v>42257</v>
      </c>
      <c r="B2549" s="29">
        <v>67.621899999999997</v>
      </c>
      <c r="C2549" s="28">
        <f t="shared" si="48"/>
        <v>42248</v>
      </c>
    </row>
    <row r="2550" spans="1:3">
      <c r="A2550" s="28">
        <v>42256</v>
      </c>
      <c r="B2550" s="29">
        <v>68.793199999999999</v>
      </c>
      <c r="C2550" s="28">
        <f t="shared" si="48"/>
        <v>42248</v>
      </c>
    </row>
    <row r="2551" spans="1:3">
      <c r="A2551" s="28">
        <v>42255</v>
      </c>
      <c r="B2551" s="29">
        <v>68.486400000000003</v>
      </c>
      <c r="C2551" s="28">
        <f t="shared" si="48"/>
        <v>42248</v>
      </c>
    </row>
    <row r="2552" spans="1:3">
      <c r="A2552" s="28">
        <v>42252</v>
      </c>
      <c r="B2552" s="29">
        <v>67.685000000000002</v>
      </c>
      <c r="C2552" s="28">
        <f t="shared" si="48"/>
        <v>42248</v>
      </c>
    </row>
    <row r="2553" spans="1:3">
      <c r="A2553" s="28">
        <v>42251</v>
      </c>
      <c r="B2553" s="29">
        <v>67.010199999999998</v>
      </c>
      <c r="C2553" s="28">
        <f t="shared" si="48"/>
        <v>42248</v>
      </c>
    </row>
    <row r="2554" spans="1:3">
      <c r="A2554" s="28">
        <v>42250</v>
      </c>
      <c r="B2554" s="29">
        <v>66.675600000000003</v>
      </c>
      <c r="C2554" s="28">
        <f t="shared" si="48"/>
        <v>42248</v>
      </c>
    </row>
    <row r="2555" spans="1:3">
      <c r="A2555" s="28">
        <v>42249</v>
      </c>
      <c r="B2555" s="29">
        <v>65.349500000000006</v>
      </c>
      <c r="C2555" s="28">
        <f t="shared" si="48"/>
        <v>42248</v>
      </c>
    </row>
    <row r="2556" spans="1:3">
      <c r="A2556" s="28">
        <v>42248</v>
      </c>
      <c r="B2556" s="29">
        <v>66.715199999999996</v>
      </c>
      <c r="C2556" s="28">
        <f t="shared" si="48"/>
        <v>42248</v>
      </c>
    </row>
    <row r="2557" spans="1:3">
      <c r="A2557" s="28">
        <v>42245</v>
      </c>
      <c r="B2557" s="29">
        <v>66.477900000000005</v>
      </c>
      <c r="C2557" s="28">
        <f t="shared" si="48"/>
        <v>42217</v>
      </c>
    </row>
    <row r="2558" spans="1:3">
      <c r="A2558" s="28">
        <v>42244</v>
      </c>
      <c r="B2558" s="29">
        <v>67.447299999999998</v>
      </c>
      <c r="C2558" s="28">
        <f t="shared" si="48"/>
        <v>42217</v>
      </c>
    </row>
    <row r="2559" spans="1:3">
      <c r="A2559" s="28">
        <v>42243</v>
      </c>
      <c r="B2559" s="29">
        <v>69.3142</v>
      </c>
      <c r="C2559" s="28">
        <f t="shared" si="48"/>
        <v>42217</v>
      </c>
    </row>
    <row r="2560" spans="1:3">
      <c r="A2560" s="28">
        <v>42242</v>
      </c>
      <c r="B2560" s="29">
        <v>69.946100000000001</v>
      </c>
      <c r="C2560" s="28">
        <f t="shared" si="48"/>
        <v>42217</v>
      </c>
    </row>
    <row r="2561" spans="1:3">
      <c r="A2561" s="28">
        <v>42241</v>
      </c>
      <c r="B2561" s="29">
        <v>70.746499999999997</v>
      </c>
      <c r="C2561" s="28">
        <f t="shared" si="48"/>
        <v>42217</v>
      </c>
    </row>
    <row r="2562" spans="1:3">
      <c r="A2562" s="28">
        <v>42238</v>
      </c>
      <c r="B2562" s="29">
        <v>68.121600000000001</v>
      </c>
      <c r="C2562" s="28">
        <f t="shared" si="48"/>
        <v>42217</v>
      </c>
    </row>
    <row r="2563" spans="1:3">
      <c r="A2563" s="28">
        <v>42237</v>
      </c>
      <c r="B2563" s="29">
        <v>66.960800000000006</v>
      </c>
      <c r="C2563" s="28">
        <f t="shared" ref="C2563:C2626" si="49">DATE(YEAR(A2563),MONTH(A2563),1)</f>
        <v>42217</v>
      </c>
    </row>
    <row r="2564" spans="1:3">
      <c r="A2564" s="28">
        <v>42236</v>
      </c>
      <c r="B2564" s="29">
        <v>65.722200000000001</v>
      </c>
      <c r="C2564" s="28">
        <f t="shared" si="49"/>
        <v>42217</v>
      </c>
    </row>
    <row r="2565" spans="1:3">
      <c r="A2565" s="28">
        <v>42235</v>
      </c>
      <c r="B2565" s="29">
        <v>65.828900000000004</v>
      </c>
      <c r="C2565" s="28">
        <f t="shared" si="49"/>
        <v>42217</v>
      </c>
    </row>
    <row r="2566" spans="1:3">
      <c r="A2566" s="28">
        <v>42234</v>
      </c>
      <c r="B2566" s="29">
        <v>65.503399999999999</v>
      </c>
      <c r="C2566" s="28">
        <f t="shared" si="49"/>
        <v>42217</v>
      </c>
    </row>
    <row r="2567" spans="1:3">
      <c r="A2567" s="28">
        <v>42231</v>
      </c>
      <c r="B2567" s="29">
        <v>64.936300000000003</v>
      </c>
      <c r="C2567" s="28">
        <f t="shared" si="49"/>
        <v>42217</v>
      </c>
    </row>
    <row r="2568" spans="1:3">
      <c r="A2568" s="28">
        <v>42230</v>
      </c>
      <c r="B2568" s="29">
        <v>63.998800000000003</v>
      </c>
      <c r="C2568" s="28">
        <f t="shared" si="49"/>
        <v>42217</v>
      </c>
    </row>
    <row r="2569" spans="1:3">
      <c r="A2569" s="28">
        <v>42229</v>
      </c>
      <c r="B2569" s="29">
        <v>65.016900000000007</v>
      </c>
      <c r="C2569" s="28">
        <f t="shared" si="49"/>
        <v>42217</v>
      </c>
    </row>
    <row r="2570" spans="1:3">
      <c r="A2570" s="28">
        <v>42228</v>
      </c>
      <c r="B2570" s="29">
        <v>63.209800000000001</v>
      </c>
      <c r="C2570" s="28">
        <f t="shared" si="49"/>
        <v>42217</v>
      </c>
    </row>
    <row r="2571" spans="1:3">
      <c r="A2571" s="28">
        <v>42227</v>
      </c>
      <c r="B2571" s="29">
        <v>64.497699999999995</v>
      </c>
      <c r="C2571" s="28">
        <f t="shared" si="49"/>
        <v>42217</v>
      </c>
    </row>
    <row r="2572" spans="1:3">
      <c r="A2572" s="28">
        <v>42224</v>
      </c>
      <c r="B2572" s="29">
        <v>63.8399</v>
      </c>
      <c r="C2572" s="28">
        <f t="shared" si="49"/>
        <v>42217</v>
      </c>
    </row>
    <row r="2573" spans="1:3">
      <c r="A2573" s="28">
        <v>42223</v>
      </c>
      <c r="B2573" s="29">
        <v>63.864400000000003</v>
      </c>
      <c r="C2573" s="28">
        <f t="shared" si="49"/>
        <v>42217</v>
      </c>
    </row>
    <row r="2574" spans="1:3">
      <c r="A2574" s="28">
        <v>42222</v>
      </c>
      <c r="B2574" s="29">
        <v>62.718400000000003</v>
      </c>
      <c r="C2574" s="28">
        <f t="shared" si="49"/>
        <v>42217</v>
      </c>
    </row>
    <row r="2575" spans="1:3">
      <c r="A2575" s="28">
        <v>42221</v>
      </c>
      <c r="B2575" s="29">
        <v>62.918199999999999</v>
      </c>
      <c r="C2575" s="28">
        <f t="shared" si="49"/>
        <v>42217</v>
      </c>
    </row>
    <row r="2576" spans="1:3">
      <c r="A2576" s="28">
        <v>42220</v>
      </c>
      <c r="B2576" s="29">
        <v>62.467700000000001</v>
      </c>
      <c r="C2576" s="28">
        <f t="shared" si="49"/>
        <v>42217</v>
      </c>
    </row>
    <row r="2577" spans="1:3">
      <c r="A2577" s="28">
        <v>42217</v>
      </c>
      <c r="B2577" s="29">
        <v>60.345799999999997</v>
      </c>
      <c r="C2577" s="28">
        <f t="shared" si="49"/>
        <v>42217</v>
      </c>
    </row>
    <row r="2578" spans="1:3">
      <c r="A2578" s="28">
        <v>42216</v>
      </c>
      <c r="B2578" s="29">
        <v>58.990600000000001</v>
      </c>
      <c r="C2578" s="28">
        <f t="shared" si="49"/>
        <v>42186</v>
      </c>
    </row>
    <row r="2579" spans="1:3">
      <c r="A2579" s="28">
        <v>42215</v>
      </c>
      <c r="B2579" s="29">
        <v>59.766500000000001</v>
      </c>
      <c r="C2579" s="28">
        <f t="shared" si="49"/>
        <v>42186</v>
      </c>
    </row>
    <row r="2580" spans="1:3">
      <c r="A2580" s="28">
        <v>42214</v>
      </c>
      <c r="B2580" s="29">
        <v>60.223100000000002</v>
      </c>
      <c r="C2580" s="28">
        <f t="shared" si="49"/>
        <v>42186</v>
      </c>
    </row>
    <row r="2581" spans="1:3">
      <c r="A2581" s="28">
        <v>42213</v>
      </c>
      <c r="B2581" s="29">
        <v>58.781599999999997</v>
      </c>
      <c r="C2581" s="28">
        <f t="shared" si="49"/>
        <v>42186</v>
      </c>
    </row>
    <row r="2582" spans="1:3">
      <c r="A2582" s="28">
        <v>42210</v>
      </c>
      <c r="B2582" s="29">
        <v>58.037399999999998</v>
      </c>
      <c r="C2582" s="28">
        <f t="shared" si="49"/>
        <v>42186</v>
      </c>
    </row>
    <row r="2583" spans="1:3">
      <c r="A2583" s="28">
        <v>42209</v>
      </c>
      <c r="B2583" s="29">
        <v>57.357799999999997</v>
      </c>
      <c r="C2583" s="28">
        <f t="shared" si="49"/>
        <v>42186</v>
      </c>
    </row>
    <row r="2584" spans="1:3">
      <c r="A2584" s="28">
        <v>42208</v>
      </c>
      <c r="B2584" s="29">
        <v>57.023200000000003</v>
      </c>
      <c r="C2584" s="28">
        <f t="shared" si="49"/>
        <v>42186</v>
      </c>
    </row>
    <row r="2585" spans="1:3">
      <c r="A2585" s="28">
        <v>42207</v>
      </c>
      <c r="B2585" s="29">
        <v>57.002499999999998</v>
      </c>
      <c r="C2585" s="28">
        <f t="shared" si="49"/>
        <v>42186</v>
      </c>
    </row>
    <row r="2586" spans="1:3">
      <c r="A2586" s="28">
        <v>42206</v>
      </c>
      <c r="B2586" s="29">
        <v>56.833599999999997</v>
      </c>
      <c r="C2586" s="28">
        <f t="shared" si="49"/>
        <v>42186</v>
      </c>
    </row>
    <row r="2587" spans="1:3">
      <c r="A2587" s="28">
        <v>42203</v>
      </c>
      <c r="B2587" s="29">
        <v>56.842300000000002</v>
      </c>
      <c r="C2587" s="28">
        <f t="shared" si="49"/>
        <v>42186</v>
      </c>
    </row>
    <row r="2588" spans="1:3">
      <c r="A2588" s="28">
        <v>42202</v>
      </c>
      <c r="B2588" s="29">
        <v>56.950400000000002</v>
      </c>
      <c r="C2588" s="28">
        <f t="shared" si="49"/>
        <v>42186</v>
      </c>
    </row>
    <row r="2589" spans="1:3">
      <c r="A2589" s="28">
        <v>42201</v>
      </c>
      <c r="B2589" s="29">
        <v>56.664200000000001</v>
      </c>
      <c r="C2589" s="28">
        <f t="shared" si="49"/>
        <v>42186</v>
      </c>
    </row>
    <row r="2590" spans="1:3">
      <c r="A2590" s="28">
        <v>42200</v>
      </c>
      <c r="B2590" s="29">
        <v>56.977400000000003</v>
      </c>
      <c r="C2590" s="28">
        <f t="shared" si="49"/>
        <v>42186</v>
      </c>
    </row>
    <row r="2591" spans="1:3">
      <c r="A2591" s="28">
        <v>42199</v>
      </c>
      <c r="B2591" s="29">
        <v>56.607900000000001</v>
      </c>
      <c r="C2591" s="28">
        <f t="shared" si="49"/>
        <v>42186</v>
      </c>
    </row>
    <row r="2592" spans="1:3">
      <c r="A2592" s="28">
        <v>42196</v>
      </c>
      <c r="B2592" s="29">
        <v>56.668500000000002</v>
      </c>
      <c r="C2592" s="28">
        <f t="shared" si="49"/>
        <v>42186</v>
      </c>
    </row>
    <row r="2593" spans="1:3">
      <c r="A2593" s="28">
        <v>42195</v>
      </c>
      <c r="B2593" s="29">
        <v>56.9803</v>
      </c>
      <c r="C2593" s="28">
        <f t="shared" si="49"/>
        <v>42186</v>
      </c>
    </row>
    <row r="2594" spans="1:3">
      <c r="A2594" s="28">
        <v>42194</v>
      </c>
      <c r="B2594" s="29">
        <v>57.217399999999998</v>
      </c>
      <c r="C2594" s="28">
        <f t="shared" si="49"/>
        <v>42186</v>
      </c>
    </row>
    <row r="2595" spans="1:3">
      <c r="A2595" s="28">
        <v>42193</v>
      </c>
      <c r="B2595" s="29">
        <v>57.219200000000001</v>
      </c>
      <c r="C2595" s="28">
        <f t="shared" si="49"/>
        <v>42186</v>
      </c>
    </row>
    <row r="2596" spans="1:3">
      <c r="A2596" s="28">
        <v>42192</v>
      </c>
      <c r="B2596" s="29">
        <v>56.411200000000001</v>
      </c>
      <c r="C2596" s="28">
        <f t="shared" si="49"/>
        <v>42186</v>
      </c>
    </row>
    <row r="2597" spans="1:3">
      <c r="A2597" s="28">
        <v>42189</v>
      </c>
      <c r="B2597" s="29">
        <v>55.604900000000001</v>
      </c>
      <c r="C2597" s="28">
        <f t="shared" si="49"/>
        <v>42186</v>
      </c>
    </row>
    <row r="2598" spans="1:3">
      <c r="A2598" s="28">
        <v>42188</v>
      </c>
      <c r="B2598" s="29">
        <v>55.655500000000004</v>
      </c>
      <c r="C2598" s="28">
        <f t="shared" si="49"/>
        <v>42186</v>
      </c>
    </row>
    <row r="2599" spans="1:3">
      <c r="A2599" s="28">
        <v>42187</v>
      </c>
      <c r="B2599" s="29">
        <v>55.4756</v>
      </c>
      <c r="C2599" s="28">
        <f t="shared" si="49"/>
        <v>42186</v>
      </c>
    </row>
    <row r="2600" spans="1:3">
      <c r="A2600" s="28">
        <v>42186</v>
      </c>
      <c r="B2600" s="29">
        <v>55.841299999999997</v>
      </c>
      <c r="C2600" s="28">
        <f t="shared" si="49"/>
        <v>42186</v>
      </c>
    </row>
    <row r="2601" spans="1:3">
      <c r="A2601" s="28">
        <v>42185</v>
      </c>
      <c r="B2601" s="29">
        <v>55.524000000000001</v>
      </c>
      <c r="C2601" s="28">
        <f t="shared" si="49"/>
        <v>42156</v>
      </c>
    </row>
    <row r="2602" spans="1:3">
      <c r="A2602" s="28">
        <v>42182</v>
      </c>
      <c r="B2602" s="29">
        <v>54.812600000000003</v>
      </c>
      <c r="C2602" s="28">
        <f t="shared" si="49"/>
        <v>42156</v>
      </c>
    </row>
    <row r="2603" spans="1:3">
      <c r="A2603" s="28">
        <v>42181</v>
      </c>
      <c r="B2603" s="29">
        <v>54.602600000000002</v>
      </c>
      <c r="C2603" s="28">
        <f t="shared" si="49"/>
        <v>42156</v>
      </c>
    </row>
    <row r="2604" spans="1:3">
      <c r="A2604" s="28">
        <v>42180</v>
      </c>
      <c r="B2604" s="29">
        <v>54.074599999999997</v>
      </c>
      <c r="C2604" s="28">
        <f t="shared" si="49"/>
        <v>42156</v>
      </c>
    </row>
    <row r="2605" spans="1:3">
      <c r="A2605" s="28">
        <v>42179</v>
      </c>
      <c r="B2605" s="29">
        <v>54.208100000000002</v>
      </c>
      <c r="C2605" s="28">
        <f t="shared" si="49"/>
        <v>42156</v>
      </c>
    </row>
    <row r="2606" spans="1:3">
      <c r="A2606" s="28">
        <v>42178</v>
      </c>
      <c r="B2606" s="29">
        <v>53.556899999999999</v>
      </c>
      <c r="C2606" s="28">
        <f t="shared" si="49"/>
        <v>42156</v>
      </c>
    </row>
    <row r="2607" spans="1:3">
      <c r="A2607" s="28">
        <v>42175</v>
      </c>
      <c r="B2607" s="29">
        <v>53.800600000000003</v>
      </c>
      <c r="C2607" s="28">
        <f t="shared" si="49"/>
        <v>42156</v>
      </c>
    </row>
    <row r="2608" spans="1:3">
      <c r="A2608" s="28">
        <v>42174</v>
      </c>
      <c r="B2608" s="29">
        <v>53.330100000000002</v>
      </c>
      <c r="C2608" s="28">
        <f t="shared" si="49"/>
        <v>42156</v>
      </c>
    </row>
    <row r="2609" spans="1:3">
      <c r="A2609" s="28">
        <v>42173</v>
      </c>
      <c r="B2609" s="29">
        <v>53.899900000000002</v>
      </c>
      <c r="C2609" s="28">
        <f t="shared" si="49"/>
        <v>42156</v>
      </c>
    </row>
    <row r="2610" spans="1:3">
      <c r="A2610" s="28">
        <v>42172</v>
      </c>
      <c r="B2610" s="29">
        <v>54.040900000000001</v>
      </c>
      <c r="C2610" s="28">
        <f t="shared" si="49"/>
        <v>42156</v>
      </c>
    </row>
    <row r="2611" spans="1:3">
      <c r="A2611" s="28">
        <v>42171</v>
      </c>
      <c r="B2611" s="29">
        <v>55.267899999999997</v>
      </c>
      <c r="C2611" s="28">
        <f t="shared" si="49"/>
        <v>42156</v>
      </c>
    </row>
    <row r="2612" spans="1:3">
      <c r="A2612" s="28">
        <v>42167</v>
      </c>
      <c r="B2612" s="29">
        <v>54.528500000000001</v>
      </c>
      <c r="C2612" s="28">
        <f t="shared" si="49"/>
        <v>42156</v>
      </c>
    </row>
    <row r="2613" spans="1:3">
      <c r="A2613" s="28">
        <v>42166</v>
      </c>
      <c r="B2613" s="29">
        <v>54.821899999999999</v>
      </c>
      <c r="C2613" s="28">
        <f t="shared" si="49"/>
        <v>42156</v>
      </c>
    </row>
    <row r="2614" spans="1:3">
      <c r="A2614" s="28">
        <v>42165</v>
      </c>
      <c r="B2614" s="29">
        <v>55.91</v>
      </c>
      <c r="C2614" s="28">
        <f t="shared" si="49"/>
        <v>42156</v>
      </c>
    </row>
    <row r="2615" spans="1:3">
      <c r="A2615" s="28">
        <v>42164</v>
      </c>
      <c r="B2615" s="29">
        <v>56.043500000000002</v>
      </c>
      <c r="C2615" s="28">
        <f t="shared" si="49"/>
        <v>42156</v>
      </c>
    </row>
    <row r="2616" spans="1:3">
      <c r="A2616" s="28">
        <v>42161</v>
      </c>
      <c r="B2616" s="29">
        <v>56.246299999999998</v>
      </c>
      <c r="C2616" s="28">
        <f t="shared" si="49"/>
        <v>42156</v>
      </c>
    </row>
    <row r="2617" spans="1:3">
      <c r="A2617" s="28">
        <v>42160</v>
      </c>
      <c r="B2617" s="29">
        <v>54.9908</v>
      </c>
      <c r="C2617" s="28">
        <f t="shared" si="49"/>
        <v>42156</v>
      </c>
    </row>
    <row r="2618" spans="1:3">
      <c r="A2618" s="28">
        <v>42159</v>
      </c>
      <c r="B2618" s="29">
        <v>53.058999999999997</v>
      </c>
      <c r="C2618" s="28">
        <f t="shared" si="49"/>
        <v>42156</v>
      </c>
    </row>
    <row r="2619" spans="1:3">
      <c r="A2619" s="28">
        <v>42158</v>
      </c>
      <c r="B2619" s="29">
        <v>53.441299999999998</v>
      </c>
      <c r="C2619" s="28">
        <f t="shared" si="49"/>
        <v>42156</v>
      </c>
    </row>
    <row r="2620" spans="1:3">
      <c r="A2620" s="28">
        <v>42157</v>
      </c>
      <c r="B2620" s="29">
        <v>52.821300000000001</v>
      </c>
      <c r="C2620" s="28">
        <f t="shared" si="49"/>
        <v>42156</v>
      </c>
    </row>
    <row r="2621" spans="1:3">
      <c r="A2621" s="28">
        <v>42154</v>
      </c>
      <c r="B2621" s="29">
        <v>52.971600000000002</v>
      </c>
      <c r="C2621" s="28">
        <f t="shared" si="49"/>
        <v>42125</v>
      </c>
    </row>
    <row r="2622" spans="1:3">
      <c r="A2622" s="28">
        <v>42153</v>
      </c>
      <c r="B2622" s="29">
        <v>52.290700000000001</v>
      </c>
      <c r="C2622" s="28">
        <f t="shared" si="49"/>
        <v>42125</v>
      </c>
    </row>
    <row r="2623" spans="1:3">
      <c r="A2623" s="28">
        <v>42152</v>
      </c>
      <c r="B2623" s="29">
        <v>51.017800000000001</v>
      </c>
      <c r="C2623" s="28">
        <f t="shared" si="49"/>
        <v>42125</v>
      </c>
    </row>
    <row r="2624" spans="1:3">
      <c r="A2624" s="28">
        <v>42151</v>
      </c>
      <c r="B2624" s="29">
        <v>50.322299999999998</v>
      </c>
      <c r="C2624" s="28">
        <f t="shared" si="49"/>
        <v>42125</v>
      </c>
    </row>
    <row r="2625" spans="1:3">
      <c r="A2625" s="28">
        <v>42150</v>
      </c>
      <c r="B2625" s="29">
        <v>49.8613</v>
      </c>
      <c r="C2625" s="28">
        <f t="shared" si="49"/>
        <v>42125</v>
      </c>
    </row>
    <row r="2626" spans="1:3">
      <c r="A2626" s="28">
        <v>42147</v>
      </c>
      <c r="B2626" s="29">
        <v>49.790100000000002</v>
      </c>
      <c r="C2626" s="28">
        <f t="shared" si="49"/>
        <v>42125</v>
      </c>
    </row>
    <row r="2627" spans="1:3">
      <c r="A2627" s="28">
        <v>42146</v>
      </c>
      <c r="B2627" s="29">
        <v>49.920400000000001</v>
      </c>
      <c r="C2627" s="28">
        <f t="shared" ref="C2627:C2690" si="50">DATE(YEAR(A2627),MONTH(A2627),1)</f>
        <v>42125</v>
      </c>
    </row>
    <row r="2628" spans="1:3">
      <c r="A2628" s="28">
        <v>42145</v>
      </c>
      <c r="B2628" s="29">
        <v>49.791899999999998</v>
      </c>
      <c r="C2628" s="28">
        <f t="shared" si="50"/>
        <v>42125</v>
      </c>
    </row>
    <row r="2629" spans="1:3">
      <c r="A2629" s="28">
        <v>42144</v>
      </c>
      <c r="B2629" s="29">
        <v>49.177700000000002</v>
      </c>
      <c r="C2629" s="28">
        <f t="shared" si="50"/>
        <v>42125</v>
      </c>
    </row>
    <row r="2630" spans="1:3">
      <c r="A2630" s="28">
        <v>42143</v>
      </c>
      <c r="B2630" s="29">
        <v>49.217500000000001</v>
      </c>
      <c r="C2630" s="28">
        <f t="shared" si="50"/>
        <v>42125</v>
      </c>
    </row>
    <row r="2631" spans="1:3">
      <c r="A2631" s="28">
        <v>42140</v>
      </c>
      <c r="B2631" s="29">
        <v>50.011499999999998</v>
      </c>
      <c r="C2631" s="28">
        <f t="shared" si="50"/>
        <v>42125</v>
      </c>
    </row>
    <row r="2632" spans="1:3">
      <c r="A2632" s="28">
        <v>42139</v>
      </c>
      <c r="B2632" s="29">
        <v>50.077399999999997</v>
      </c>
      <c r="C2632" s="28">
        <f t="shared" si="50"/>
        <v>42125</v>
      </c>
    </row>
    <row r="2633" spans="1:3">
      <c r="A2633" s="28">
        <v>42138</v>
      </c>
      <c r="B2633" s="29">
        <v>49.5366</v>
      </c>
      <c r="C2633" s="28">
        <f t="shared" si="50"/>
        <v>42125</v>
      </c>
    </row>
    <row r="2634" spans="1:3">
      <c r="A2634" s="28">
        <v>42137</v>
      </c>
      <c r="B2634" s="29">
        <v>50.914000000000001</v>
      </c>
      <c r="C2634" s="28">
        <f t="shared" si="50"/>
        <v>42125</v>
      </c>
    </row>
    <row r="2635" spans="1:3">
      <c r="A2635" s="28">
        <v>42133</v>
      </c>
      <c r="B2635" s="29">
        <v>50.751100000000001</v>
      </c>
      <c r="C2635" s="28">
        <f t="shared" si="50"/>
        <v>42125</v>
      </c>
    </row>
    <row r="2636" spans="1:3">
      <c r="A2636" s="28">
        <v>42132</v>
      </c>
      <c r="B2636" s="29">
        <v>50.361499999999999</v>
      </c>
      <c r="C2636" s="28">
        <f t="shared" si="50"/>
        <v>42125</v>
      </c>
    </row>
    <row r="2637" spans="1:3">
      <c r="A2637" s="28">
        <v>42131</v>
      </c>
      <c r="B2637" s="29">
        <v>49.9816</v>
      </c>
      <c r="C2637" s="28">
        <f t="shared" si="50"/>
        <v>42125</v>
      </c>
    </row>
    <row r="2638" spans="1:3">
      <c r="A2638" s="28">
        <v>42130</v>
      </c>
      <c r="B2638" s="29">
        <v>51.757399999999997</v>
      </c>
      <c r="C2638" s="28">
        <f t="shared" si="50"/>
        <v>42125</v>
      </c>
    </row>
    <row r="2639" spans="1:3">
      <c r="A2639" s="28">
        <v>42125</v>
      </c>
      <c r="B2639" s="29">
        <v>51.138800000000003</v>
      </c>
      <c r="C2639" s="28">
        <f t="shared" si="50"/>
        <v>42125</v>
      </c>
    </row>
    <row r="2640" spans="1:3">
      <c r="A2640" s="28">
        <v>42124</v>
      </c>
      <c r="B2640" s="29">
        <v>51.7029</v>
      </c>
      <c r="C2640" s="28">
        <f t="shared" si="50"/>
        <v>42095</v>
      </c>
    </row>
    <row r="2641" spans="1:3">
      <c r="A2641" s="28">
        <v>42123</v>
      </c>
      <c r="B2641" s="29">
        <v>52.304099999999998</v>
      </c>
      <c r="C2641" s="28">
        <f t="shared" si="50"/>
        <v>42095</v>
      </c>
    </row>
    <row r="2642" spans="1:3">
      <c r="A2642" s="28">
        <v>42122</v>
      </c>
      <c r="B2642" s="29">
        <v>51.469000000000001</v>
      </c>
      <c r="C2642" s="28">
        <f t="shared" si="50"/>
        <v>42095</v>
      </c>
    </row>
    <row r="2643" spans="1:3">
      <c r="A2643" s="28">
        <v>42119</v>
      </c>
      <c r="B2643" s="29">
        <v>50.247300000000003</v>
      </c>
      <c r="C2643" s="28">
        <f t="shared" si="50"/>
        <v>42095</v>
      </c>
    </row>
    <row r="2644" spans="1:3">
      <c r="A2644" s="28">
        <v>42118</v>
      </c>
      <c r="B2644" s="29">
        <v>51.601100000000002</v>
      </c>
      <c r="C2644" s="28">
        <f t="shared" si="50"/>
        <v>42095</v>
      </c>
    </row>
    <row r="2645" spans="1:3">
      <c r="A2645" s="28">
        <v>42117</v>
      </c>
      <c r="B2645" s="29">
        <v>53.655500000000004</v>
      </c>
      <c r="C2645" s="28">
        <f t="shared" si="50"/>
        <v>42095</v>
      </c>
    </row>
    <row r="2646" spans="1:3">
      <c r="A2646" s="28">
        <v>42116</v>
      </c>
      <c r="B2646" s="29">
        <v>53.972799999999999</v>
      </c>
      <c r="C2646" s="28">
        <f t="shared" si="50"/>
        <v>42095</v>
      </c>
    </row>
    <row r="2647" spans="1:3">
      <c r="A2647" s="28">
        <v>42115</v>
      </c>
      <c r="B2647" s="29">
        <v>51.520699999999998</v>
      </c>
      <c r="C2647" s="28">
        <f t="shared" si="50"/>
        <v>42095</v>
      </c>
    </row>
    <row r="2648" spans="1:3">
      <c r="A2648" s="28">
        <v>42112</v>
      </c>
      <c r="B2648" s="29">
        <v>50.529499999999999</v>
      </c>
      <c r="C2648" s="28">
        <f t="shared" si="50"/>
        <v>42095</v>
      </c>
    </row>
    <row r="2649" spans="1:3">
      <c r="A2649" s="28">
        <v>42111</v>
      </c>
      <c r="B2649" s="29">
        <v>49.674900000000001</v>
      </c>
      <c r="C2649" s="28">
        <f t="shared" si="50"/>
        <v>42095</v>
      </c>
    </row>
    <row r="2650" spans="1:3">
      <c r="A2650" s="28">
        <v>42110</v>
      </c>
      <c r="B2650" s="29">
        <v>50.503300000000003</v>
      </c>
      <c r="C2650" s="28">
        <f t="shared" si="50"/>
        <v>42095</v>
      </c>
    </row>
    <row r="2651" spans="1:3">
      <c r="A2651" s="28">
        <v>42109</v>
      </c>
      <c r="B2651" s="29">
        <v>51.974899999999998</v>
      </c>
      <c r="C2651" s="28">
        <f t="shared" si="50"/>
        <v>42095</v>
      </c>
    </row>
    <row r="2652" spans="1:3">
      <c r="A2652" s="28">
        <v>42108</v>
      </c>
      <c r="B2652" s="29">
        <v>52.421999999999997</v>
      </c>
      <c r="C2652" s="28">
        <f t="shared" si="50"/>
        <v>42095</v>
      </c>
    </row>
    <row r="2653" spans="1:3">
      <c r="A2653" s="28">
        <v>42105</v>
      </c>
      <c r="B2653" s="29">
        <v>51.067799999999998</v>
      </c>
      <c r="C2653" s="28">
        <f t="shared" si="50"/>
        <v>42095</v>
      </c>
    </row>
    <row r="2654" spans="1:3">
      <c r="A2654" s="28">
        <v>42104</v>
      </c>
      <c r="B2654" s="29">
        <v>52.542400000000001</v>
      </c>
      <c r="C2654" s="28">
        <f t="shared" si="50"/>
        <v>42095</v>
      </c>
    </row>
    <row r="2655" spans="1:3">
      <c r="A2655" s="28">
        <v>42103</v>
      </c>
      <c r="B2655" s="29">
        <v>54.027000000000001</v>
      </c>
      <c r="C2655" s="28">
        <f t="shared" si="50"/>
        <v>42095</v>
      </c>
    </row>
    <row r="2656" spans="1:3">
      <c r="A2656" s="28">
        <v>42102</v>
      </c>
      <c r="B2656" s="29">
        <v>55.332799999999999</v>
      </c>
      <c r="C2656" s="28">
        <f t="shared" si="50"/>
        <v>42095</v>
      </c>
    </row>
    <row r="2657" spans="1:3">
      <c r="A2657" s="28">
        <v>42101</v>
      </c>
      <c r="B2657" s="29">
        <v>56.516100000000002</v>
      </c>
      <c r="C2657" s="28">
        <f t="shared" si="50"/>
        <v>42095</v>
      </c>
    </row>
    <row r="2658" spans="1:3">
      <c r="A2658" s="28">
        <v>42098</v>
      </c>
      <c r="B2658" s="29">
        <v>56.753399999999999</v>
      </c>
      <c r="C2658" s="28">
        <f t="shared" si="50"/>
        <v>42095</v>
      </c>
    </row>
    <row r="2659" spans="1:3">
      <c r="A2659" s="28">
        <v>42097</v>
      </c>
      <c r="B2659" s="29">
        <v>56.990200000000002</v>
      </c>
      <c r="C2659" s="28">
        <f t="shared" si="50"/>
        <v>42095</v>
      </c>
    </row>
    <row r="2660" spans="1:3">
      <c r="A2660" s="28">
        <v>42096</v>
      </c>
      <c r="B2660" s="29">
        <v>58.3536</v>
      </c>
      <c r="C2660" s="28">
        <f t="shared" si="50"/>
        <v>42095</v>
      </c>
    </row>
    <row r="2661" spans="1:3">
      <c r="A2661" s="28">
        <v>42095</v>
      </c>
      <c r="B2661" s="29">
        <v>57.65</v>
      </c>
      <c r="C2661" s="28">
        <f t="shared" si="50"/>
        <v>42095</v>
      </c>
    </row>
    <row r="2662" spans="1:3">
      <c r="A2662" s="28">
        <v>42094</v>
      </c>
      <c r="B2662" s="29">
        <v>58.464300000000001</v>
      </c>
      <c r="C2662" s="28">
        <f t="shared" si="50"/>
        <v>42064</v>
      </c>
    </row>
    <row r="2663" spans="1:3">
      <c r="A2663" s="28">
        <v>42091</v>
      </c>
      <c r="B2663" s="29">
        <v>57.727899999999998</v>
      </c>
      <c r="C2663" s="28">
        <f t="shared" si="50"/>
        <v>42064</v>
      </c>
    </row>
    <row r="2664" spans="1:3">
      <c r="A2664" s="28">
        <v>42090</v>
      </c>
      <c r="B2664" s="29">
        <v>56.427100000000003</v>
      </c>
      <c r="C2664" s="28">
        <f t="shared" si="50"/>
        <v>42064</v>
      </c>
    </row>
    <row r="2665" spans="1:3">
      <c r="A2665" s="28">
        <v>42089</v>
      </c>
      <c r="B2665" s="29">
        <v>57.387900000000002</v>
      </c>
      <c r="C2665" s="28">
        <f t="shared" si="50"/>
        <v>42064</v>
      </c>
    </row>
    <row r="2666" spans="1:3">
      <c r="A2666" s="28">
        <v>42088</v>
      </c>
      <c r="B2666" s="29">
        <v>58.771000000000001</v>
      </c>
      <c r="C2666" s="28">
        <f t="shared" si="50"/>
        <v>42064</v>
      </c>
    </row>
    <row r="2667" spans="1:3">
      <c r="A2667" s="28">
        <v>42087</v>
      </c>
      <c r="B2667" s="29">
        <v>59.4452</v>
      </c>
      <c r="C2667" s="28">
        <f t="shared" si="50"/>
        <v>42064</v>
      </c>
    </row>
    <row r="2668" spans="1:3">
      <c r="A2668" s="28">
        <v>42084</v>
      </c>
      <c r="B2668" s="29">
        <v>60.034100000000002</v>
      </c>
      <c r="C2668" s="28">
        <f t="shared" si="50"/>
        <v>42064</v>
      </c>
    </row>
    <row r="2669" spans="1:3">
      <c r="A2669" s="28">
        <v>42083</v>
      </c>
      <c r="B2669" s="29">
        <v>59.830800000000004</v>
      </c>
      <c r="C2669" s="28">
        <f t="shared" si="50"/>
        <v>42064</v>
      </c>
    </row>
    <row r="2670" spans="1:3">
      <c r="A2670" s="28">
        <v>42082</v>
      </c>
      <c r="B2670" s="29">
        <v>61.348300000000002</v>
      </c>
      <c r="C2670" s="28">
        <f t="shared" si="50"/>
        <v>42064</v>
      </c>
    </row>
    <row r="2671" spans="1:3">
      <c r="A2671" s="28">
        <v>42081</v>
      </c>
      <c r="B2671" s="29">
        <v>61.750999999999998</v>
      </c>
      <c r="C2671" s="28">
        <f t="shared" si="50"/>
        <v>42064</v>
      </c>
    </row>
    <row r="2672" spans="1:3">
      <c r="A2672" s="28">
        <v>42080</v>
      </c>
      <c r="B2672" s="29">
        <v>62.149700000000003</v>
      </c>
      <c r="C2672" s="28">
        <f t="shared" si="50"/>
        <v>42064</v>
      </c>
    </row>
    <row r="2673" spans="1:3">
      <c r="A2673" s="28">
        <v>42077</v>
      </c>
      <c r="B2673" s="29">
        <v>61.316699999999997</v>
      </c>
      <c r="C2673" s="28">
        <f t="shared" si="50"/>
        <v>42064</v>
      </c>
    </row>
    <row r="2674" spans="1:3">
      <c r="A2674" s="28">
        <v>42076</v>
      </c>
      <c r="B2674" s="29">
        <v>60.959499999999998</v>
      </c>
      <c r="C2674" s="28">
        <f t="shared" si="50"/>
        <v>42064</v>
      </c>
    </row>
    <row r="2675" spans="1:3">
      <c r="A2675" s="28">
        <v>42075</v>
      </c>
      <c r="B2675" s="29">
        <v>62.679699999999997</v>
      </c>
      <c r="C2675" s="28">
        <f t="shared" si="50"/>
        <v>42064</v>
      </c>
    </row>
    <row r="2676" spans="1:3">
      <c r="A2676" s="28">
        <v>42074</v>
      </c>
      <c r="B2676" s="29">
        <v>60.664900000000003</v>
      </c>
      <c r="C2676" s="28">
        <f t="shared" si="50"/>
        <v>42064</v>
      </c>
    </row>
    <row r="2677" spans="1:3">
      <c r="A2677" s="28">
        <v>42070</v>
      </c>
      <c r="B2677" s="29">
        <v>59.9938</v>
      </c>
      <c r="C2677" s="28">
        <f t="shared" si="50"/>
        <v>42064</v>
      </c>
    </row>
    <row r="2678" spans="1:3">
      <c r="A2678" s="28">
        <v>42069</v>
      </c>
      <c r="B2678" s="29">
        <v>61.845700000000001</v>
      </c>
      <c r="C2678" s="28">
        <f t="shared" si="50"/>
        <v>42064</v>
      </c>
    </row>
    <row r="2679" spans="1:3">
      <c r="A2679" s="28">
        <v>42068</v>
      </c>
      <c r="B2679" s="29">
        <v>61.874499999999998</v>
      </c>
      <c r="C2679" s="28">
        <f t="shared" si="50"/>
        <v>42064</v>
      </c>
    </row>
    <row r="2680" spans="1:3">
      <c r="A2680" s="28">
        <v>42067</v>
      </c>
      <c r="B2680" s="29">
        <v>62.364899999999999</v>
      </c>
      <c r="C2680" s="28">
        <f t="shared" si="50"/>
        <v>42064</v>
      </c>
    </row>
    <row r="2681" spans="1:3">
      <c r="A2681" s="28">
        <v>42066</v>
      </c>
      <c r="B2681" s="29">
        <v>62.224800000000002</v>
      </c>
      <c r="C2681" s="28">
        <f t="shared" si="50"/>
        <v>42064</v>
      </c>
    </row>
    <row r="2682" spans="1:3">
      <c r="A2682" s="28">
        <v>42063</v>
      </c>
      <c r="B2682" s="29">
        <v>61.271799999999999</v>
      </c>
      <c r="C2682" s="28">
        <f t="shared" si="50"/>
        <v>42036</v>
      </c>
    </row>
    <row r="2683" spans="1:3">
      <c r="A2683" s="28">
        <v>42062</v>
      </c>
      <c r="B2683" s="29">
        <v>60.710900000000002</v>
      </c>
      <c r="C2683" s="28">
        <f t="shared" si="50"/>
        <v>42036</v>
      </c>
    </row>
    <row r="2684" spans="1:3">
      <c r="A2684" s="28">
        <v>42061</v>
      </c>
      <c r="B2684" s="29">
        <v>62.590600000000002</v>
      </c>
      <c r="C2684" s="28">
        <f t="shared" si="50"/>
        <v>42036</v>
      </c>
    </row>
    <row r="2685" spans="1:3">
      <c r="A2685" s="28">
        <v>42060</v>
      </c>
      <c r="B2685" s="29">
        <v>63.508299999999998</v>
      </c>
      <c r="C2685" s="28">
        <f t="shared" si="50"/>
        <v>42036</v>
      </c>
    </row>
    <row r="2686" spans="1:3">
      <c r="A2686" s="28">
        <v>42056</v>
      </c>
      <c r="B2686" s="29">
        <v>61.723500000000001</v>
      </c>
      <c r="C2686" s="28">
        <f t="shared" si="50"/>
        <v>42036</v>
      </c>
    </row>
    <row r="2687" spans="1:3">
      <c r="A2687" s="28">
        <v>42055</v>
      </c>
      <c r="B2687" s="29">
        <v>62.130699999999997</v>
      </c>
      <c r="C2687" s="28">
        <f t="shared" si="50"/>
        <v>42036</v>
      </c>
    </row>
    <row r="2688" spans="1:3">
      <c r="A2688" s="28">
        <v>42054</v>
      </c>
      <c r="B2688" s="29">
        <v>62.400100000000002</v>
      </c>
      <c r="C2688" s="28">
        <f t="shared" si="50"/>
        <v>42036</v>
      </c>
    </row>
    <row r="2689" spans="1:3">
      <c r="A2689" s="28">
        <v>42053</v>
      </c>
      <c r="B2689" s="29">
        <v>62.835299999999997</v>
      </c>
      <c r="C2689" s="28">
        <f t="shared" si="50"/>
        <v>42036</v>
      </c>
    </row>
    <row r="2690" spans="1:3">
      <c r="A2690" s="28">
        <v>42052</v>
      </c>
      <c r="B2690" s="29">
        <v>62.663200000000003</v>
      </c>
      <c r="C2690" s="28">
        <f t="shared" si="50"/>
        <v>42036</v>
      </c>
    </row>
    <row r="2691" spans="1:3">
      <c r="A2691" s="28">
        <v>42049</v>
      </c>
      <c r="B2691" s="29">
        <v>65.086200000000005</v>
      </c>
      <c r="C2691" s="28">
        <f t="shared" ref="C2691:C2716" si="51">DATE(YEAR(A2691),MONTH(A2691),1)</f>
        <v>42036</v>
      </c>
    </row>
    <row r="2692" spans="1:3">
      <c r="A2692" s="28">
        <v>42048</v>
      </c>
      <c r="B2692" s="29">
        <v>66.099400000000003</v>
      </c>
      <c r="C2692" s="28">
        <f t="shared" si="51"/>
        <v>42036</v>
      </c>
    </row>
    <row r="2693" spans="1:3">
      <c r="A2693" s="28">
        <v>42047</v>
      </c>
      <c r="B2693" s="29">
        <v>66.058499999999995</v>
      </c>
      <c r="C2693" s="28">
        <f t="shared" si="51"/>
        <v>42036</v>
      </c>
    </row>
    <row r="2694" spans="1:3">
      <c r="A2694" s="28">
        <v>42046</v>
      </c>
      <c r="B2694" s="29">
        <v>65.446899999999999</v>
      </c>
      <c r="C2694" s="28">
        <f t="shared" si="51"/>
        <v>42036</v>
      </c>
    </row>
    <row r="2695" spans="1:3">
      <c r="A2695" s="28">
        <v>42045</v>
      </c>
      <c r="B2695" s="29">
        <v>65.781700000000001</v>
      </c>
      <c r="C2695" s="28">
        <f t="shared" si="51"/>
        <v>42036</v>
      </c>
    </row>
    <row r="2696" spans="1:3">
      <c r="A2696" s="28">
        <v>42042</v>
      </c>
      <c r="B2696" s="29">
        <v>66.043199999999999</v>
      </c>
      <c r="C2696" s="28">
        <f t="shared" si="51"/>
        <v>42036</v>
      </c>
    </row>
    <row r="2697" spans="1:3">
      <c r="A2697" s="28">
        <v>42041</v>
      </c>
      <c r="B2697" s="29">
        <v>68.6113</v>
      </c>
      <c r="C2697" s="28">
        <f t="shared" si="51"/>
        <v>42036</v>
      </c>
    </row>
    <row r="2698" spans="1:3">
      <c r="A2698" s="28">
        <v>42040</v>
      </c>
      <c r="B2698" s="29">
        <v>65.447000000000003</v>
      </c>
      <c r="C2698" s="28">
        <f t="shared" si="51"/>
        <v>42036</v>
      </c>
    </row>
    <row r="2699" spans="1:3">
      <c r="A2699" s="28">
        <v>42039</v>
      </c>
      <c r="B2699" s="29">
        <v>67.7727</v>
      </c>
      <c r="C2699" s="28">
        <f t="shared" si="51"/>
        <v>42036</v>
      </c>
    </row>
    <row r="2700" spans="1:3">
      <c r="A2700" s="28">
        <v>42038</v>
      </c>
      <c r="B2700" s="29">
        <v>69.664000000000001</v>
      </c>
      <c r="C2700" s="28">
        <f t="shared" si="51"/>
        <v>42036</v>
      </c>
    </row>
    <row r="2701" spans="1:3">
      <c r="A2701" s="28">
        <v>42035</v>
      </c>
      <c r="B2701" s="29">
        <v>68.929100000000005</v>
      </c>
      <c r="C2701" s="28">
        <f t="shared" si="51"/>
        <v>42005</v>
      </c>
    </row>
    <row r="2702" spans="1:3">
      <c r="A2702" s="28">
        <v>42034</v>
      </c>
      <c r="B2702" s="29">
        <v>68.7303</v>
      </c>
      <c r="C2702" s="28">
        <f t="shared" si="51"/>
        <v>42005</v>
      </c>
    </row>
    <row r="2703" spans="1:3">
      <c r="A2703" s="28">
        <v>42033</v>
      </c>
      <c r="B2703" s="29">
        <v>67.150599999999997</v>
      </c>
      <c r="C2703" s="28">
        <f t="shared" si="51"/>
        <v>42005</v>
      </c>
    </row>
    <row r="2704" spans="1:3">
      <c r="A2704" s="28">
        <v>42032</v>
      </c>
      <c r="B2704" s="29">
        <v>67.815299999999993</v>
      </c>
      <c r="C2704" s="28">
        <f t="shared" si="51"/>
        <v>42005</v>
      </c>
    </row>
    <row r="2705" spans="1:3">
      <c r="A2705" s="28">
        <v>42031</v>
      </c>
      <c r="B2705" s="29">
        <v>65.593699999999998</v>
      </c>
      <c r="C2705" s="28">
        <f t="shared" si="51"/>
        <v>42005</v>
      </c>
    </row>
    <row r="2706" spans="1:3">
      <c r="A2706" s="28">
        <v>42028</v>
      </c>
      <c r="B2706" s="29">
        <v>63.393000000000001</v>
      </c>
      <c r="C2706" s="28">
        <f t="shared" si="51"/>
        <v>42005</v>
      </c>
    </row>
    <row r="2707" spans="1:3">
      <c r="A2707" s="28">
        <v>42027</v>
      </c>
      <c r="B2707" s="29">
        <v>65.400000000000006</v>
      </c>
      <c r="C2707" s="28">
        <f t="shared" si="51"/>
        <v>42005</v>
      </c>
    </row>
    <row r="2708" spans="1:3">
      <c r="A2708" s="28">
        <v>42026</v>
      </c>
      <c r="B2708" s="29">
        <v>65.555800000000005</v>
      </c>
      <c r="C2708" s="28">
        <f t="shared" si="51"/>
        <v>42005</v>
      </c>
    </row>
    <row r="2709" spans="1:3">
      <c r="A2709" s="28">
        <v>42025</v>
      </c>
      <c r="B2709" s="29">
        <v>64.986199999999997</v>
      </c>
      <c r="C2709" s="28">
        <f t="shared" si="51"/>
        <v>42005</v>
      </c>
    </row>
    <row r="2710" spans="1:3">
      <c r="A2710" s="28">
        <v>42024</v>
      </c>
      <c r="B2710" s="29">
        <v>64.973200000000006</v>
      </c>
      <c r="C2710" s="28">
        <f t="shared" si="51"/>
        <v>42005</v>
      </c>
    </row>
    <row r="2711" spans="1:3">
      <c r="A2711" s="28">
        <v>42021</v>
      </c>
      <c r="B2711" s="29">
        <v>65.1738</v>
      </c>
      <c r="C2711" s="28">
        <f t="shared" si="51"/>
        <v>42005</v>
      </c>
    </row>
    <row r="2712" spans="1:3">
      <c r="A2712" s="28">
        <v>42020</v>
      </c>
      <c r="B2712" s="29">
        <v>64.833699999999993</v>
      </c>
      <c r="C2712" s="28">
        <f t="shared" si="51"/>
        <v>42005</v>
      </c>
    </row>
    <row r="2713" spans="1:3">
      <c r="A2713" s="28">
        <v>42019</v>
      </c>
      <c r="B2713" s="29">
        <v>66.098299999999995</v>
      </c>
      <c r="C2713" s="28">
        <f t="shared" si="51"/>
        <v>42005</v>
      </c>
    </row>
    <row r="2714" spans="1:3">
      <c r="A2714" s="28">
        <v>42018</v>
      </c>
      <c r="B2714" s="29">
        <v>64.842500000000001</v>
      </c>
      <c r="C2714" s="28">
        <f t="shared" si="51"/>
        <v>42005</v>
      </c>
    </row>
    <row r="2715" spans="1:3">
      <c r="A2715" s="28">
        <v>42017</v>
      </c>
      <c r="B2715" s="29">
        <v>62.7363</v>
      </c>
      <c r="C2715" s="28">
        <f t="shared" si="51"/>
        <v>42005</v>
      </c>
    </row>
    <row r="2716" spans="1:3">
      <c r="A2716" s="28">
        <v>42005</v>
      </c>
      <c r="B2716" s="29">
        <v>56.2376</v>
      </c>
      <c r="C2716" s="28">
        <f t="shared" si="51"/>
        <v>42005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Таблица с параметрами</vt:lpstr>
      <vt:lpstr>Общая таблица</vt:lpstr>
      <vt:lpstr>Индекс промышленного производст</vt:lpstr>
      <vt:lpstr>Оборот розничной торговли</vt:lpstr>
      <vt:lpstr>Реальная среднемесячная заработ</vt:lpstr>
      <vt:lpstr>Грузооборот транспорта</vt:lpstr>
      <vt:lpstr>Объем платных услуг населению</vt:lpstr>
      <vt:lpstr>Уровень безработицы по методоло</vt:lpstr>
      <vt:lpstr>CPI (инфляция)</vt:lpstr>
      <vt:lpstr>БИПЦ</vt:lpstr>
      <vt:lpstr>Индекс цен производителей промы</vt:lpstr>
      <vt:lpstr>Ключевая ставка</vt:lpstr>
      <vt:lpstr>Денежная масса М2</vt:lpstr>
      <vt:lpstr>Кредит нефинансовым организация</vt:lpstr>
      <vt:lpstr>Кредит населению</vt:lpstr>
      <vt:lpstr>Курс USD к RUB</vt:lpstr>
      <vt:lpstr>Международные резервы</vt:lpstr>
      <vt:lpstr>Экспорт товаров</vt:lpstr>
      <vt:lpstr>Импорт товаров</vt:lpstr>
      <vt:lpstr>Лист19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Grigoreva</dc:creator>
  <cp:lastModifiedBy>Alexandra Grigoreva</cp:lastModifiedBy>
  <dcterms:created xsi:type="dcterms:W3CDTF">2026-04-26T08:36:51Z</dcterms:created>
  <dcterms:modified xsi:type="dcterms:W3CDTF">2026-05-29T18:57:32Z</dcterms:modified>
</cp:coreProperties>
</file>