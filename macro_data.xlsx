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er/Desktop/ИПС/"/>
    </mc:Choice>
  </mc:AlternateContent>
  <xr:revisionPtr revIDLastSave="0" documentId="13_ncr:1_{7853EC8A-CDC9-0249-81AB-9E44602C2176}" xr6:coauthVersionLast="47" xr6:coauthVersionMax="47" xr10:uidLastSave="{00000000-0000-0000-0000-000000000000}"/>
  <bookViews>
    <workbookView xWindow="14720" yWindow="660" windowWidth="14680" windowHeight="16760" xr2:uid="{C2F4C56C-F05B-5348-97E3-A0A77C9B9E9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3" i="1" l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<sst xmlns="http://schemas.openxmlformats.org/spreadsheetml/2006/main" count="22" uniqueCount="19">
  <si>
    <t>date</t>
  </si>
  <si>
    <t>ipp</t>
  </si>
  <si>
    <t>retail</t>
  </si>
  <si>
    <t>freight</t>
  </si>
  <si>
    <t>services</t>
  </si>
  <si>
    <t>unemployment</t>
  </si>
  <si>
    <t>cpi</t>
  </si>
  <si>
    <t>core_cpi</t>
  </si>
  <si>
    <t>ppi</t>
  </si>
  <si>
    <t>key_rate</t>
  </si>
  <si>
    <t>m2</t>
  </si>
  <si>
    <t>credit_firms</t>
  </si>
  <si>
    <t>reserves</t>
  </si>
  <si>
    <t>exports</t>
  </si>
  <si>
    <t>imports</t>
  </si>
  <si>
    <t>usd_rub</t>
  </si>
  <si>
    <t>NaN</t>
  </si>
  <si>
    <t>real_wages</t>
  </si>
  <si>
    <t>credit_households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</si>
</sst>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4" fontId="2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047D-304A-9845-9A12-87333461749C}">
  <dimension ref="A1:R133"/>
  <sheetViews>
    <sheetView tabSelected="1" topLeftCell="Q1" workbookViewId="0">
      <selection activeCell="T12" sqref="T12"/>
    </sheetView>
  </sheetViews>
  <sheetFormatPr baseColWidth="10" defaultRowHeight="16" x14ac:dyDescent="0.2"/>
  <cols>
    <col min="13" max="13" width="16.5" bestFit="1" customWidth="1"/>
    <col min="22" max="22" width="16.5" bestFit="1" customWidth="1"/>
    <col min="23" max="23" width="55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18</v>
      </c>
      <c r="N1" t="s">
        <v>17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s="2">
        <v>42005</v>
      </c>
      <c r="B2">
        <v>1.2999999999999972</v>
      </c>
      <c r="C2">
        <v>-4.4000000000000057</v>
      </c>
      <c r="D2" t="s">
        <v>16</v>
      </c>
      <c r="E2">
        <v>9.1719059986217433E-2</v>
      </c>
      <c r="F2" t="s">
        <v>16</v>
      </c>
      <c r="G2" s="3">
        <v>14.96</v>
      </c>
      <c r="H2">
        <v>14.659999999999997</v>
      </c>
      <c r="I2">
        <v>2.6800000000000068</v>
      </c>
      <c r="J2">
        <v>0</v>
      </c>
      <c r="K2" s="4">
        <v>1.4768909009411857E-2</v>
      </c>
      <c r="L2" s="4">
        <v>0.34755712182066678</v>
      </c>
      <c r="M2">
        <v>0.14409439420647741</v>
      </c>
      <c r="N2">
        <v>-29.328457899469669</v>
      </c>
      <c r="O2">
        <v>-0.27917886632195987</v>
      </c>
      <c r="P2">
        <v>-29.400000000000006</v>
      </c>
      <c r="Q2">
        <v>-42.1</v>
      </c>
      <c r="R2">
        <v>0.15549643039433825</v>
      </c>
    </row>
    <row r="3" spans="1:18" x14ac:dyDescent="0.2">
      <c r="A3" s="2">
        <v>42036</v>
      </c>
      <c r="B3">
        <v>-0.20000000000000284</v>
      </c>
      <c r="C3">
        <v>-7.5</v>
      </c>
      <c r="D3">
        <f t="shared" ref="D3:D66" si="0">C3-C2</f>
        <v>-3.0999999999999943</v>
      </c>
      <c r="E3">
        <v>8.0204801145199456E-2</v>
      </c>
      <c r="F3">
        <v>0.29999999999999982</v>
      </c>
      <c r="G3" s="3">
        <v>16.7</v>
      </c>
      <c r="H3">
        <v>16.78</v>
      </c>
      <c r="I3">
        <v>3.2000000000000028</v>
      </c>
      <c r="J3">
        <v>-2</v>
      </c>
      <c r="K3">
        <v>3.9260851491724758E-2</v>
      </c>
      <c r="L3" s="4">
        <v>0.39051122439883246</v>
      </c>
      <c r="M3">
        <v>0.13389293613573017</v>
      </c>
      <c r="N3">
        <v>-0.91905475879816834</v>
      </c>
      <c r="O3">
        <v>-2.429524434565522E-2</v>
      </c>
      <c r="P3">
        <v>-19.099999999999994</v>
      </c>
      <c r="Q3">
        <v>-36</v>
      </c>
      <c r="R3">
        <v>-9.7927464249298879E-3</v>
      </c>
    </row>
    <row r="4" spans="1:18" x14ac:dyDescent="0.2">
      <c r="A4" s="2">
        <v>42064</v>
      </c>
      <c r="B4">
        <v>1.9000000000000057</v>
      </c>
      <c r="C4">
        <v>-9</v>
      </c>
      <c r="D4">
        <f t="shared" si="0"/>
        <v>-1.5</v>
      </c>
      <c r="E4">
        <v>8.9450278072657152E-2</v>
      </c>
      <c r="F4">
        <v>0.10000000000000053</v>
      </c>
      <c r="G4" s="3">
        <v>16.899999999999999</v>
      </c>
      <c r="H4">
        <v>17.53</v>
      </c>
      <c r="I4">
        <v>2.9500000000000028</v>
      </c>
      <c r="J4">
        <v>-1</v>
      </c>
      <c r="K4">
        <v>3.4991967465076268E-2</v>
      </c>
      <c r="L4" s="4">
        <v>0.33604511293235984</v>
      </c>
      <c r="M4">
        <v>0.10435254568975028</v>
      </c>
      <c r="N4">
        <v>2.974264020263945</v>
      </c>
      <c r="O4">
        <v>-4.3424449938907372E-2</v>
      </c>
      <c r="P4">
        <v>-29.900000000000006</v>
      </c>
      <c r="Q4">
        <v>-37.6</v>
      </c>
      <c r="R4">
        <v>-6.6569121227733064E-2</v>
      </c>
    </row>
    <row r="5" spans="1:18" x14ac:dyDescent="0.2">
      <c r="A5" s="2">
        <v>42095</v>
      </c>
      <c r="B5">
        <v>-0.59999999999999432</v>
      </c>
      <c r="C5">
        <v>-9.9000000000000057</v>
      </c>
      <c r="D5">
        <f t="shared" si="0"/>
        <v>-0.90000000000000568</v>
      </c>
      <c r="E5">
        <v>6.5243821603764518E-2</v>
      </c>
      <c r="F5">
        <v>-0.10000000000000053</v>
      </c>
      <c r="G5" s="3">
        <v>16.399999999999999</v>
      </c>
      <c r="H5">
        <v>17.450000000000003</v>
      </c>
      <c r="I5">
        <v>0.71999999999999886</v>
      </c>
      <c r="J5">
        <v>0</v>
      </c>
      <c r="K5">
        <v>5.1117208868618036E-2</v>
      </c>
      <c r="L5" s="4">
        <v>0.30342274526630653</v>
      </c>
      <c r="M5">
        <v>7.4008162633839136E-2</v>
      </c>
      <c r="N5">
        <v>4.8332787399162385</v>
      </c>
      <c r="O5">
        <v>-1.0762245476913179E-2</v>
      </c>
      <c r="P5">
        <v>-35.400000000000006</v>
      </c>
      <c r="Q5">
        <v>-41.7</v>
      </c>
      <c r="R5">
        <v>-0.12596807249911413</v>
      </c>
    </row>
    <row r="6" spans="1:18" x14ac:dyDescent="0.2">
      <c r="A6" s="2">
        <v>42125</v>
      </c>
      <c r="B6">
        <v>-1</v>
      </c>
      <c r="C6">
        <v>-9.5</v>
      </c>
      <c r="D6">
        <f t="shared" si="0"/>
        <v>0.40000000000000568</v>
      </c>
      <c r="E6">
        <v>6.2444639437057914E-2</v>
      </c>
      <c r="F6">
        <v>-0.20000000000000018</v>
      </c>
      <c r="G6" s="3">
        <v>15.8</v>
      </c>
      <c r="H6">
        <v>17.11</v>
      </c>
      <c r="I6">
        <v>-0.25</v>
      </c>
      <c r="J6">
        <v>-1.5</v>
      </c>
      <c r="K6">
        <v>6.0833604173981648E-2</v>
      </c>
      <c r="L6" s="4">
        <v>0.25236295909872686</v>
      </c>
      <c r="M6">
        <v>4.3037934346273232E-2</v>
      </c>
      <c r="N6">
        <v>-0.33979314553045015</v>
      </c>
      <c r="O6">
        <v>-1.0107108122081598E-3</v>
      </c>
      <c r="P6">
        <v>-30.200000000000003</v>
      </c>
      <c r="Q6">
        <v>-41.5</v>
      </c>
      <c r="R6">
        <v>-5.3071115164271099E-2</v>
      </c>
    </row>
    <row r="7" spans="1:18" x14ac:dyDescent="0.2">
      <c r="A7" s="2">
        <v>42156</v>
      </c>
      <c r="B7">
        <v>9.9999999999994316E-2</v>
      </c>
      <c r="C7">
        <v>-9.7000000000000028</v>
      </c>
      <c r="D7">
        <f t="shared" si="0"/>
        <v>-0.20000000000000284</v>
      </c>
      <c r="E7">
        <v>8.3256368291167338E-2</v>
      </c>
      <c r="F7">
        <v>-0.29999999999999982</v>
      </c>
      <c r="G7" s="3">
        <v>15.3</v>
      </c>
      <c r="H7">
        <v>16.72</v>
      </c>
      <c r="I7">
        <v>0.23999999999999488</v>
      </c>
      <c r="J7">
        <v>-1</v>
      </c>
      <c r="K7">
        <v>6.4551394940530304E-2</v>
      </c>
      <c r="L7" s="4">
        <v>0.25299961964078488</v>
      </c>
      <c r="M7">
        <v>2.6053673062196525E-2</v>
      </c>
      <c r="N7">
        <v>2.7544123449247735</v>
      </c>
      <c r="O7">
        <v>2.1465407561631622E-3</v>
      </c>
      <c r="P7">
        <v>-25.900000000000006</v>
      </c>
      <c r="Q7">
        <v>-39.299999999999997</v>
      </c>
      <c r="R7">
        <v>7.5926580600653271E-2</v>
      </c>
    </row>
    <row r="8" spans="1:18" x14ac:dyDescent="0.2">
      <c r="A8" s="2">
        <v>42186</v>
      </c>
      <c r="B8">
        <v>0.20000000000000284</v>
      </c>
      <c r="C8">
        <v>-9.5999999999999943</v>
      </c>
      <c r="D8">
        <f t="shared" si="0"/>
        <v>0.10000000000000853</v>
      </c>
      <c r="E8">
        <v>9.1361886611998733E-2</v>
      </c>
      <c r="F8">
        <v>0</v>
      </c>
      <c r="G8" s="3">
        <v>15.6</v>
      </c>
      <c r="H8">
        <v>16.450000000000003</v>
      </c>
      <c r="I8">
        <v>1.5900000000000034</v>
      </c>
      <c r="J8">
        <v>0</v>
      </c>
      <c r="K8">
        <v>6.1991910167537911E-2</v>
      </c>
      <c r="L8" s="4">
        <v>0.2731386681413368</v>
      </c>
      <c r="M8">
        <v>1.0142545189437691E-2</v>
      </c>
      <c r="N8">
        <v>-4.9808653348751477</v>
      </c>
      <c r="O8">
        <v>1.336710973347266E-2</v>
      </c>
      <c r="P8">
        <v>-40.799999999999997</v>
      </c>
      <c r="Q8">
        <v>-42.5</v>
      </c>
      <c r="R8">
        <v>4.8933189655476994E-2</v>
      </c>
    </row>
    <row r="9" spans="1:18" x14ac:dyDescent="0.2">
      <c r="A9" s="2">
        <v>42217</v>
      </c>
      <c r="B9">
        <v>0.70000000000000284</v>
      </c>
      <c r="C9">
        <v>-9.5</v>
      </c>
      <c r="D9">
        <f t="shared" si="0"/>
        <v>9.9999999999994316E-2</v>
      </c>
      <c r="E9">
        <v>8.3752697092157158E-2</v>
      </c>
      <c r="F9">
        <v>-9.9999999999999645E-2</v>
      </c>
      <c r="G9" s="3">
        <v>15.8</v>
      </c>
      <c r="H9">
        <v>16.61</v>
      </c>
      <c r="I9">
        <v>0.5</v>
      </c>
      <c r="J9">
        <v>-0.5</v>
      </c>
      <c r="K9">
        <v>6.1889084268669903E-2</v>
      </c>
      <c r="L9" s="4">
        <v>0.2757597299349408</v>
      </c>
      <c r="M9">
        <v>-5.3651852872597106E-3</v>
      </c>
      <c r="N9">
        <v>-5.4188495813521911</v>
      </c>
      <c r="O9">
        <v>-1.0970678595395356E-2</v>
      </c>
      <c r="P9">
        <v>-39.6</v>
      </c>
      <c r="Q9">
        <v>-35.799999999999997</v>
      </c>
      <c r="R9">
        <v>0.13467532499689394</v>
      </c>
    </row>
    <row r="10" spans="1:18" x14ac:dyDescent="0.2">
      <c r="A10" s="2">
        <v>42248</v>
      </c>
      <c r="B10">
        <v>0.5</v>
      </c>
      <c r="C10">
        <v>-10.799999999999997</v>
      </c>
      <c r="D10">
        <f t="shared" si="0"/>
        <v>-1.2999999999999972</v>
      </c>
      <c r="E10">
        <v>8.5665327225174392E-2</v>
      </c>
      <c r="F10">
        <v>0</v>
      </c>
      <c r="G10" s="3">
        <v>15.7</v>
      </c>
      <c r="H10">
        <v>16.549999999999997</v>
      </c>
      <c r="I10">
        <v>0.71999999999999886</v>
      </c>
      <c r="J10">
        <v>0</v>
      </c>
      <c r="K10">
        <v>6.3174641470032267E-2</v>
      </c>
      <c r="L10" s="4">
        <v>0.29864035259949251</v>
      </c>
      <c r="M10">
        <v>-1.5943580960393611E-2</v>
      </c>
      <c r="N10">
        <v>1.7052272765467649</v>
      </c>
      <c r="O10">
        <v>2.4082305421016414E-2</v>
      </c>
      <c r="P10">
        <v>-30.799999999999997</v>
      </c>
      <c r="Q10">
        <v>-35.400000000000006</v>
      </c>
      <c r="R10">
        <v>2.0573258663048044E-2</v>
      </c>
    </row>
    <row r="11" spans="1:18" x14ac:dyDescent="0.2">
      <c r="A11" s="2">
        <v>42278</v>
      </c>
      <c r="B11">
        <v>0.20000000000000284</v>
      </c>
      <c r="C11">
        <v>-11.299999999999997</v>
      </c>
      <c r="D11">
        <f t="shared" si="0"/>
        <v>-0.5</v>
      </c>
      <c r="E11">
        <v>8.1397196952526452E-2</v>
      </c>
      <c r="F11">
        <v>0.29999999999999982</v>
      </c>
      <c r="G11" s="3">
        <v>15.6</v>
      </c>
      <c r="H11">
        <v>16.420000000000002</v>
      </c>
      <c r="I11">
        <v>0.35999999999999943</v>
      </c>
      <c r="J11">
        <v>0</v>
      </c>
      <c r="K11">
        <v>5.7922345090113181E-2</v>
      </c>
      <c r="L11" s="4">
        <v>0.28957838293715654</v>
      </c>
      <c r="M11">
        <v>-2.4553137642927103E-2</v>
      </c>
      <c r="N11">
        <v>0.6106511851797336</v>
      </c>
      <c r="O11">
        <v>1.3351427301834917E-2</v>
      </c>
      <c r="P11">
        <v>-35</v>
      </c>
      <c r="Q11">
        <v>-36.799999999999997</v>
      </c>
      <c r="R11">
        <v>-5.4421637949870316E-2</v>
      </c>
    </row>
    <row r="12" spans="1:18" x14ac:dyDescent="0.2">
      <c r="A12" s="2">
        <v>42309</v>
      </c>
      <c r="B12">
        <v>0.79999999999999716</v>
      </c>
      <c r="C12">
        <v>-12.299999999999997</v>
      </c>
      <c r="D12">
        <f t="shared" si="0"/>
        <v>-1</v>
      </c>
      <c r="E12">
        <v>7.5611005369383255E-2</v>
      </c>
      <c r="F12">
        <v>0.29999999999999982</v>
      </c>
      <c r="G12" s="3">
        <v>15</v>
      </c>
      <c r="H12">
        <v>15.909999999999997</v>
      </c>
      <c r="I12">
        <v>-0.71999999999999886</v>
      </c>
      <c r="J12">
        <v>0</v>
      </c>
      <c r="K12">
        <v>7.8098071942943825E-2</v>
      </c>
      <c r="L12" s="4">
        <v>0.25121967492361508</v>
      </c>
      <c r="M12">
        <v>-3.7460206606326318E-2</v>
      </c>
      <c r="N12">
        <v>-0.77476753291762179</v>
      </c>
      <c r="O12">
        <v>-4.391921294473633E-3</v>
      </c>
      <c r="P12">
        <v>-30.799999999999997</v>
      </c>
      <c r="Q12">
        <v>-28.799999999999997</v>
      </c>
      <c r="R12">
        <v>2.7816630576032786E-2</v>
      </c>
    </row>
    <row r="13" spans="1:18" x14ac:dyDescent="0.2">
      <c r="A13" s="2">
        <v>42339</v>
      </c>
      <c r="B13">
        <v>-1</v>
      </c>
      <c r="C13">
        <v>-14.200000000000003</v>
      </c>
      <c r="D13">
        <f t="shared" si="0"/>
        <v>-1.9000000000000057</v>
      </c>
      <c r="E13">
        <v>6.4893009896875187E-2</v>
      </c>
      <c r="F13">
        <v>0</v>
      </c>
      <c r="G13" s="3">
        <v>12.9</v>
      </c>
      <c r="H13">
        <v>13.659999999999997</v>
      </c>
      <c r="I13">
        <v>-1.2600000000000051</v>
      </c>
      <c r="J13">
        <v>0</v>
      </c>
      <c r="K13">
        <v>8.6304757481255434E-2</v>
      </c>
      <c r="L13" s="4">
        <v>0.21677535785719759</v>
      </c>
      <c r="M13">
        <v>-4.9770617448498755E-2</v>
      </c>
      <c r="N13">
        <v>29.175857014498462</v>
      </c>
      <c r="O13">
        <v>-1.3432525608116919E-2</v>
      </c>
      <c r="P13">
        <v>-24.599999999999994</v>
      </c>
      <c r="Q13">
        <v>-28.400000000000006</v>
      </c>
      <c r="R13">
        <v>6.9427883778230282E-2</v>
      </c>
    </row>
    <row r="14" spans="1:18" x14ac:dyDescent="0.2">
      <c r="A14" s="2">
        <v>42370</v>
      </c>
      <c r="B14">
        <v>-0.90000000000000568</v>
      </c>
      <c r="C14">
        <v>-6.2000000000000028</v>
      </c>
      <c r="D14">
        <f t="shared" si="0"/>
        <v>8</v>
      </c>
      <c r="E14">
        <v>4.5010764891339372E-2</v>
      </c>
      <c r="F14">
        <v>0</v>
      </c>
      <c r="G14" s="3">
        <v>9.8000000000000007</v>
      </c>
      <c r="H14">
        <v>10.700000000000003</v>
      </c>
      <c r="I14">
        <v>-0.57999999999999829</v>
      </c>
      <c r="J14">
        <v>0</v>
      </c>
      <c r="K14">
        <v>0.11272772256104635</v>
      </c>
      <c r="L14" s="4">
        <v>0.13478422027153814</v>
      </c>
      <c r="M14">
        <v>-5.6610951820023625E-2</v>
      </c>
      <c r="N14">
        <v>-25.476242398542965</v>
      </c>
      <c r="O14">
        <v>1.0069556524920031E-2</v>
      </c>
      <c r="P14">
        <v>-38.5</v>
      </c>
      <c r="Q14">
        <v>-19</v>
      </c>
      <c r="R14">
        <v>0.11159789988127766</v>
      </c>
    </row>
    <row r="15" spans="1:18" x14ac:dyDescent="0.2">
      <c r="A15" s="2">
        <v>42401</v>
      </c>
      <c r="B15">
        <v>2</v>
      </c>
      <c r="C15">
        <v>-3.7000000000000028</v>
      </c>
      <c r="D15">
        <f t="shared" si="0"/>
        <v>2.5</v>
      </c>
      <c r="E15">
        <v>7.8058771300676844E-2</v>
      </c>
      <c r="F15">
        <v>0</v>
      </c>
      <c r="G15" s="3">
        <v>8.1</v>
      </c>
      <c r="H15">
        <v>8.8799999999999955</v>
      </c>
      <c r="I15">
        <v>1.1700000000000017</v>
      </c>
      <c r="J15">
        <v>0</v>
      </c>
      <c r="K15">
        <v>9.3495342104959578E-2</v>
      </c>
      <c r="L15" s="4">
        <v>8.6579780891461233E-2</v>
      </c>
      <c r="M15">
        <v>-5.4825533141877769E-2</v>
      </c>
      <c r="N15">
        <v>3.0671949391006592</v>
      </c>
      <c r="O15">
        <v>8.5410772236897969E-3</v>
      </c>
      <c r="P15">
        <v>-31.5</v>
      </c>
      <c r="Q15">
        <v>-16.599999999999994</v>
      </c>
      <c r="R15">
        <v>-7.8052549879776834E-3</v>
      </c>
    </row>
    <row r="16" spans="1:18" x14ac:dyDescent="0.2">
      <c r="A16" s="2">
        <v>42430</v>
      </c>
      <c r="B16">
        <v>0.90000000000000568</v>
      </c>
      <c r="C16">
        <v>-5.0999999999999943</v>
      </c>
      <c r="D16">
        <f t="shared" si="0"/>
        <v>-1.3999999999999915</v>
      </c>
      <c r="E16">
        <v>6.2162428310043705E-2</v>
      </c>
      <c r="F16">
        <v>0.20000000000000018</v>
      </c>
      <c r="G16" s="3">
        <v>7.3</v>
      </c>
      <c r="H16">
        <v>7.9599999999999937</v>
      </c>
      <c r="I16">
        <v>1.2600000000000051</v>
      </c>
      <c r="J16">
        <v>0</v>
      </c>
      <c r="K16">
        <v>9.8792756796987957E-2</v>
      </c>
      <c r="L16" s="4">
        <v>0.11446426048245062</v>
      </c>
      <c r="M16">
        <v>-4.1582629141115768E-2</v>
      </c>
      <c r="N16">
        <v>4.3238794837012335</v>
      </c>
      <c r="O16">
        <v>2.3894140775245987E-2</v>
      </c>
      <c r="P16">
        <v>-29.5</v>
      </c>
      <c r="Q16">
        <v>-10.099999999999994</v>
      </c>
      <c r="R16">
        <v>-9.3609069923799915E-2</v>
      </c>
    </row>
    <row r="17" spans="1:18" x14ac:dyDescent="0.2">
      <c r="A17" s="2">
        <v>42461</v>
      </c>
      <c r="B17">
        <v>-0.20000000000000284</v>
      </c>
      <c r="C17">
        <v>-4.2999999999999972</v>
      </c>
      <c r="D17">
        <f t="shared" si="0"/>
        <v>0.79999999999999716</v>
      </c>
      <c r="E17">
        <v>6.9047866191366492E-2</v>
      </c>
      <c r="F17">
        <v>-9.9999999999999645E-2</v>
      </c>
      <c r="G17" s="3">
        <v>7.3</v>
      </c>
      <c r="H17">
        <v>7.6400000000000006</v>
      </c>
      <c r="I17">
        <v>0.12999999999999545</v>
      </c>
      <c r="J17">
        <v>0</v>
      </c>
      <c r="K17">
        <v>0.11796954934425652</v>
      </c>
      <c r="L17" s="4">
        <v>0.10446034711948071</v>
      </c>
      <c r="M17">
        <v>-3.3146545804608962E-2</v>
      </c>
      <c r="N17">
        <v>2.3574670126395887</v>
      </c>
      <c r="O17">
        <v>1.6843556715169683E-2</v>
      </c>
      <c r="P17">
        <v>-29.200000000000003</v>
      </c>
      <c r="Q17">
        <v>-6.5</v>
      </c>
      <c r="R17">
        <v>-5.4508848410820043E-2</v>
      </c>
    </row>
    <row r="18" spans="1:18" x14ac:dyDescent="0.2">
      <c r="A18" s="2">
        <v>42491</v>
      </c>
      <c r="B18">
        <v>0.40000000000000568</v>
      </c>
      <c r="C18">
        <v>-5.2999999999999972</v>
      </c>
      <c r="D18">
        <f t="shared" si="0"/>
        <v>-1</v>
      </c>
      <c r="E18">
        <v>8.1294239688456837E-2</v>
      </c>
      <c r="F18">
        <v>-0.30000000000000071</v>
      </c>
      <c r="G18" s="3">
        <v>7.3</v>
      </c>
      <c r="H18">
        <v>7.5300000000000011</v>
      </c>
      <c r="I18">
        <v>1.3299999999999983</v>
      </c>
      <c r="J18">
        <v>0</v>
      </c>
      <c r="K18">
        <v>0.10747878054262294</v>
      </c>
      <c r="L18" s="4">
        <v>0.10815522109690345</v>
      </c>
      <c r="M18">
        <v>-2.4014380962435466E-2</v>
      </c>
      <c r="N18">
        <v>1.6993478087608196</v>
      </c>
      <c r="O18">
        <v>1.1593789188287573E-2</v>
      </c>
      <c r="P18">
        <v>-28.099999999999994</v>
      </c>
      <c r="Q18">
        <v>-5.5999999999999943</v>
      </c>
      <c r="R18">
        <v>-1.2737458360808418E-2</v>
      </c>
    </row>
    <row r="19" spans="1:18" x14ac:dyDescent="0.2">
      <c r="A19" s="2">
        <v>42522</v>
      </c>
      <c r="B19">
        <v>1.0999999999999943</v>
      </c>
      <c r="C19">
        <v>-5</v>
      </c>
      <c r="D19">
        <f t="shared" si="0"/>
        <v>0.29999999999999716</v>
      </c>
      <c r="E19">
        <v>5.6099830504241721E-2</v>
      </c>
      <c r="F19">
        <v>-0.19999999999999929</v>
      </c>
      <c r="G19" s="3">
        <v>7.5</v>
      </c>
      <c r="H19">
        <v>7.4899999999999949</v>
      </c>
      <c r="I19">
        <v>2.0900000000000034</v>
      </c>
      <c r="J19">
        <v>-0.5</v>
      </c>
      <c r="K19">
        <v>0.12012933975831452</v>
      </c>
      <c r="L19" s="4">
        <v>7.340274198792307E-2</v>
      </c>
      <c r="M19">
        <v>-1.6455609777745961E-2</v>
      </c>
      <c r="N19">
        <v>2.7896201507296041</v>
      </c>
      <c r="O19">
        <v>-9.7660409912538881E-3</v>
      </c>
      <c r="P19">
        <v>-20.099999999999994</v>
      </c>
      <c r="Q19">
        <v>-1.5</v>
      </c>
      <c r="R19">
        <v>-9.4522099839586815E-3</v>
      </c>
    </row>
    <row r="20" spans="1:18" x14ac:dyDescent="0.2">
      <c r="A20" s="2">
        <v>42552</v>
      </c>
      <c r="B20">
        <v>0.40000000000000568</v>
      </c>
      <c r="C20">
        <v>-6</v>
      </c>
      <c r="D20">
        <f t="shared" si="0"/>
        <v>-1</v>
      </c>
      <c r="E20">
        <v>5.1204434952171196E-2</v>
      </c>
      <c r="F20">
        <v>-0.10000000000000053</v>
      </c>
      <c r="G20" s="3">
        <v>7.2</v>
      </c>
      <c r="H20">
        <v>7.4399999999999977</v>
      </c>
      <c r="I20">
        <v>0.39000000000000057</v>
      </c>
      <c r="J20">
        <v>0</v>
      </c>
      <c r="K20">
        <v>0.1227630857857207</v>
      </c>
      <c r="L20" s="4">
        <v>5.7753923447109612E-2</v>
      </c>
      <c r="M20">
        <v>-1.215709001647558E-2</v>
      </c>
      <c r="N20">
        <v>-7.1587500128405139</v>
      </c>
      <c r="O20">
        <v>1.2915441064956568E-2</v>
      </c>
      <c r="P20">
        <v>-17.900000000000006</v>
      </c>
      <c r="Q20">
        <v>-3.7000000000000028</v>
      </c>
      <c r="R20">
        <v>-1.3604984384596008E-2</v>
      </c>
    </row>
    <row r="21" spans="1:18" x14ac:dyDescent="0.2">
      <c r="A21" s="2">
        <v>42583</v>
      </c>
      <c r="B21">
        <v>2.2000000000000028</v>
      </c>
      <c r="C21">
        <v>-3.5</v>
      </c>
      <c r="D21">
        <f t="shared" si="0"/>
        <v>2.5</v>
      </c>
      <c r="E21">
        <v>8.100556812468418E-2</v>
      </c>
      <c r="F21">
        <v>-9.9999999999999645E-2</v>
      </c>
      <c r="G21" s="3">
        <v>6.9</v>
      </c>
      <c r="H21">
        <v>7.0400000000000063</v>
      </c>
      <c r="I21">
        <v>-0.29000000000000625</v>
      </c>
      <c r="J21">
        <v>0</v>
      </c>
      <c r="K21">
        <v>0.12436032902361793</v>
      </c>
      <c r="L21" s="4">
        <v>5.0456394034343877E-2</v>
      </c>
      <c r="M21">
        <v>-6.3941969295715495E-3</v>
      </c>
      <c r="N21">
        <v>-1.3548898399578917</v>
      </c>
      <c r="O21">
        <v>2.9389801850054909E-3</v>
      </c>
      <c r="P21">
        <v>-7.7000000000000028</v>
      </c>
      <c r="Q21">
        <v>13.700000000000003</v>
      </c>
      <c r="R21">
        <v>9.2603473903043465E-3</v>
      </c>
    </row>
    <row r="22" spans="1:18" x14ac:dyDescent="0.2">
      <c r="A22" s="2">
        <v>42614</v>
      </c>
      <c r="B22">
        <v>2.5</v>
      </c>
      <c r="C22">
        <v>-3.5999999999999943</v>
      </c>
      <c r="D22">
        <f t="shared" si="0"/>
        <v>-9.9999999999994316E-2</v>
      </c>
      <c r="E22">
        <v>5.5064082919828783E-2</v>
      </c>
      <c r="F22">
        <v>0</v>
      </c>
      <c r="G22" s="3">
        <v>6.4</v>
      </c>
      <c r="H22">
        <v>6.730000000000004</v>
      </c>
      <c r="I22">
        <v>-0.43999999999999773</v>
      </c>
      <c r="J22">
        <v>-0.5</v>
      </c>
      <c r="K22">
        <v>0.12054013548679232</v>
      </c>
      <c r="L22" s="4">
        <v>6.1019990521304912E-3</v>
      </c>
      <c r="M22">
        <v>-7.033878740768551E-3</v>
      </c>
      <c r="N22">
        <v>1.0661447972925941</v>
      </c>
      <c r="O22">
        <v>3.2593710344190896E-3</v>
      </c>
      <c r="P22">
        <v>-3.7000000000000028</v>
      </c>
      <c r="Q22">
        <v>6.7000000000000028</v>
      </c>
      <c r="R22">
        <v>-5.8585663861512316E-3</v>
      </c>
    </row>
    <row r="23" spans="1:18" x14ac:dyDescent="0.2">
      <c r="A23" s="2">
        <v>42644</v>
      </c>
      <c r="B23">
        <v>3</v>
      </c>
      <c r="C23">
        <v>-4.7000000000000028</v>
      </c>
      <c r="D23">
        <f t="shared" si="0"/>
        <v>-1.1000000000000085</v>
      </c>
      <c r="E23">
        <v>4.8970431061057917E-2</v>
      </c>
      <c r="F23">
        <v>9.9999999999999645E-2</v>
      </c>
      <c r="G23" s="3">
        <v>6.1</v>
      </c>
      <c r="H23">
        <v>6.4099999999999966</v>
      </c>
      <c r="I23">
        <v>0.48999999999999488</v>
      </c>
      <c r="J23">
        <v>0</v>
      </c>
      <c r="K23">
        <v>0.12779887390336531</v>
      </c>
      <c r="L23" s="4">
        <v>-1.7047321844404606E-2</v>
      </c>
      <c r="M23">
        <v>-3.3978003663978074E-3</v>
      </c>
      <c r="N23">
        <v>-0.69039915609624813</v>
      </c>
      <c r="O23">
        <v>6.4191629365257796E-3</v>
      </c>
      <c r="P23">
        <v>-8.2000000000000028</v>
      </c>
      <c r="Q23">
        <v>7.5</v>
      </c>
      <c r="R23">
        <v>-3.0466930980104223E-2</v>
      </c>
    </row>
    <row r="24" spans="1:18" x14ac:dyDescent="0.2">
      <c r="A24" s="2">
        <v>42675</v>
      </c>
      <c r="B24">
        <v>5.2000000000000028</v>
      </c>
      <c r="C24">
        <v>-4.7000000000000028</v>
      </c>
      <c r="D24">
        <f t="shared" si="0"/>
        <v>0</v>
      </c>
      <c r="E24">
        <v>7.3572364202804774E-2</v>
      </c>
      <c r="F24">
        <v>0</v>
      </c>
      <c r="G24" s="3">
        <v>5.8</v>
      </c>
      <c r="H24">
        <v>6.2099999999999937</v>
      </c>
      <c r="I24">
        <v>0.20999999999999375</v>
      </c>
      <c r="J24">
        <v>0</v>
      </c>
      <c r="K24">
        <v>0.12095637372289358</v>
      </c>
      <c r="L24" s="4">
        <v>-1.7823335133548723E-2</v>
      </c>
      <c r="M24">
        <v>2.1087866453113335E-3</v>
      </c>
      <c r="N24">
        <v>0.80460653256582759</v>
      </c>
      <c r="O24">
        <v>-1.7761131661915286E-2</v>
      </c>
      <c r="P24">
        <v>4.5</v>
      </c>
      <c r="Q24">
        <v>7.2000000000000028</v>
      </c>
      <c r="R24">
        <v>2.6688472704148758E-2</v>
      </c>
    </row>
    <row r="25" spans="1:18" x14ac:dyDescent="0.2">
      <c r="A25" s="2">
        <v>42705</v>
      </c>
      <c r="B25">
        <v>3.9000000000000057</v>
      </c>
      <c r="C25">
        <v>-5.5999999999999943</v>
      </c>
      <c r="D25">
        <f t="shared" si="0"/>
        <v>-0.89999999999999147</v>
      </c>
      <c r="E25">
        <v>5.4616335866707555E-2</v>
      </c>
      <c r="F25">
        <v>0</v>
      </c>
      <c r="G25" s="3">
        <v>5.4</v>
      </c>
      <c r="H25">
        <v>5.9699999999999989</v>
      </c>
      <c r="I25">
        <v>1.7099999999999937</v>
      </c>
      <c r="J25">
        <v>0</v>
      </c>
      <c r="K25">
        <v>0.11268158546037288</v>
      </c>
      <c r="L25" s="4">
        <v>-1.8837202244556872E-2</v>
      </c>
      <c r="M25">
        <v>9.2148124481818972E-3</v>
      </c>
      <c r="N25">
        <v>30.857801664000874</v>
      </c>
      <c r="O25">
        <v>-1.4053829822341157E-2</v>
      </c>
      <c r="P25">
        <v>8.7000000000000028</v>
      </c>
      <c r="Q25">
        <v>11.700000000000003</v>
      </c>
      <c r="R25">
        <v>-3.5167522186482891E-2</v>
      </c>
    </row>
    <row r="26" spans="1:18" x14ac:dyDescent="0.2">
      <c r="A26" s="2">
        <v>42736</v>
      </c>
      <c r="B26">
        <v>6.5999999999999943</v>
      </c>
      <c r="C26">
        <v>-2</v>
      </c>
      <c r="D26">
        <f t="shared" si="0"/>
        <v>3.5999999999999943</v>
      </c>
      <c r="E26">
        <v>8.3556167545379312E-2</v>
      </c>
      <c r="F26">
        <v>0.29999999999999982</v>
      </c>
      <c r="G26" s="3">
        <v>5</v>
      </c>
      <c r="H26">
        <v>5.4899999999999949</v>
      </c>
      <c r="I26">
        <v>1.4699999999999989</v>
      </c>
      <c r="J26">
        <v>0</v>
      </c>
      <c r="K26">
        <v>9.2041069040779133E-2</v>
      </c>
      <c r="L26" s="4">
        <v>-6.7139580379896202E-2</v>
      </c>
      <c r="M26">
        <v>9.2756128756847911E-3</v>
      </c>
      <c r="N26">
        <v>-28.061326262263464</v>
      </c>
      <c r="O26">
        <v>-1.9782330996680031E-2</v>
      </c>
      <c r="P26">
        <v>48.300000000000011</v>
      </c>
      <c r="Q26">
        <v>38.300000000000011</v>
      </c>
      <c r="R26">
        <v>-4.0449350027596864E-2</v>
      </c>
    </row>
    <row r="27" spans="1:18" x14ac:dyDescent="0.2">
      <c r="A27" s="2">
        <v>42767</v>
      </c>
      <c r="B27">
        <v>1.5999999999999943</v>
      </c>
      <c r="C27">
        <v>-2.7999999999999972</v>
      </c>
      <c r="D27">
        <f t="shared" si="0"/>
        <v>-0.79999999999999716</v>
      </c>
      <c r="E27">
        <v>3.4677913543354144E-2</v>
      </c>
      <c r="F27">
        <v>0</v>
      </c>
      <c r="G27" s="3">
        <v>4.5999999999999996</v>
      </c>
      <c r="H27">
        <v>4.9699999999999989</v>
      </c>
      <c r="I27">
        <v>-0.46999999999999886</v>
      </c>
      <c r="J27">
        <v>0</v>
      </c>
      <c r="K27">
        <v>0.12029148162439074</v>
      </c>
      <c r="L27" s="4">
        <v>-7.6110596523023655E-2</v>
      </c>
      <c r="M27">
        <v>1.0806229400339484E-2</v>
      </c>
      <c r="N27">
        <v>2.8981447314154138</v>
      </c>
      <c r="O27">
        <v>3.343683965967692E-2</v>
      </c>
      <c r="P27">
        <v>28.199999999999989</v>
      </c>
      <c r="Q27">
        <v>20.299999999999997</v>
      </c>
      <c r="R27">
        <v>-1.8457024943829836E-2</v>
      </c>
    </row>
    <row r="28" spans="1:18" x14ac:dyDescent="0.2">
      <c r="A28" s="2">
        <v>42795</v>
      </c>
      <c r="B28">
        <v>3.5999999999999943</v>
      </c>
      <c r="C28">
        <v>0</v>
      </c>
      <c r="D28">
        <f t="shared" si="0"/>
        <v>2.7999999999999972</v>
      </c>
      <c r="E28">
        <v>5.5329673050785289E-2</v>
      </c>
      <c r="F28">
        <v>-0.19999999999999929</v>
      </c>
      <c r="G28" s="3">
        <v>4.3</v>
      </c>
      <c r="H28">
        <v>4.480000000000004</v>
      </c>
      <c r="I28">
        <v>-0.20999999999999375</v>
      </c>
      <c r="J28">
        <v>-0.25</v>
      </c>
      <c r="K28">
        <v>0.12104317589949187</v>
      </c>
      <c r="L28" s="4">
        <v>-8.2661590333503621E-2</v>
      </c>
      <c r="M28">
        <v>1.352471559428281E-2</v>
      </c>
      <c r="N28">
        <v>6.6291724677421655</v>
      </c>
      <c r="O28">
        <v>1.7131621560697141E-2</v>
      </c>
      <c r="P28">
        <v>35.099999999999994</v>
      </c>
      <c r="Q28">
        <v>23.799999999999997</v>
      </c>
      <c r="R28">
        <v>-9.1420217862703268E-3</v>
      </c>
    </row>
    <row r="29" spans="1:18" x14ac:dyDescent="0.2">
      <c r="A29" s="2">
        <v>42826</v>
      </c>
      <c r="B29">
        <v>4.2999999999999972</v>
      </c>
      <c r="C29">
        <v>0.29999999999999716</v>
      </c>
      <c r="D29">
        <f t="shared" si="0"/>
        <v>0.29999999999999716</v>
      </c>
      <c r="E29">
        <v>4.4171730720253155E-2</v>
      </c>
      <c r="F29">
        <v>-0.10000000000000053</v>
      </c>
      <c r="G29" s="3">
        <v>4.0999999999999996</v>
      </c>
      <c r="H29">
        <v>4.1099999999999994</v>
      </c>
      <c r="I29">
        <v>1.9999999999996021E-2</v>
      </c>
      <c r="J29">
        <v>0</v>
      </c>
      <c r="K29">
        <v>0.11146966460178098</v>
      </c>
      <c r="L29" s="4">
        <v>-6.6323599462136285E-2</v>
      </c>
      <c r="M29">
        <v>2.7643345536783492E-2</v>
      </c>
      <c r="N29">
        <v>3.1573332759489432</v>
      </c>
      <c r="O29">
        <v>1.4410728299019127E-3</v>
      </c>
      <c r="P29">
        <v>19.799999999999997</v>
      </c>
      <c r="Q29">
        <v>20.799999999999997</v>
      </c>
      <c r="R29">
        <v>-2.7456927518440644E-2</v>
      </c>
    </row>
    <row r="30" spans="1:18" x14ac:dyDescent="0.2">
      <c r="A30" s="2">
        <v>42856</v>
      </c>
      <c r="B30">
        <v>6.2999999999999972</v>
      </c>
      <c r="C30">
        <v>1.0999999999999943</v>
      </c>
      <c r="D30">
        <f t="shared" si="0"/>
        <v>0.79999999999999716</v>
      </c>
      <c r="E30">
        <v>6.1635326916537725E-2</v>
      </c>
      <c r="F30">
        <v>-9.9999999999999645E-2</v>
      </c>
      <c r="G30" s="3">
        <v>4.0999999999999996</v>
      </c>
      <c r="H30">
        <v>3.769999999999996</v>
      </c>
      <c r="I30">
        <v>-9.9999999999994316E-2</v>
      </c>
      <c r="J30">
        <v>-0.5</v>
      </c>
      <c r="K30">
        <v>0.10142808466518427</v>
      </c>
      <c r="L30" s="4">
        <v>-3.5380132833849109E-2</v>
      </c>
      <c r="M30">
        <v>4.0043177681166497E-2</v>
      </c>
      <c r="N30">
        <v>0.78535734140727698</v>
      </c>
      <c r="O30">
        <v>7.7381301249310752E-3</v>
      </c>
      <c r="P30">
        <v>28.099999999999994</v>
      </c>
      <c r="Q30">
        <v>36</v>
      </c>
      <c r="R30">
        <v>9.0744731314389426E-3</v>
      </c>
    </row>
    <row r="31" spans="1:18" x14ac:dyDescent="0.2">
      <c r="A31" s="2">
        <v>42887</v>
      </c>
      <c r="B31">
        <v>5.5</v>
      </c>
      <c r="C31">
        <v>1.4000000000000057</v>
      </c>
      <c r="D31">
        <f t="shared" si="0"/>
        <v>0.30000000000001137</v>
      </c>
      <c r="E31">
        <v>5.8537138796127097E-2</v>
      </c>
      <c r="F31">
        <v>-0.10000000000000053</v>
      </c>
      <c r="G31" s="3">
        <v>4.4000000000000004</v>
      </c>
      <c r="H31">
        <v>3.4599999999999937</v>
      </c>
      <c r="I31">
        <v>-0.12999999999999545</v>
      </c>
      <c r="J31">
        <v>-0.25</v>
      </c>
      <c r="K31">
        <v>0.10044687953482168</v>
      </c>
      <c r="L31" s="4">
        <v>-1.5257056184774576E-2</v>
      </c>
      <c r="M31">
        <v>4.4443505374593739E-2</v>
      </c>
      <c r="N31">
        <v>3.8383728259798744</v>
      </c>
      <c r="O31">
        <v>1.1709291495815677E-2</v>
      </c>
      <c r="P31">
        <v>22.799999999999997</v>
      </c>
      <c r="Q31">
        <v>30.300000000000011</v>
      </c>
      <c r="R31">
        <v>1.6424631231031661E-2</v>
      </c>
    </row>
    <row r="32" spans="1:18" x14ac:dyDescent="0.2">
      <c r="A32" s="2">
        <v>42917</v>
      </c>
      <c r="B32">
        <v>4.5999999999999943</v>
      </c>
      <c r="C32">
        <v>2.5999999999999943</v>
      </c>
      <c r="D32">
        <f t="shared" si="0"/>
        <v>1.1999999999999886</v>
      </c>
      <c r="E32">
        <v>6.1112770249915904E-2</v>
      </c>
      <c r="F32">
        <v>0</v>
      </c>
      <c r="G32" s="3">
        <v>3.9</v>
      </c>
      <c r="H32">
        <v>3.25</v>
      </c>
      <c r="I32">
        <v>-0.43000000000000682</v>
      </c>
      <c r="J32">
        <v>0</v>
      </c>
      <c r="K32">
        <v>0.10503473084058701</v>
      </c>
      <c r="L32" s="4">
        <v>-4.9895972912121778E-3</v>
      </c>
      <c r="M32">
        <v>5.7135545107463992E-2</v>
      </c>
      <c r="N32">
        <v>-8.2194899509901518</v>
      </c>
      <c r="O32">
        <v>1.5937546986856788E-2</v>
      </c>
      <c r="P32">
        <v>9.7999999999999972</v>
      </c>
      <c r="Q32">
        <v>29.099999999999994</v>
      </c>
      <c r="R32">
        <v>3.0609813449960832E-2</v>
      </c>
    </row>
    <row r="33" spans="1:18" x14ac:dyDescent="0.2">
      <c r="A33" s="2">
        <v>42948</v>
      </c>
      <c r="B33">
        <v>5.0999999999999943</v>
      </c>
      <c r="C33">
        <v>0.40000000000000568</v>
      </c>
      <c r="D33">
        <f t="shared" si="0"/>
        <v>-2.1999999999999886</v>
      </c>
      <c r="E33">
        <v>4.4516933328778485E-2</v>
      </c>
      <c r="F33">
        <v>-0.19999999999999929</v>
      </c>
      <c r="G33" s="3">
        <v>3.3</v>
      </c>
      <c r="H33">
        <v>2.9699999999999989</v>
      </c>
      <c r="I33">
        <v>0.57999999999999829</v>
      </c>
      <c r="J33">
        <v>0</v>
      </c>
      <c r="K33">
        <v>9.0062605162290588E-2</v>
      </c>
      <c r="L33" s="4">
        <v>-7.5478700475112293E-3</v>
      </c>
      <c r="M33">
        <v>6.2318010124088108E-2</v>
      </c>
      <c r="N33">
        <v>-2.0304314188131087</v>
      </c>
      <c r="O33">
        <v>1.4946960892221028E-2</v>
      </c>
      <c r="P33">
        <v>25.799999999999997</v>
      </c>
      <c r="Q33">
        <v>21.700000000000003</v>
      </c>
      <c r="R33">
        <v>-1.3402597696554608E-3</v>
      </c>
    </row>
    <row r="34" spans="1:18" x14ac:dyDescent="0.2">
      <c r="A34" s="2">
        <v>42979</v>
      </c>
      <c r="B34">
        <v>4</v>
      </c>
      <c r="C34">
        <v>3.0999999999999943</v>
      </c>
      <c r="D34">
        <f t="shared" si="0"/>
        <v>2.6999999999999886</v>
      </c>
      <c r="E34">
        <v>5.1330536665355142E-2</v>
      </c>
      <c r="F34">
        <v>9.9999999999999645E-2</v>
      </c>
      <c r="G34" s="3">
        <v>3</v>
      </c>
      <c r="H34">
        <v>2.7600000000000051</v>
      </c>
      <c r="I34">
        <v>1.2399999999999949</v>
      </c>
      <c r="J34">
        <v>-0.5</v>
      </c>
      <c r="K34">
        <v>9.057995001606689E-2</v>
      </c>
      <c r="L34" s="4">
        <v>5.3335093635187292E-4</v>
      </c>
      <c r="M34">
        <v>7.889952023596658E-2</v>
      </c>
      <c r="N34">
        <v>2.7096803657442337</v>
      </c>
      <c r="O34">
        <v>1.3131327955486327E-2</v>
      </c>
      <c r="P34">
        <v>21.200000000000003</v>
      </c>
      <c r="Q34">
        <v>14.5</v>
      </c>
      <c r="R34">
        <v>-3.1837663361276469E-2</v>
      </c>
    </row>
    <row r="35" spans="1:18" x14ac:dyDescent="0.2">
      <c r="A35" s="2">
        <v>43009</v>
      </c>
      <c r="B35">
        <v>2.2999999999999972</v>
      </c>
      <c r="C35">
        <v>3.4000000000000057</v>
      </c>
      <c r="D35">
        <f t="shared" si="0"/>
        <v>0.30000000000001137</v>
      </c>
      <c r="E35">
        <v>6.1678046582195556E-2</v>
      </c>
      <c r="F35">
        <v>0</v>
      </c>
      <c r="G35" s="3">
        <v>2.7</v>
      </c>
      <c r="H35">
        <v>2.5100000000000051</v>
      </c>
      <c r="I35">
        <v>1.3299999999999983</v>
      </c>
      <c r="J35">
        <v>-0.25</v>
      </c>
      <c r="K35">
        <v>9.4708916856099057E-2</v>
      </c>
      <c r="L35" s="4">
        <v>6.6702427679501408E-3</v>
      </c>
      <c r="M35">
        <v>8.4996839020725412E-2</v>
      </c>
      <c r="N35">
        <v>0.55115563217844965</v>
      </c>
      <c r="O35">
        <v>1.8568619664218744E-3</v>
      </c>
      <c r="P35">
        <v>27.400000000000006</v>
      </c>
      <c r="Q35">
        <v>18.400000000000006</v>
      </c>
      <c r="R35">
        <v>-8.0799415098198324E-4</v>
      </c>
    </row>
    <row r="36" spans="1:18" x14ac:dyDescent="0.2">
      <c r="A36" s="2">
        <v>43040</v>
      </c>
      <c r="B36">
        <v>1.0999999999999943</v>
      </c>
      <c r="C36">
        <v>3.0999999999999943</v>
      </c>
      <c r="D36">
        <f t="shared" si="0"/>
        <v>-0.30000000000001137</v>
      </c>
      <c r="E36">
        <v>4.60002279598688E-2</v>
      </c>
      <c r="F36">
        <v>9.9999999999999645E-2</v>
      </c>
      <c r="G36" s="3">
        <v>2.5</v>
      </c>
      <c r="H36">
        <v>2.269999999999996</v>
      </c>
      <c r="I36">
        <v>0.51999999999999602</v>
      </c>
      <c r="J36">
        <v>0</v>
      </c>
      <c r="K36">
        <v>0.10032037892921863</v>
      </c>
      <c r="L36" s="4">
        <v>1.3076162141691272E-2</v>
      </c>
      <c r="M36">
        <v>9.5309560006282323E-2</v>
      </c>
      <c r="N36">
        <v>1.1210236912700253</v>
      </c>
      <c r="O36">
        <v>2.1421265749133056E-4</v>
      </c>
      <c r="P36">
        <v>26</v>
      </c>
      <c r="Q36">
        <v>25</v>
      </c>
      <c r="R36">
        <v>2.1068374791409994E-2</v>
      </c>
    </row>
    <row r="37" spans="1:18" x14ac:dyDescent="0.2">
      <c r="A37" s="2">
        <v>43070</v>
      </c>
      <c r="B37">
        <v>0.29999999999999716</v>
      </c>
      <c r="C37">
        <v>3.2999999999999972</v>
      </c>
      <c r="D37">
        <f t="shared" si="0"/>
        <v>0.20000000000000284</v>
      </c>
      <c r="E37">
        <v>5.9946955079769548E-2</v>
      </c>
      <c r="F37">
        <v>0</v>
      </c>
      <c r="G37" s="3">
        <v>2.5</v>
      </c>
      <c r="H37">
        <v>2.0999999999999943</v>
      </c>
      <c r="I37">
        <v>0.29000000000000625</v>
      </c>
      <c r="J37">
        <v>-0.5</v>
      </c>
      <c r="K37">
        <v>0.10104812738877</v>
      </c>
      <c r="L37" s="4">
        <v>8.2872943136256261E-3</v>
      </c>
      <c r="M37">
        <v>0.10867186658050776</v>
      </c>
      <c r="N37">
        <v>31.236799675301114</v>
      </c>
      <c r="O37">
        <v>1.5829998753597252E-2</v>
      </c>
      <c r="P37">
        <v>19.200000000000003</v>
      </c>
      <c r="Q37">
        <v>23.599999999999994</v>
      </c>
      <c r="R37">
        <v>-6.0033646521526762E-3</v>
      </c>
    </row>
    <row r="38" spans="1:18" x14ac:dyDescent="0.2">
      <c r="A38" s="2">
        <v>43101</v>
      </c>
      <c r="B38">
        <v>2.7000000000000028</v>
      </c>
      <c r="C38">
        <v>3</v>
      </c>
      <c r="D38">
        <f t="shared" si="0"/>
        <v>-0.29999999999999716</v>
      </c>
      <c r="E38">
        <v>0.12752985239622183</v>
      </c>
      <c r="F38">
        <v>0.10000000000000053</v>
      </c>
      <c r="G38" s="3">
        <v>2.2000000000000002</v>
      </c>
      <c r="H38">
        <v>1.9399999999999977</v>
      </c>
      <c r="I38">
        <v>6.0000000000002274E-2</v>
      </c>
      <c r="J38">
        <v>0</v>
      </c>
      <c r="K38">
        <v>0.10475788181077017</v>
      </c>
      <c r="L38" s="4">
        <v>1.038679631097672E-2</v>
      </c>
      <c r="M38">
        <v>0.12048368649105257</v>
      </c>
      <c r="N38">
        <v>-24.026599051622114</v>
      </c>
      <c r="O38">
        <v>2.5590669905604102E-3</v>
      </c>
      <c r="P38">
        <v>32.199999999999989</v>
      </c>
      <c r="Q38">
        <v>22.799999999999997</v>
      </c>
      <c r="R38">
        <v>-3.6081419585663355E-2</v>
      </c>
    </row>
    <row r="39" spans="1:18" x14ac:dyDescent="0.2">
      <c r="A39" s="2">
        <v>43132</v>
      </c>
      <c r="B39">
        <v>3.2000000000000028</v>
      </c>
      <c r="C39">
        <v>2.0999999999999943</v>
      </c>
      <c r="D39">
        <f t="shared" si="0"/>
        <v>-0.90000000000000568</v>
      </c>
      <c r="E39">
        <v>0.10992031510540934</v>
      </c>
      <c r="F39">
        <v>-0.20000000000000018</v>
      </c>
      <c r="G39" s="3">
        <v>2.2000000000000002</v>
      </c>
      <c r="H39">
        <v>1.8799999999999955</v>
      </c>
      <c r="I39">
        <v>0.78000000000000114</v>
      </c>
      <c r="J39">
        <v>-0.25</v>
      </c>
      <c r="K39">
        <v>9.4194501879073744E-2</v>
      </c>
      <c r="L39" s="4">
        <v>-2.5884647267815364E-4</v>
      </c>
      <c r="M39">
        <v>0.13772207466251096</v>
      </c>
      <c r="N39">
        <v>3.4393672794726484</v>
      </c>
      <c r="O39">
        <v>3.4059832080725272E-2</v>
      </c>
      <c r="P39">
        <v>21.200000000000003</v>
      </c>
      <c r="Q39">
        <v>23.599999999999994</v>
      </c>
      <c r="R39">
        <v>5.4473598990467664E-3</v>
      </c>
    </row>
    <row r="40" spans="1:18" x14ac:dyDescent="0.2">
      <c r="A40" s="2">
        <v>43160</v>
      </c>
      <c r="B40">
        <v>2.7000000000000028</v>
      </c>
      <c r="C40">
        <v>3</v>
      </c>
      <c r="D40">
        <f t="shared" si="0"/>
        <v>0.90000000000000568</v>
      </c>
      <c r="E40">
        <v>0.11257749531820482</v>
      </c>
      <c r="F40">
        <v>0</v>
      </c>
      <c r="G40" s="3">
        <v>2.4</v>
      </c>
      <c r="H40">
        <v>1.8400000000000034</v>
      </c>
      <c r="I40">
        <v>7.9999999999998295E-2</v>
      </c>
      <c r="J40">
        <v>-0.25</v>
      </c>
      <c r="K40">
        <v>9.3172148871166982E-2</v>
      </c>
      <c r="L40" s="4">
        <v>1.0092915306397776E-2</v>
      </c>
      <c r="M40">
        <v>0.14630421190187959</v>
      </c>
      <c r="N40">
        <v>4.4450087589315501</v>
      </c>
      <c r="O40">
        <v>1.3111209930709578E-2</v>
      </c>
      <c r="P40">
        <v>16.900000000000006</v>
      </c>
      <c r="Q40">
        <v>14</v>
      </c>
      <c r="R40">
        <v>4.5121495594795391E-3</v>
      </c>
    </row>
    <row r="41" spans="1:18" x14ac:dyDescent="0.2">
      <c r="A41" s="2">
        <v>43191</v>
      </c>
      <c r="B41">
        <v>3.2000000000000028</v>
      </c>
      <c r="C41">
        <v>3.2000000000000028</v>
      </c>
      <c r="D41">
        <f t="shared" si="0"/>
        <v>0.20000000000000284</v>
      </c>
      <c r="E41">
        <v>0.13256737672774044</v>
      </c>
      <c r="F41">
        <v>-9.9999999999999645E-2</v>
      </c>
      <c r="G41" s="3">
        <v>2.4</v>
      </c>
      <c r="H41">
        <v>1.9399999999999977</v>
      </c>
      <c r="I41">
        <v>1.8199999999999932</v>
      </c>
      <c r="J41">
        <v>0</v>
      </c>
      <c r="K41">
        <v>9.909481161058431E-2</v>
      </c>
      <c r="L41" s="4">
        <v>2.564461439287169E-2</v>
      </c>
      <c r="M41">
        <v>0.15821814335058182</v>
      </c>
      <c r="N41">
        <v>2.0141269042442076</v>
      </c>
      <c r="O41">
        <v>9.5455175511816037E-3</v>
      </c>
      <c r="P41">
        <v>38.300000000000011</v>
      </c>
      <c r="Q41">
        <v>14.900000000000006</v>
      </c>
      <c r="R41">
        <v>6.2927925151023523E-2</v>
      </c>
    </row>
    <row r="42" spans="1:18" x14ac:dyDescent="0.2">
      <c r="A42" s="2">
        <v>43221</v>
      </c>
      <c r="B42">
        <v>3.5</v>
      </c>
      <c r="C42">
        <v>2.9000000000000057</v>
      </c>
      <c r="D42">
        <f t="shared" si="0"/>
        <v>-0.29999999999999716</v>
      </c>
      <c r="E42">
        <v>0.12666447232541</v>
      </c>
      <c r="F42">
        <v>-0.20000000000000018</v>
      </c>
      <c r="G42" s="3">
        <v>2.4</v>
      </c>
      <c r="H42">
        <v>2.0400000000000063</v>
      </c>
      <c r="I42">
        <v>3.2999999999999972</v>
      </c>
      <c r="J42">
        <v>0</v>
      </c>
      <c r="K42">
        <v>0.11531322831648327</v>
      </c>
      <c r="L42" s="4">
        <v>4.226050513009727E-2</v>
      </c>
      <c r="M42">
        <v>0.16409027148296063</v>
      </c>
      <c r="N42">
        <v>1.2162845054237437</v>
      </c>
      <c r="O42">
        <v>4.1160167448826002E-3</v>
      </c>
      <c r="P42">
        <v>29.400000000000006</v>
      </c>
      <c r="Q42">
        <v>8.7000000000000028</v>
      </c>
      <c r="R42">
        <v>2.3757217076534332E-2</v>
      </c>
    </row>
    <row r="43" spans="1:18" x14ac:dyDescent="0.2">
      <c r="A43" s="2">
        <v>43252</v>
      </c>
      <c r="B43">
        <v>2.0999999999999943</v>
      </c>
      <c r="C43">
        <v>3.4000000000000057</v>
      </c>
      <c r="D43">
        <f t="shared" si="0"/>
        <v>0.5</v>
      </c>
      <c r="E43">
        <v>0.13633237411450572</v>
      </c>
      <c r="F43">
        <v>0</v>
      </c>
      <c r="G43" s="3">
        <v>2.2999999999999998</v>
      </c>
      <c r="H43">
        <v>2.269999999999996</v>
      </c>
      <c r="I43">
        <v>1.4699999999999989</v>
      </c>
      <c r="J43">
        <v>0</v>
      </c>
      <c r="K43">
        <v>0.10286784382319425</v>
      </c>
      <c r="L43" s="4">
        <v>4.7412635165416939E-2</v>
      </c>
      <c r="M43">
        <v>0.17820469267419647</v>
      </c>
      <c r="N43">
        <v>3.5143752129223316</v>
      </c>
      <c r="O43">
        <v>-7.0789494804373021E-3</v>
      </c>
      <c r="P43">
        <v>23.099999999999994</v>
      </c>
      <c r="Q43">
        <v>1.2000000000000028</v>
      </c>
      <c r="R43">
        <v>8.6017701880454212E-3</v>
      </c>
    </row>
    <row r="44" spans="1:18" x14ac:dyDescent="0.2">
      <c r="A44" s="2">
        <v>43282</v>
      </c>
      <c r="B44">
        <v>3.5</v>
      </c>
      <c r="C44">
        <v>2.7999999999999972</v>
      </c>
      <c r="D44">
        <f t="shared" si="0"/>
        <v>-0.60000000000000853</v>
      </c>
      <c r="E44">
        <v>0.12906701713935709</v>
      </c>
      <c r="F44">
        <v>0</v>
      </c>
      <c r="G44" s="3">
        <v>2.5</v>
      </c>
      <c r="H44">
        <v>2.4200000000000017</v>
      </c>
      <c r="I44">
        <v>0.40000000000000568</v>
      </c>
      <c r="J44">
        <v>0</v>
      </c>
      <c r="K44">
        <v>0.11366131750735065</v>
      </c>
      <c r="L44" s="4">
        <v>4.1000185037434855E-2</v>
      </c>
      <c r="M44">
        <v>0.18538976095156556</v>
      </c>
      <c r="N44">
        <v>-7.7403852187050717</v>
      </c>
      <c r="O44">
        <v>2.3867158574830682E-4</v>
      </c>
      <c r="P44">
        <v>39.5</v>
      </c>
      <c r="Q44">
        <v>1.9000000000000057</v>
      </c>
      <c r="R44">
        <v>1.4875831870950762E-3</v>
      </c>
    </row>
    <row r="45" spans="1:18" x14ac:dyDescent="0.2">
      <c r="A45" s="2">
        <v>43313</v>
      </c>
      <c r="B45">
        <v>2.7999999999999972</v>
      </c>
      <c r="C45">
        <v>3</v>
      </c>
      <c r="D45">
        <f t="shared" si="0"/>
        <v>0.20000000000000284</v>
      </c>
      <c r="E45">
        <v>0.11521317374620144</v>
      </c>
      <c r="F45">
        <v>-0.10000000000000053</v>
      </c>
      <c r="G45" s="3">
        <v>3.1</v>
      </c>
      <c r="H45">
        <v>2.6299999999999955</v>
      </c>
      <c r="I45">
        <v>0.68000000000000682</v>
      </c>
      <c r="J45">
        <v>0</v>
      </c>
      <c r="K45">
        <v>0.11801497285422591</v>
      </c>
      <c r="L45" s="4">
        <v>3.1980284778052814E-2</v>
      </c>
      <c r="M45">
        <v>0.1936435591565735</v>
      </c>
      <c r="N45">
        <v>-2.4850736013944754</v>
      </c>
      <c r="O45">
        <v>2.8050447948739787E-3</v>
      </c>
      <c r="P45">
        <v>29.099999999999994</v>
      </c>
      <c r="Q45">
        <v>-3.5</v>
      </c>
      <c r="R45">
        <v>4.9870765580148024E-2</v>
      </c>
    </row>
    <row r="46" spans="1:18" x14ac:dyDescent="0.2">
      <c r="A46" s="2">
        <v>43344</v>
      </c>
      <c r="B46">
        <v>2.2999999999999972</v>
      </c>
      <c r="C46">
        <v>2.2999999999999972</v>
      </c>
      <c r="D46">
        <f t="shared" si="0"/>
        <v>-0.70000000000000284</v>
      </c>
      <c r="E46">
        <v>0.10583197453884119</v>
      </c>
      <c r="F46">
        <v>-9.9999999999999645E-2</v>
      </c>
      <c r="G46" s="3">
        <v>3.4</v>
      </c>
      <c r="H46">
        <v>2.7900000000000063</v>
      </c>
      <c r="I46">
        <v>1.4599999999999937</v>
      </c>
      <c r="J46">
        <v>0.25</v>
      </c>
      <c r="K46">
        <v>0.12558632193972752</v>
      </c>
      <c r="L46" s="4">
        <v>6.5575177381381744E-2</v>
      </c>
      <c r="M46">
        <v>0.20131991077015199</v>
      </c>
      <c r="N46">
        <v>0.83157145745005323</v>
      </c>
      <c r="O46">
        <v>5.6235024052000426E-3</v>
      </c>
      <c r="P46">
        <v>25.799999999999997</v>
      </c>
      <c r="Q46">
        <v>-3.5999999999999943</v>
      </c>
      <c r="R46">
        <v>2.3773465671068195E-2</v>
      </c>
    </row>
    <row r="47" spans="1:18" x14ac:dyDescent="0.2">
      <c r="A47" s="2">
        <v>43374</v>
      </c>
      <c r="B47">
        <v>5.2999999999999972</v>
      </c>
      <c r="C47">
        <v>2.2000000000000028</v>
      </c>
      <c r="D47">
        <f t="shared" si="0"/>
        <v>-9.9999999999994316E-2</v>
      </c>
      <c r="E47">
        <v>0.10119054281637041</v>
      </c>
      <c r="F47">
        <v>0.20000000000000018</v>
      </c>
      <c r="G47" s="3">
        <v>3.5</v>
      </c>
      <c r="H47">
        <v>3.0900000000000034</v>
      </c>
      <c r="I47">
        <v>1.6400000000000006</v>
      </c>
      <c r="J47">
        <v>0</v>
      </c>
      <c r="K47">
        <v>0.11830425829172575</v>
      </c>
      <c r="L47" s="4">
        <v>5.863129375232079E-2</v>
      </c>
      <c r="M47">
        <v>0.20979066817117542</v>
      </c>
      <c r="N47">
        <v>0.98080855769549657</v>
      </c>
      <c r="O47">
        <v>-3.157286228161027E-3</v>
      </c>
      <c r="P47">
        <v>31.199999999999989</v>
      </c>
      <c r="Q47">
        <v>-9.9999999999994316E-2</v>
      </c>
      <c r="R47">
        <v>-2.7137068460516112E-2</v>
      </c>
    </row>
    <row r="48" spans="1:18" x14ac:dyDescent="0.2">
      <c r="A48" s="2">
        <v>43405</v>
      </c>
      <c r="B48">
        <v>4.4000000000000057</v>
      </c>
      <c r="C48">
        <v>3.2999999999999972</v>
      </c>
      <c r="D48">
        <f t="shared" si="0"/>
        <v>1.0999999999999943</v>
      </c>
      <c r="E48">
        <v>0.10665177095614964</v>
      </c>
      <c r="F48">
        <v>9.9999999999999645E-2</v>
      </c>
      <c r="G48" s="3">
        <v>3.8</v>
      </c>
      <c r="H48">
        <v>3.3700000000000045</v>
      </c>
      <c r="I48">
        <v>0.25</v>
      </c>
      <c r="J48">
        <v>0</v>
      </c>
      <c r="K48">
        <v>0.11475056945552398</v>
      </c>
      <c r="L48" s="4">
        <v>5.1856295229518068E-2</v>
      </c>
      <c r="M48">
        <v>0.21541711300277444</v>
      </c>
      <c r="N48">
        <v>0.12148003460102075</v>
      </c>
      <c r="O48">
        <v>8.7077110101319022E-4</v>
      </c>
      <c r="P48">
        <v>20.5</v>
      </c>
      <c r="Q48">
        <v>-3.2999999999999972</v>
      </c>
      <c r="R48">
        <v>7.5812009780520384E-3</v>
      </c>
    </row>
    <row r="49" spans="1:18" x14ac:dyDescent="0.2">
      <c r="A49" s="2">
        <v>43435</v>
      </c>
      <c r="B49">
        <v>6.4000000000000057</v>
      </c>
      <c r="C49">
        <v>2.7000000000000028</v>
      </c>
      <c r="D49">
        <f t="shared" si="0"/>
        <v>-0.59999999999999432</v>
      </c>
      <c r="E49">
        <v>0.10057191920352326</v>
      </c>
      <c r="F49">
        <v>0.10000000000000053</v>
      </c>
      <c r="G49" s="3">
        <v>4.3</v>
      </c>
      <c r="H49">
        <v>3.6899999999999977</v>
      </c>
      <c r="I49">
        <v>-2.0400000000000063</v>
      </c>
      <c r="J49">
        <v>0.25</v>
      </c>
      <c r="K49">
        <v>0.11911659785523732</v>
      </c>
      <c r="L49" s="4">
        <v>4.5971839678893511E-2</v>
      </c>
      <c r="M49">
        <v>0.22229486413720645</v>
      </c>
      <c r="N49">
        <v>29.372985094075091</v>
      </c>
      <c r="O49">
        <v>5.5139360266469595E-3</v>
      </c>
      <c r="P49">
        <v>11</v>
      </c>
      <c r="Q49">
        <v>-7.2000000000000028</v>
      </c>
      <c r="R49">
        <v>1.4655440643316808E-2</v>
      </c>
    </row>
    <row r="50" spans="1:18" x14ac:dyDescent="0.2">
      <c r="A50" s="2">
        <v>43466</v>
      </c>
      <c r="B50">
        <v>2.7000000000000028</v>
      </c>
      <c r="C50">
        <v>2.2000000000000028</v>
      </c>
      <c r="D50">
        <f t="shared" si="0"/>
        <v>-0.5</v>
      </c>
      <c r="E50">
        <v>6.1946317771874426E-2</v>
      </c>
      <c r="F50">
        <v>0</v>
      </c>
      <c r="G50" s="3">
        <v>5</v>
      </c>
      <c r="H50">
        <v>4.1299999999999955</v>
      </c>
      <c r="I50">
        <v>-1.4300000000000068</v>
      </c>
      <c r="J50">
        <v>0</v>
      </c>
      <c r="K50">
        <v>0.10996251939342661</v>
      </c>
      <c r="L50" s="4">
        <v>6.9251901428339036E-2</v>
      </c>
      <c r="M50">
        <v>0.22001547743044281</v>
      </c>
      <c r="N50">
        <v>-24.705570787681211</v>
      </c>
      <c r="O50">
        <v>1.3735455289141996E-2</v>
      </c>
      <c r="P50">
        <v>-8.2999999999999972</v>
      </c>
      <c r="Q50">
        <v>-2.0999999999999943</v>
      </c>
      <c r="R50">
        <v>-1.2294261048293009E-2</v>
      </c>
    </row>
    <row r="51" spans="1:18" x14ac:dyDescent="0.2">
      <c r="A51" s="2">
        <v>43497</v>
      </c>
      <c r="B51">
        <v>4.2000000000000028</v>
      </c>
      <c r="C51">
        <v>2.2999999999999972</v>
      </c>
      <c r="D51">
        <f t="shared" si="0"/>
        <v>9.9999999999994316E-2</v>
      </c>
      <c r="E51">
        <v>8.1457942489012503E-2</v>
      </c>
      <c r="F51">
        <v>0</v>
      </c>
      <c r="G51" s="3">
        <v>5.2</v>
      </c>
      <c r="H51">
        <v>4.3900000000000006</v>
      </c>
      <c r="I51">
        <v>-0.57999999999999829</v>
      </c>
      <c r="J51">
        <v>0</v>
      </c>
      <c r="K51">
        <v>9.9164628494558427E-2</v>
      </c>
      <c r="L51" s="4">
        <v>8.7324886619613906E-2</v>
      </c>
      <c r="M51">
        <v>0.24108738845896038</v>
      </c>
      <c r="N51">
        <v>1.4445796989526656</v>
      </c>
      <c r="O51">
        <v>1.577687207401901E-2</v>
      </c>
      <c r="P51">
        <v>11</v>
      </c>
      <c r="Q51">
        <v>-5</v>
      </c>
      <c r="R51">
        <v>-1.061077774614283E-2</v>
      </c>
    </row>
    <row r="52" spans="1:18" x14ac:dyDescent="0.2">
      <c r="A52" s="2">
        <v>43525</v>
      </c>
      <c r="B52">
        <v>2.7000000000000028</v>
      </c>
      <c r="C52">
        <v>2.4000000000000057</v>
      </c>
      <c r="D52">
        <f t="shared" si="0"/>
        <v>0.10000000000000853</v>
      </c>
      <c r="E52">
        <v>7.0587369388183996E-2</v>
      </c>
      <c r="F52">
        <v>-0.20000000000000018</v>
      </c>
      <c r="G52" s="3">
        <v>5.3</v>
      </c>
      <c r="H52">
        <v>4.5999999999999943</v>
      </c>
      <c r="I52">
        <v>-0.39000000000000057</v>
      </c>
      <c r="J52">
        <v>0</v>
      </c>
      <c r="K52">
        <v>9.9139656761714878E-2</v>
      </c>
      <c r="L52" s="4">
        <v>9.508709187847364E-2</v>
      </c>
      <c r="M52">
        <v>0.24236887371469296</v>
      </c>
      <c r="N52">
        <v>7.2314772050270761</v>
      </c>
      <c r="O52">
        <v>1.3906572733372258E-2</v>
      </c>
      <c r="P52">
        <v>1.0999999999999943</v>
      </c>
      <c r="Q52">
        <v>-3.5</v>
      </c>
      <c r="R52">
        <v>-1.097417570411352E-2</v>
      </c>
    </row>
    <row r="53" spans="1:18" x14ac:dyDescent="0.2">
      <c r="A53" s="2">
        <v>43556</v>
      </c>
      <c r="B53">
        <v>5.2000000000000028</v>
      </c>
      <c r="C53">
        <v>2</v>
      </c>
      <c r="D53">
        <f t="shared" si="0"/>
        <v>-0.40000000000000568</v>
      </c>
      <c r="E53">
        <v>7.2971659453345383E-2</v>
      </c>
      <c r="F53">
        <v>0</v>
      </c>
      <c r="G53" s="3">
        <v>5.2</v>
      </c>
      <c r="H53">
        <v>4.6099999999999994</v>
      </c>
      <c r="I53">
        <v>0.48999999999999488</v>
      </c>
      <c r="J53">
        <v>0</v>
      </c>
      <c r="K53">
        <v>8.8852550848105283E-2</v>
      </c>
      <c r="L53" s="4">
        <v>8.2919810743801836E-2</v>
      </c>
      <c r="M53">
        <v>0.23639377080587543</v>
      </c>
      <c r="N53">
        <v>3.3821134936580393</v>
      </c>
      <c r="O53">
        <v>1.0702761754082246E-2</v>
      </c>
      <c r="P53">
        <v>1.9000000000000057</v>
      </c>
      <c r="Q53">
        <v>4.9000000000000057</v>
      </c>
      <c r="R53">
        <v>-7.5431332796682682E-3</v>
      </c>
    </row>
    <row r="54" spans="1:18" x14ac:dyDescent="0.2">
      <c r="A54" s="2">
        <v>43586</v>
      </c>
      <c r="B54">
        <v>1</v>
      </c>
      <c r="C54">
        <v>1.9000000000000057</v>
      </c>
      <c r="D54">
        <f t="shared" si="0"/>
        <v>-9.9999999999994316E-2</v>
      </c>
      <c r="E54">
        <v>6.843214225302563E-2</v>
      </c>
      <c r="F54">
        <v>-0.10000000000000053</v>
      </c>
      <c r="G54" s="3">
        <v>5.0999999999999996</v>
      </c>
      <c r="H54">
        <v>4.6800000000000068</v>
      </c>
      <c r="I54">
        <v>1.5499999999999972</v>
      </c>
      <c r="J54">
        <v>0</v>
      </c>
      <c r="K54">
        <v>7.6873333195586424E-2</v>
      </c>
      <c r="L54" s="4">
        <v>6.1993162878641206E-2</v>
      </c>
      <c r="M54">
        <v>0.23955172400171931</v>
      </c>
      <c r="N54">
        <v>-0.55389944346499931</v>
      </c>
      <c r="O54">
        <v>6.7117019802847011E-3</v>
      </c>
      <c r="P54">
        <v>-11.099999999999994</v>
      </c>
      <c r="Q54">
        <v>-7</v>
      </c>
      <c r="R54">
        <v>3.3317567195734199E-3</v>
      </c>
    </row>
    <row r="55" spans="1:18" x14ac:dyDescent="0.2">
      <c r="A55" s="2">
        <v>43617</v>
      </c>
      <c r="B55">
        <v>3.2000000000000028</v>
      </c>
      <c r="C55">
        <v>1.7999999999999972</v>
      </c>
      <c r="D55">
        <f t="shared" si="0"/>
        <v>-0.10000000000000853</v>
      </c>
      <c r="E55">
        <v>5.5443245540545361E-2</v>
      </c>
      <c r="F55">
        <v>-0.19999999999999929</v>
      </c>
      <c r="G55" s="3">
        <v>4.7</v>
      </c>
      <c r="H55">
        <v>4.5600000000000023</v>
      </c>
      <c r="I55">
        <v>-1.9999999999996021E-2</v>
      </c>
      <c r="J55">
        <v>-0.25</v>
      </c>
      <c r="K55">
        <v>8.0423366213522307E-2</v>
      </c>
      <c r="L55" s="4">
        <v>6.0426310356245461E-2</v>
      </c>
      <c r="M55">
        <v>0.23564347750544923</v>
      </c>
      <c r="N55">
        <v>2.9252891208104188</v>
      </c>
      <c r="O55">
        <v>8.4030018332992285E-3</v>
      </c>
      <c r="P55">
        <v>-10.900000000000006</v>
      </c>
      <c r="Q55">
        <v>-5.2000000000000028</v>
      </c>
      <c r="R55">
        <v>-1.0073220455923071E-2</v>
      </c>
    </row>
    <row r="56" spans="1:18" x14ac:dyDescent="0.2">
      <c r="A56" s="2">
        <v>43647</v>
      </c>
      <c r="B56">
        <v>4.2999999999999972</v>
      </c>
      <c r="C56">
        <v>1.5</v>
      </c>
      <c r="D56">
        <f t="shared" si="0"/>
        <v>-0.29999999999999716</v>
      </c>
      <c r="E56">
        <v>6.1019395447093672E-2</v>
      </c>
      <c r="F56">
        <v>9.9999999999999645E-2</v>
      </c>
      <c r="G56" s="3">
        <v>4.5999999999999996</v>
      </c>
      <c r="H56">
        <v>4.480000000000004</v>
      </c>
      <c r="I56">
        <v>-0.32999999999999829</v>
      </c>
      <c r="J56">
        <v>-0.25</v>
      </c>
      <c r="K56">
        <v>7.3031862821637761E-2</v>
      </c>
      <c r="L56" s="4">
        <v>5.3853228476393289E-2</v>
      </c>
      <c r="M56">
        <v>0.23098809175611779</v>
      </c>
      <c r="N56">
        <v>-5.9401208072656004</v>
      </c>
      <c r="O56">
        <v>4.5649429396076968E-2</v>
      </c>
      <c r="P56">
        <v>-2.9000000000000057</v>
      </c>
      <c r="Q56">
        <v>5</v>
      </c>
      <c r="R56">
        <v>-1.4857880931530509E-2</v>
      </c>
    </row>
    <row r="57" spans="1:18" x14ac:dyDescent="0.2">
      <c r="A57" s="2">
        <v>43678</v>
      </c>
      <c r="B57">
        <v>3.9000000000000057</v>
      </c>
      <c r="C57">
        <v>1.0999999999999943</v>
      </c>
      <c r="D57">
        <f t="shared" si="0"/>
        <v>-0.40000000000000568</v>
      </c>
      <c r="E57">
        <v>6.650485325831923E-2</v>
      </c>
      <c r="F57">
        <v>-0.20000000000000018</v>
      </c>
      <c r="G57" s="3">
        <v>4.3</v>
      </c>
      <c r="H57">
        <v>4.2900000000000063</v>
      </c>
      <c r="I57">
        <v>-0.68999999999999773</v>
      </c>
      <c r="J57">
        <v>0</v>
      </c>
      <c r="K57">
        <v>7.8362991644916002E-2</v>
      </c>
      <c r="L57" s="4">
        <v>5.1269051125548915E-2</v>
      </c>
      <c r="M57">
        <v>0.22230994112452751</v>
      </c>
      <c r="N57">
        <v>-3.095876968561484</v>
      </c>
      <c r="O57">
        <v>2.7625817061078806E-3</v>
      </c>
      <c r="P57">
        <v>-8.5999999999999943</v>
      </c>
      <c r="Q57">
        <v>1.2000000000000028</v>
      </c>
      <c r="R57">
        <v>3.6721737555359013E-2</v>
      </c>
    </row>
    <row r="58" spans="1:18" x14ac:dyDescent="0.2">
      <c r="A58" s="2">
        <v>43709</v>
      </c>
      <c r="B58">
        <v>5</v>
      </c>
      <c r="C58">
        <v>0.90000000000000568</v>
      </c>
      <c r="D58">
        <f t="shared" si="0"/>
        <v>-0.19999999999998863</v>
      </c>
      <c r="E58">
        <v>7.099020487512564E-2</v>
      </c>
      <c r="F58">
        <v>0.20000000000000018</v>
      </c>
      <c r="G58" s="3">
        <v>4</v>
      </c>
      <c r="H58">
        <v>3.9599999999999937</v>
      </c>
      <c r="I58">
        <v>-4.0000000000006253E-2</v>
      </c>
      <c r="J58">
        <v>-0.25</v>
      </c>
      <c r="K58">
        <v>7.2490679341584041E-2</v>
      </c>
      <c r="L58" s="4">
        <v>3.8256103026265365E-2</v>
      </c>
      <c r="M58">
        <v>0.21612504440421731</v>
      </c>
      <c r="N58">
        <v>1.4514074972307185</v>
      </c>
      <c r="O58">
        <v>1.7706968621597596E-2</v>
      </c>
      <c r="P58">
        <v>-8.2999999999999972</v>
      </c>
      <c r="Q58">
        <v>5.7000000000000028</v>
      </c>
      <c r="R58">
        <v>-9.6331035410388566E-3</v>
      </c>
    </row>
    <row r="59" spans="1:18" x14ac:dyDescent="0.2">
      <c r="A59" s="2">
        <v>43739</v>
      </c>
      <c r="B59">
        <v>4.4000000000000057</v>
      </c>
      <c r="C59">
        <v>1.9000000000000057</v>
      </c>
      <c r="D59">
        <f t="shared" si="0"/>
        <v>1</v>
      </c>
      <c r="E59">
        <v>7.06800785424746E-2</v>
      </c>
      <c r="F59">
        <v>9.9999999999999645E-2</v>
      </c>
      <c r="G59" s="3">
        <v>3.8</v>
      </c>
      <c r="H59">
        <v>3.6800000000000068</v>
      </c>
      <c r="I59">
        <v>1.0000000000005116E-2</v>
      </c>
      <c r="J59">
        <v>-0.5</v>
      </c>
      <c r="K59">
        <v>9.068164331812989E-2</v>
      </c>
      <c r="L59" s="4">
        <v>3.9809294603041279E-2</v>
      </c>
      <c r="M59">
        <v>0.21013002686758009</v>
      </c>
      <c r="N59">
        <v>2.0808421472170835</v>
      </c>
      <c r="O59">
        <v>3.4716819490867579E-3</v>
      </c>
      <c r="P59">
        <v>-10.5</v>
      </c>
      <c r="Q59">
        <v>10.900000000000006</v>
      </c>
      <c r="R59">
        <v>-9.0265364040833518E-3</v>
      </c>
    </row>
    <row r="60" spans="1:18" x14ac:dyDescent="0.2">
      <c r="A60" s="2">
        <v>43770</v>
      </c>
      <c r="B60">
        <v>1.5</v>
      </c>
      <c r="C60">
        <v>2.5999999999999943</v>
      </c>
      <c r="D60">
        <f t="shared" si="0"/>
        <v>0.69999999999998863</v>
      </c>
      <c r="E60">
        <v>6.1853097199907614E-2</v>
      </c>
      <c r="F60">
        <v>0</v>
      </c>
      <c r="G60" s="3">
        <v>3.5</v>
      </c>
      <c r="H60">
        <v>3.480000000000004</v>
      </c>
      <c r="I60">
        <v>-0.93999999999999773</v>
      </c>
      <c r="J60">
        <v>0</v>
      </c>
      <c r="K60">
        <v>8.73913652198961E-2</v>
      </c>
      <c r="L60" s="4">
        <v>4.7276934709451046E-2</v>
      </c>
      <c r="M60">
        <v>0.20090496987406969</v>
      </c>
      <c r="N60">
        <v>-0.84576436530893773</v>
      </c>
      <c r="O60">
        <v>1.8648846172284905E-2</v>
      </c>
      <c r="P60">
        <v>-11.200000000000003</v>
      </c>
      <c r="Q60">
        <v>9.0999999999999943</v>
      </c>
      <c r="R60">
        <v>-7.9205638531680833E-3</v>
      </c>
    </row>
    <row r="61" spans="1:18" x14ac:dyDescent="0.2">
      <c r="A61" s="2">
        <v>43800</v>
      </c>
      <c r="B61">
        <v>2.5999999999999943</v>
      </c>
      <c r="C61">
        <v>1.7999999999999972</v>
      </c>
      <c r="D61">
        <f t="shared" si="0"/>
        <v>-0.79999999999999716</v>
      </c>
      <c r="E61">
        <v>6.783690673865217E-2</v>
      </c>
      <c r="F61">
        <v>0</v>
      </c>
      <c r="G61" s="3">
        <v>3</v>
      </c>
      <c r="H61">
        <v>4.1599999999999966</v>
      </c>
      <c r="I61">
        <v>-1.1099999999999994</v>
      </c>
      <c r="J61">
        <v>-0.25</v>
      </c>
      <c r="K61">
        <v>9.5876956367884514E-2</v>
      </c>
      <c r="L61" s="4">
        <v>4.5147716041811004E-2</v>
      </c>
      <c r="M61">
        <v>0.18965779008723804</v>
      </c>
      <c r="N61">
        <v>33.988395940045592</v>
      </c>
      <c r="O61">
        <v>2.0536580601842047E-3</v>
      </c>
      <c r="P61">
        <v>-4</v>
      </c>
      <c r="Q61">
        <v>8.5</v>
      </c>
      <c r="R61">
        <v>-1.4741331287725146E-2</v>
      </c>
    </row>
    <row r="62" spans="1:18" x14ac:dyDescent="0.2">
      <c r="A62" s="2">
        <v>43831</v>
      </c>
      <c r="B62">
        <v>1.5999999999999943</v>
      </c>
      <c r="C62">
        <v>2.7999999999999972</v>
      </c>
      <c r="D62">
        <f t="shared" si="0"/>
        <v>1</v>
      </c>
      <c r="E62">
        <v>7.0431431955408463E-2</v>
      </c>
      <c r="F62">
        <v>0</v>
      </c>
      <c r="G62" s="3">
        <v>2.4</v>
      </c>
      <c r="H62">
        <v>2.6599999999999966</v>
      </c>
      <c r="I62">
        <v>0.56000000000000227</v>
      </c>
      <c r="J62">
        <v>0</v>
      </c>
      <c r="K62">
        <v>9.660597790214065E-2</v>
      </c>
      <c r="L62" s="4">
        <v>2.9620524599148101E-2</v>
      </c>
      <c r="M62">
        <v>0.18862297974959419</v>
      </c>
      <c r="N62">
        <v>-25.307314397474926</v>
      </c>
      <c r="O62">
        <v>2.2492985773689966E-2</v>
      </c>
      <c r="P62">
        <v>-0.79999999999999716</v>
      </c>
      <c r="Q62">
        <v>4.4000000000000057</v>
      </c>
      <c r="R62">
        <v>-1.7963429265641651E-2</v>
      </c>
    </row>
    <row r="63" spans="1:18" x14ac:dyDescent="0.2">
      <c r="A63" s="2">
        <v>43862</v>
      </c>
      <c r="B63">
        <v>5.0999999999999943</v>
      </c>
      <c r="C63">
        <v>4.9000000000000057</v>
      </c>
      <c r="D63">
        <f t="shared" si="0"/>
        <v>2.1000000000000085</v>
      </c>
      <c r="E63">
        <v>6.5567983534456475E-2</v>
      </c>
      <c r="F63">
        <v>0</v>
      </c>
      <c r="G63" s="3">
        <v>2.2999999999999998</v>
      </c>
      <c r="H63">
        <v>2.4000000000000057</v>
      </c>
      <c r="I63">
        <v>9.9999999999994316E-2</v>
      </c>
      <c r="J63">
        <v>-0.25</v>
      </c>
      <c r="K63">
        <v>0.10716692354208002</v>
      </c>
      <c r="L63" s="4">
        <v>2.2756632262953103E-2</v>
      </c>
      <c r="M63">
        <v>0.16340139001941933</v>
      </c>
      <c r="N63">
        <v>0.91489030035639018</v>
      </c>
      <c r="O63">
        <v>1.4233694384815365E-2</v>
      </c>
      <c r="P63">
        <v>-17.400000000000006</v>
      </c>
      <c r="Q63">
        <v>1.5</v>
      </c>
      <c r="R63">
        <v>3.4466727543388309E-2</v>
      </c>
    </row>
    <row r="64" spans="1:18" x14ac:dyDescent="0.2">
      <c r="A64" s="2">
        <v>43891</v>
      </c>
      <c r="B64">
        <v>2.7999999999999972</v>
      </c>
      <c r="C64">
        <v>6.9000000000000057</v>
      </c>
      <c r="D64">
        <f t="shared" si="0"/>
        <v>2</v>
      </c>
      <c r="E64">
        <v>-1.0533675423264777E-2</v>
      </c>
      <c r="F64">
        <v>0</v>
      </c>
      <c r="G64" s="3">
        <v>2.5</v>
      </c>
      <c r="H64">
        <v>2.6099999999999994</v>
      </c>
      <c r="I64">
        <v>0.31000000000000227</v>
      </c>
      <c r="J64">
        <v>0</v>
      </c>
      <c r="K64">
        <v>0.11034969139251216</v>
      </c>
      <c r="L64" s="4">
        <v>2.8183211536469077E-2</v>
      </c>
      <c r="M64">
        <v>0.1659107516262357</v>
      </c>
      <c r="N64">
        <v>7.2208283723233677</v>
      </c>
      <c r="O64">
        <v>1.425837288553744E-2</v>
      </c>
      <c r="P64">
        <v>-19.099999999999994</v>
      </c>
      <c r="Q64">
        <v>-2</v>
      </c>
      <c r="R64">
        <v>0.14169993797752856</v>
      </c>
    </row>
    <row r="65" spans="1:18" x14ac:dyDescent="0.2">
      <c r="A65" s="2">
        <v>43922</v>
      </c>
      <c r="B65">
        <v>-4.4000000000000057</v>
      </c>
      <c r="C65">
        <v>-22</v>
      </c>
      <c r="D65">
        <f t="shared" si="0"/>
        <v>-28.900000000000006</v>
      </c>
      <c r="E65">
        <v>-0.34815439750508115</v>
      </c>
      <c r="F65">
        <v>1.2000000000000002</v>
      </c>
      <c r="G65" s="3">
        <v>3.1</v>
      </c>
      <c r="H65">
        <v>2.8599999999999994</v>
      </c>
      <c r="I65">
        <v>-2.7099999999999937</v>
      </c>
      <c r="J65">
        <v>-0.5</v>
      </c>
      <c r="K65">
        <v>0.13405943917035357</v>
      </c>
      <c r="L65" s="4">
        <v>8.0305281271577655E-2</v>
      </c>
      <c r="M65">
        <v>0.1687687567564442</v>
      </c>
      <c r="N65">
        <v>-4.0185898623446121</v>
      </c>
      <c r="O65">
        <v>-1.2185141073594252E-2</v>
      </c>
      <c r="P65">
        <v>-31.900000000000006</v>
      </c>
      <c r="Q65">
        <v>-20.299999999999997</v>
      </c>
      <c r="R65">
        <v>1.4063678800984469E-2</v>
      </c>
    </row>
    <row r="66" spans="1:18" x14ac:dyDescent="0.2">
      <c r="A66" s="2">
        <v>43952</v>
      </c>
      <c r="B66">
        <v>-7.7000000000000028</v>
      </c>
      <c r="C66">
        <v>-17.5</v>
      </c>
      <c r="D66">
        <f t="shared" si="0"/>
        <v>4.5</v>
      </c>
      <c r="E66">
        <v>-0.35657198998300721</v>
      </c>
      <c r="F66">
        <v>0.29999999999999982</v>
      </c>
      <c r="G66" s="3">
        <v>3</v>
      </c>
      <c r="H66">
        <v>2.8499999999999943</v>
      </c>
      <c r="I66">
        <v>-0.28000000000000114</v>
      </c>
      <c r="J66">
        <v>0</v>
      </c>
      <c r="K66">
        <v>0.14027833001303081</v>
      </c>
      <c r="L66" s="4">
        <v>7.1446967084714652E-2</v>
      </c>
      <c r="M66">
        <v>0.14091337616205446</v>
      </c>
      <c r="N66">
        <v>2.6444112193876066</v>
      </c>
      <c r="O66">
        <v>4.4958618780839288E-3</v>
      </c>
      <c r="P66">
        <v>-35.400000000000006</v>
      </c>
      <c r="Q66">
        <v>-13.299999999999997</v>
      </c>
      <c r="R66">
        <v>-3.0739620666102141E-2</v>
      </c>
    </row>
    <row r="67" spans="1:18" x14ac:dyDescent="0.2">
      <c r="A67" s="2">
        <v>43983</v>
      </c>
      <c r="B67">
        <v>-6.5999999999999943</v>
      </c>
      <c r="C67">
        <v>-6.0999999999999943</v>
      </c>
      <c r="D67">
        <f t="shared" ref="D67:D130" si="1">C67-C66</f>
        <v>11.400000000000006</v>
      </c>
      <c r="E67">
        <v>-0.27291350948714976</v>
      </c>
      <c r="F67">
        <v>0.10000000000000053</v>
      </c>
      <c r="G67" s="3">
        <v>3.2</v>
      </c>
      <c r="H67">
        <v>2.8900000000000006</v>
      </c>
      <c r="I67">
        <v>1.5999999999999943</v>
      </c>
      <c r="J67">
        <v>-1</v>
      </c>
      <c r="K67">
        <v>0.13544940087400725</v>
      </c>
      <c r="L67" s="4">
        <v>6.3177100176529999E-2</v>
      </c>
      <c r="M67">
        <v>0.12647025154191294</v>
      </c>
      <c r="N67">
        <v>2.4872274974935493</v>
      </c>
      <c r="O67">
        <v>2.155199072788605E-4</v>
      </c>
      <c r="P67">
        <v>-24.400000000000006</v>
      </c>
      <c r="Q67">
        <v>-4.2000000000000028</v>
      </c>
      <c r="R67">
        <v>-4.6637232756493674E-2</v>
      </c>
    </row>
    <row r="68" spans="1:18" x14ac:dyDescent="0.2">
      <c r="A68" s="2">
        <v>44013</v>
      </c>
      <c r="B68">
        <v>-5.5999999999999943</v>
      </c>
      <c r="C68">
        <v>-0.5</v>
      </c>
      <c r="D68">
        <f t="shared" si="1"/>
        <v>5.5999999999999943</v>
      </c>
      <c r="E68">
        <v>-0.176911723693434</v>
      </c>
      <c r="F68">
        <v>9.9999999999999645E-2</v>
      </c>
      <c r="G68" s="3">
        <v>3.4</v>
      </c>
      <c r="H68">
        <v>2.9500000000000028</v>
      </c>
      <c r="I68">
        <v>1.6700000000000017</v>
      </c>
      <c r="J68">
        <v>-0.25</v>
      </c>
      <c r="K68">
        <v>0.14875061835547054</v>
      </c>
      <c r="L68" s="4">
        <v>7.0904466953789713E-2</v>
      </c>
      <c r="M68">
        <v>0.12047171846859595</v>
      </c>
      <c r="N68">
        <v>-4.1304061251105679</v>
      </c>
      <c r="O68">
        <v>4.8246534575095978E-3</v>
      </c>
      <c r="P68">
        <v>-26.200000000000003</v>
      </c>
      <c r="Q68">
        <v>-11.5</v>
      </c>
      <c r="R68">
        <v>2.9859818743377176E-2</v>
      </c>
    </row>
    <row r="69" spans="1:18" x14ac:dyDescent="0.2">
      <c r="A69" s="2">
        <v>44044</v>
      </c>
      <c r="B69">
        <v>-3.9000000000000057</v>
      </c>
      <c r="C69">
        <v>-0.70000000000000284</v>
      </c>
      <c r="D69">
        <f t="shared" si="1"/>
        <v>-0.20000000000000284</v>
      </c>
      <c r="E69">
        <v>-0.10196003046514734</v>
      </c>
      <c r="F69">
        <v>0.10000000000000053</v>
      </c>
      <c r="G69" s="3">
        <v>3.6</v>
      </c>
      <c r="H69">
        <v>3.1099999999999994</v>
      </c>
      <c r="I69">
        <v>0.65999999999999659</v>
      </c>
      <c r="J69">
        <v>0</v>
      </c>
      <c r="K69">
        <v>0.15488714830739037</v>
      </c>
      <c r="L69" s="4">
        <v>8.6950504912503446E-2</v>
      </c>
      <c r="M69">
        <v>0.12546211000009189</v>
      </c>
      <c r="N69">
        <v>-4.9407279538564666</v>
      </c>
      <c r="O69">
        <v>3.9433865333082352E-2</v>
      </c>
      <c r="P69">
        <v>-32.099999999999994</v>
      </c>
      <c r="Q69">
        <v>-9</v>
      </c>
      <c r="R69">
        <v>3.451990592783627E-2</v>
      </c>
    </row>
    <row r="70" spans="1:18" x14ac:dyDescent="0.2">
      <c r="A70" s="2">
        <v>44075</v>
      </c>
      <c r="B70">
        <v>-3.5</v>
      </c>
      <c r="C70">
        <v>-1.2000000000000028</v>
      </c>
      <c r="D70">
        <f t="shared" si="1"/>
        <v>-0.5</v>
      </c>
      <c r="E70">
        <v>-5.783031903505087E-2</v>
      </c>
      <c r="F70">
        <v>0</v>
      </c>
      <c r="G70" s="3">
        <v>3.7</v>
      </c>
      <c r="H70">
        <v>3.269999999999996</v>
      </c>
      <c r="I70">
        <v>0.73000000000000398</v>
      </c>
      <c r="J70">
        <v>0</v>
      </c>
      <c r="K70">
        <v>0.16195828387797384</v>
      </c>
      <c r="L70" s="4">
        <v>8.6825649168762453E-2</v>
      </c>
      <c r="M70">
        <v>0.12678373682665378</v>
      </c>
      <c r="N70">
        <v>3.4517461067411688</v>
      </c>
      <c r="O70">
        <v>4.5001867419394159E-3</v>
      </c>
      <c r="P70">
        <v>-12.599999999999994</v>
      </c>
      <c r="Q70">
        <v>-1.9000000000000057</v>
      </c>
      <c r="R70">
        <v>2.5814678023793114E-2</v>
      </c>
    </row>
    <row r="71" spans="1:18" x14ac:dyDescent="0.2">
      <c r="A71" s="2">
        <v>44105</v>
      </c>
      <c r="B71">
        <v>-5.2999999999999972</v>
      </c>
      <c r="C71">
        <v>-0.40000000000000568</v>
      </c>
      <c r="D71">
        <f t="shared" si="1"/>
        <v>0.79999999999999716</v>
      </c>
      <c r="E71">
        <v>-7.3984240931060152E-2</v>
      </c>
      <c r="F71">
        <v>-0.10000000000000053</v>
      </c>
      <c r="G71" s="3">
        <v>4</v>
      </c>
      <c r="H71">
        <v>3.5799999999999983</v>
      </c>
      <c r="I71">
        <v>1.230000000000004</v>
      </c>
      <c r="J71">
        <v>0</v>
      </c>
      <c r="K71">
        <v>0.16073042659481529</v>
      </c>
      <c r="L71" s="4">
        <v>0.10506892705990345</v>
      </c>
      <c r="M71">
        <v>0.13047516312766883</v>
      </c>
      <c r="N71">
        <v>0.13743053525811888</v>
      </c>
      <c r="O71">
        <v>-1.8671882055825151E-2</v>
      </c>
      <c r="P71">
        <v>-22.700000000000003</v>
      </c>
      <c r="Q71">
        <v>-8.0999999999999943</v>
      </c>
      <c r="R71">
        <v>2.5238214252048863E-2</v>
      </c>
    </row>
    <row r="72" spans="1:18" x14ac:dyDescent="0.2">
      <c r="A72" s="2">
        <v>44136</v>
      </c>
      <c r="B72">
        <v>-1</v>
      </c>
      <c r="C72">
        <v>-2.4000000000000057</v>
      </c>
      <c r="D72">
        <f t="shared" si="1"/>
        <v>-2</v>
      </c>
      <c r="E72">
        <v>-8.5964962123627364E-2</v>
      </c>
      <c r="F72">
        <v>-0.20000000000000018</v>
      </c>
      <c r="G72" s="3">
        <v>4.4000000000000004</v>
      </c>
      <c r="H72">
        <v>3.8700000000000045</v>
      </c>
      <c r="I72">
        <v>1.1299999999999955</v>
      </c>
      <c r="J72">
        <v>0</v>
      </c>
      <c r="K72">
        <v>0.16194735461079679</v>
      </c>
      <c r="L72" s="4">
        <v>0.10637356119458841</v>
      </c>
      <c r="M72">
        <v>0.14204569167940306</v>
      </c>
      <c r="N72">
        <v>-1.2345572110973393</v>
      </c>
      <c r="O72">
        <v>-9.9633798330422962E-4</v>
      </c>
      <c r="P72">
        <v>-15.700000000000003</v>
      </c>
      <c r="Q72">
        <v>-1.9000000000000057</v>
      </c>
      <c r="R72">
        <v>-1.0667587466952178E-2</v>
      </c>
    </row>
    <row r="73" spans="1:18" x14ac:dyDescent="0.2">
      <c r="A73" s="2">
        <v>44166</v>
      </c>
      <c r="B73">
        <v>3.7000000000000028</v>
      </c>
      <c r="C73">
        <v>-2.2000000000000028</v>
      </c>
      <c r="D73">
        <f t="shared" si="1"/>
        <v>0.20000000000000284</v>
      </c>
      <c r="E73">
        <v>-5.7130895066036413E-2</v>
      </c>
      <c r="F73">
        <v>-0.19999999999999929</v>
      </c>
      <c r="G73" s="3">
        <v>4.9000000000000004</v>
      </c>
      <c r="H73">
        <v>4.2099999999999937</v>
      </c>
      <c r="I73">
        <v>0.92000000000000171</v>
      </c>
      <c r="J73">
        <v>0</v>
      </c>
      <c r="K73">
        <v>0.14077455103456749</v>
      </c>
      <c r="L73" s="4">
        <v>0.10514255176365883</v>
      </c>
      <c r="M73">
        <v>0.13430636914906269</v>
      </c>
      <c r="N73">
        <v>39.438468264199344</v>
      </c>
      <c r="O73">
        <v>-2.8999906682791732E-4</v>
      </c>
      <c r="P73">
        <v>-8.7000000000000028</v>
      </c>
      <c r="Q73">
        <v>3.7000000000000028</v>
      </c>
      <c r="R73">
        <v>-3.4729169060906173E-2</v>
      </c>
    </row>
    <row r="74" spans="1:18" x14ac:dyDescent="0.2">
      <c r="A74" s="2">
        <v>44197</v>
      </c>
      <c r="B74">
        <v>-1.7999999999999972</v>
      </c>
      <c r="C74">
        <v>1.0999999999999943</v>
      </c>
      <c r="D74">
        <f t="shared" si="1"/>
        <v>3.2999999999999972</v>
      </c>
      <c r="E74">
        <v>-5.744304114583898E-2</v>
      </c>
      <c r="F74">
        <v>-0.10000000000000053</v>
      </c>
      <c r="G74" s="3">
        <v>5.2</v>
      </c>
      <c r="H74">
        <v>4.5499999999999972</v>
      </c>
      <c r="I74">
        <v>2.1700000000000017</v>
      </c>
      <c r="J74">
        <v>0</v>
      </c>
      <c r="K74">
        <v>0.13534174574962843</v>
      </c>
      <c r="L74" s="4">
        <v>0.10815219236212648</v>
      </c>
      <c r="M74">
        <v>0.13026481582303462</v>
      </c>
      <c r="N74">
        <v>-29.000501196414319</v>
      </c>
      <c r="O74">
        <v>2.2230114796297329E-2</v>
      </c>
      <c r="P74">
        <v>-12.799999999999997</v>
      </c>
      <c r="Q74">
        <v>1.4000000000000057</v>
      </c>
      <c r="R74">
        <v>2.3655434329157288E-3</v>
      </c>
    </row>
    <row r="75" spans="1:18" x14ac:dyDescent="0.2">
      <c r="A75" s="2">
        <v>44228</v>
      </c>
      <c r="B75">
        <v>-2.7000000000000028</v>
      </c>
      <c r="C75">
        <v>-0.70000000000000284</v>
      </c>
      <c r="D75">
        <f t="shared" si="1"/>
        <v>-1.7999999999999972</v>
      </c>
      <c r="E75">
        <v>-1.9987338320302861E-2</v>
      </c>
      <c r="F75">
        <v>-9.9999999999999645E-2</v>
      </c>
      <c r="G75" s="3">
        <v>5.7</v>
      </c>
      <c r="H75">
        <v>5.0400000000000063</v>
      </c>
      <c r="I75">
        <v>2.8199999999999932</v>
      </c>
      <c r="J75">
        <v>0</v>
      </c>
      <c r="K75">
        <v>0.13777545710349748</v>
      </c>
      <c r="L75" s="4">
        <v>0.11209490257051935</v>
      </c>
      <c r="M75">
        <v>0.1313656585652252</v>
      </c>
      <c r="N75">
        <v>2.6577268447331051</v>
      </c>
      <c r="O75">
        <v>-8.5785201320600635E-3</v>
      </c>
      <c r="P75">
        <v>5.7000000000000028</v>
      </c>
      <c r="Q75">
        <v>11.900000000000006</v>
      </c>
      <c r="R75">
        <v>-1.0175452609955116E-3</v>
      </c>
    </row>
    <row r="76" spans="1:18" x14ac:dyDescent="0.2">
      <c r="A76" s="2">
        <v>44256</v>
      </c>
      <c r="B76">
        <v>2.7999999999999972</v>
      </c>
      <c r="C76">
        <v>-2.5</v>
      </c>
      <c r="D76">
        <f t="shared" si="1"/>
        <v>-1.7999999999999972</v>
      </c>
      <c r="E76">
        <v>8.8146761806197516E-2</v>
      </c>
      <c r="F76">
        <v>-0.29999999999999982</v>
      </c>
      <c r="G76" s="3">
        <v>5.8</v>
      </c>
      <c r="H76">
        <v>5.3799999999999955</v>
      </c>
      <c r="I76">
        <v>2.9099999999999966</v>
      </c>
      <c r="J76">
        <v>0.25</v>
      </c>
      <c r="K76">
        <v>0.13375882346166335</v>
      </c>
      <c r="L76" s="4">
        <v>0.100953866474631</v>
      </c>
      <c r="M76">
        <v>0.13260324825032788</v>
      </c>
      <c r="N76">
        <v>7.0603220444112935</v>
      </c>
      <c r="O76">
        <v>-7.509268891013221E-3</v>
      </c>
      <c r="P76">
        <v>21.200000000000003</v>
      </c>
      <c r="Q76">
        <v>21.599999999999994</v>
      </c>
      <c r="R76">
        <v>1.0801616410915926E-3</v>
      </c>
    </row>
    <row r="77" spans="1:18" x14ac:dyDescent="0.2">
      <c r="A77" s="2">
        <v>44287</v>
      </c>
      <c r="B77">
        <v>8.7999999999999972</v>
      </c>
      <c r="C77">
        <v>36.300000000000011</v>
      </c>
      <c r="D77">
        <f t="shared" si="1"/>
        <v>38.800000000000011</v>
      </c>
      <c r="E77">
        <v>0.66525912166405488</v>
      </c>
      <c r="F77">
        <v>-0.20000000000000018</v>
      </c>
      <c r="G77" s="3">
        <v>5.5</v>
      </c>
      <c r="H77">
        <v>5.4699999999999989</v>
      </c>
      <c r="I77">
        <v>2.5799999999999983</v>
      </c>
      <c r="J77">
        <v>0.5</v>
      </c>
      <c r="K77">
        <v>0.11343128643906741</v>
      </c>
      <c r="L77" s="4">
        <v>5.5157918865624378E-2</v>
      </c>
      <c r="M77">
        <v>0.13518326370139699</v>
      </c>
      <c r="N77">
        <v>1.9557650277812684</v>
      </c>
      <c r="O77">
        <v>-2.232609799679075E-2</v>
      </c>
      <c r="P77">
        <v>46.199999999999989</v>
      </c>
      <c r="Q77">
        <v>46</v>
      </c>
      <c r="R77">
        <v>2.3207978314997213E-2</v>
      </c>
    </row>
    <row r="78" spans="1:18" x14ac:dyDescent="0.2">
      <c r="A78" s="2">
        <v>44317</v>
      </c>
      <c r="B78">
        <v>12.900000000000006</v>
      </c>
      <c r="C78">
        <v>28</v>
      </c>
      <c r="D78">
        <f t="shared" si="1"/>
        <v>-8.3000000000000114</v>
      </c>
      <c r="E78">
        <v>0.66968150571398688</v>
      </c>
      <c r="F78">
        <v>-0.29999999999999982</v>
      </c>
      <c r="G78" s="3">
        <v>6</v>
      </c>
      <c r="H78">
        <v>6.0400000000000063</v>
      </c>
      <c r="I78">
        <v>3.0600000000000023</v>
      </c>
      <c r="J78">
        <v>0</v>
      </c>
      <c r="K78">
        <v>0.11810943010798747</v>
      </c>
      <c r="L78" s="4">
        <v>7.4742442381628305E-2</v>
      </c>
      <c r="M78">
        <v>0.16445249098572945</v>
      </c>
      <c r="N78">
        <v>-1.5106083035608862</v>
      </c>
      <c r="O78">
        <v>2.94814777868595E-2</v>
      </c>
      <c r="P78">
        <v>66.099999999999994</v>
      </c>
      <c r="Q78">
        <v>42.400000000000006</v>
      </c>
      <c r="R78">
        <v>-2.8502544919885686E-2</v>
      </c>
    </row>
    <row r="79" spans="1:18" x14ac:dyDescent="0.2">
      <c r="A79" s="2">
        <v>44348</v>
      </c>
      <c r="B79">
        <v>11.299999999999997</v>
      </c>
      <c r="C79">
        <v>11.5</v>
      </c>
      <c r="D79">
        <f t="shared" si="1"/>
        <v>-16.5</v>
      </c>
      <c r="E79">
        <v>0.48304581903877231</v>
      </c>
      <c r="F79">
        <v>-0.10000000000000053</v>
      </c>
      <c r="G79" s="3">
        <v>6.5</v>
      </c>
      <c r="H79">
        <v>6.5499999999999972</v>
      </c>
      <c r="I79">
        <v>3.2999999999999972</v>
      </c>
      <c r="J79">
        <v>0.5</v>
      </c>
      <c r="K79">
        <v>0.11545063230060948</v>
      </c>
      <c r="L79" s="4">
        <v>9.3087079919257798E-2</v>
      </c>
      <c r="M79">
        <v>0.18610848496718213</v>
      </c>
      <c r="N79">
        <v>3.9300954201658698</v>
      </c>
      <c r="O79">
        <v>2.4682864309971464E-2</v>
      </c>
      <c r="P79">
        <v>76.699999999999989</v>
      </c>
      <c r="Q79">
        <v>32.300000000000011</v>
      </c>
      <c r="R79">
        <v>-1.8925757097168372E-2</v>
      </c>
    </row>
    <row r="80" spans="1:18" x14ac:dyDescent="0.2">
      <c r="A80" s="2">
        <v>44378</v>
      </c>
      <c r="B80">
        <v>7.7000000000000028</v>
      </c>
      <c r="C80">
        <v>5.7000000000000028</v>
      </c>
      <c r="D80">
        <f t="shared" si="1"/>
        <v>-5.7999999999999972</v>
      </c>
      <c r="E80">
        <v>0.27866522712505559</v>
      </c>
      <c r="F80">
        <v>-0.20000000000000018</v>
      </c>
      <c r="G80" s="3">
        <v>6.5</v>
      </c>
      <c r="H80">
        <v>6.7800000000000011</v>
      </c>
      <c r="I80">
        <v>2.25</v>
      </c>
      <c r="J80">
        <v>1</v>
      </c>
      <c r="K80">
        <v>9.5440443193842039E-2</v>
      </c>
      <c r="L80" s="4">
        <v>9.5952569719196745E-2</v>
      </c>
      <c r="M80">
        <v>0.20390154837515251</v>
      </c>
      <c r="N80">
        <v>-6.4346520034402062</v>
      </c>
      <c r="O80">
        <v>-2.2536056754736578E-2</v>
      </c>
      <c r="P80">
        <v>76.099999999999994</v>
      </c>
      <c r="Q80">
        <v>32.099999999999994</v>
      </c>
      <c r="R80">
        <v>1.7378942823896182E-2</v>
      </c>
    </row>
    <row r="81" spans="1:18" x14ac:dyDescent="0.2">
      <c r="A81" s="2">
        <v>44409</v>
      </c>
      <c r="B81">
        <v>5.4000000000000057</v>
      </c>
      <c r="C81">
        <v>5.7999999999999972</v>
      </c>
      <c r="D81">
        <f t="shared" si="1"/>
        <v>9.9999999999994316E-2</v>
      </c>
      <c r="E81">
        <v>0.20864833356545343</v>
      </c>
      <c r="F81">
        <v>-0.19999999999999929</v>
      </c>
      <c r="G81" s="3">
        <v>6.68</v>
      </c>
      <c r="H81">
        <v>7.0699999999999932</v>
      </c>
      <c r="I81">
        <v>0.56999999999999318</v>
      </c>
      <c r="J81">
        <v>0</v>
      </c>
      <c r="K81">
        <v>8.5815029280559729E-2</v>
      </c>
      <c r="L81" s="4">
        <v>9.1427480992904986E-2</v>
      </c>
      <c r="M81">
        <v>0.20686494242198972</v>
      </c>
      <c r="N81">
        <v>-5.2629384564473156</v>
      </c>
      <c r="O81">
        <v>1.5524127359038076E-2</v>
      </c>
      <c r="P81">
        <v>85.9</v>
      </c>
      <c r="Q81">
        <v>30.400000000000006</v>
      </c>
      <c r="R81">
        <v>-4.1656329902881595E-3</v>
      </c>
    </row>
    <row r="82" spans="1:18" x14ac:dyDescent="0.2">
      <c r="A82" s="2">
        <v>44440</v>
      </c>
      <c r="B82">
        <v>7.7999999999999972</v>
      </c>
      <c r="C82">
        <v>6.2000000000000028</v>
      </c>
      <c r="D82">
        <f t="shared" si="1"/>
        <v>0.40000000000000568</v>
      </c>
      <c r="E82">
        <v>0.18582568171181513</v>
      </c>
      <c r="F82">
        <v>-0.10000000000000053</v>
      </c>
      <c r="G82" s="3">
        <v>7.4</v>
      </c>
      <c r="H82">
        <v>7.6099999999999994</v>
      </c>
      <c r="I82">
        <v>-0.23999999999999488</v>
      </c>
      <c r="J82">
        <v>0.25</v>
      </c>
      <c r="K82">
        <v>8.1803142142083951E-2</v>
      </c>
      <c r="L82" s="4">
        <v>9.0379520221793852E-2</v>
      </c>
      <c r="M82">
        <v>0.20696215532185747</v>
      </c>
      <c r="N82">
        <v>3.8312110828518655</v>
      </c>
      <c r="O82">
        <v>2.8181368632258952E-2</v>
      </c>
      <c r="P82">
        <v>46.5</v>
      </c>
      <c r="Q82">
        <v>24.299999999999997</v>
      </c>
      <c r="R82">
        <v>-8.9621765636538342E-3</v>
      </c>
    </row>
    <row r="83" spans="1:18" x14ac:dyDescent="0.2">
      <c r="A83" s="2">
        <v>44470</v>
      </c>
      <c r="B83">
        <v>8.2000000000000028</v>
      </c>
      <c r="C83">
        <v>4.5999999999999943</v>
      </c>
      <c r="D83">
        <f t="shared" si="1"/>
        <v>-1.6000000000000085</v>
      </c>
      <c r="E83">
        <v>0.19516933691206884</v>
      </c>
      <c r="F83">
        <v>0</v>
      </c>
      <c r="G83" s="3">
        <v>8.1300000000000008</v>
      </c>
      <c r="H83">
        <v>8.0300000000000011</v>
      </c>
      <c r="I83">
        <v>0.17000000000000171</v>
      </c>
      <c r="J83">
        <v>0.75</v>
      </c>
      <c r="K83">
        <v>8.177086409530121E-2</v>
      </c>
      <c r="L83" s="4">
        <v>8.7000822503865871E-2</v>
      </c>
      <c r="M83">
        <v>0.20689021511749495</v>
      </c>
      <c r="N83">
        <v>-1.166718505596009</v>
      </c>
      <c r="O83">
        <v>-6.5876893576426454E-3</v>
      </c>
      <c r="P83">
        <v>64.099999999999994</v>
      </c>
      <c r="Q83">
        <v>21.799999999999997</v>
      </c>
      <c r="R83">
        <v>-2.0449043478039997E-2</v>
      </c>
    </row>
    <row r="84" spans="1:18" x14ac:dyDescent="0.2">
      <c r="A84" s="2">
        <v>44501</v>
      </c>
      <c r="B84">
        <v>7.7999999999999972</v>
      </c>
      <c r="C84">
        <v>3.5999999999999943</v>
      </c>
      <c r="D84">
        <f t="shared" si="1"/>
        <v>-1</v>
      </c>
      <c r="E84">
        <v>0.2043491913851001</v>
      </c>
      <c r="F84">
        <v>0</v>
      </c>
      <c r="G84" s="3">
        <v>8.4</v>
      </c>
      <c r="H84">
        <v>8.7099999999999937</v>
      </c>
      <c r="I84">
        <v>1.0799999999999983</v>
      </c>
      <c r="J84">
        <v>0</v>
      </c>
      <c r="K84">
        <v>8.8464481843663734E-2</v>
      </c>
      <c r="L84" s="4">
        <v>9.3664096669572317E-2</v>
      </c>
      <c r="M84">
        <v>0.20420799541899681</v>
      </c>
      <c r="N84">
        <v>0.84418878479313264</v>
      </c>
      <c r="O84">
        <v>1.6336498475153505E-2</v>
      </c>
      <c r="P84">
        <v>62.599999999999994</v>
      </c>
      <c r="Q84">
        <v>21</v>
      </c>
      <c r="R84">
        <v>1.7327221823683736E-2</v>
      </c>
    </row>
    <row r="85" spans="1:18" x14ac:dyDescent="0.2">
      <c r="A85" s="2">
        <v>44531</v>
      </c>
      <c r="B85">
        <v>7.5</v>
      </c>
      <c r="C85">
        <v>5.5999999999999943</v>
      </c>
      <c r="D85">
        <f t="shared" si="1"/>
        <v>2</v>
      </c>
      <c r="E85">
        <v>0.17826329178025224</v>
      </c>
      <c r="F85">
        <v>0</v>
      </c>
      <c r="G85" s="3">
        <v>8.39</v>
      </c>
      <c r="H85">
        <v>8.89</v>
      </c>
      <c r="I85">
        <v>0.70999999999999375</v>
      </c>
      <c r="J85">
        <v>1</v>
      </c>
      <c r="K85">
        <v>0.11029250667859114</v>
      </c>
      <c r="L85" s="4">
        <v>0.113493488948748</v>
      </c>
      <c r="M85">
        <v>0.20724701223116226</v>
      </c>
      <c r="N85">
        <v>39.037892637703948</v>
      </c>
      <c r="O85">
        <v>-2.7848691897762734E-3</v>
      </c>
      <c r="P85">
        <v>60.800000000000011</v>
      </c>
      <c r="Q85">
        <v>22.099999999999994</v>
      </c>
      <c r="R85">
        <v>1.4616434169156811E-2</v>
      </c>
    </row>
    <row r="86" spans="1:18" x14ac:dyDescent="0.2">
      <c r="A86" s="2">
        <v>44562</v>
      </c>
      <c r="B86">
        <v>9.0999999999999943</v>
      </c>
      <c r="C86">
        <v>4.5</v>
      </c>
      <c r="D86">
        <f t="shared" si="1"/>
        <v>-1.0999999999999943</v>
      </c>
      <c r="E86">
        <v>0.21588572811659223</v>
      </c>
      <c r="F86">
        <v>0.10000000000000053</v>
      </c>
      <c r="G86" s="3">
        <v>8.73</v>
      </c>
      <c r="H86">
        <v>9.2399999999999949</v>
      </c>
      <c r="I86">
        <v>1.4699999999999989</v>
      </c>
      <c r="J86">
        <v>0</v>
      </c>
      <c r="K86">
        <v>0.12959063257443026</v>
      </c>
      <c r="L86" s="4">
        <v>0.11979431005940322</v>
      </c>
      <c r="M86">
        <v>0.220405078292081</v>
      </c>
      <c r="N86">
        <v>-29.262933665594105</v>
      </c>
      <c r="O86">
        <v>1.2969327796456653E-2</v>
      </c>
      <c r="P86">
        <v>76.300000000000011</v>
      </c>
      <c r="Q86">
        <v>39</v>
      </c>
      <c r="R86">
        <v>3.7585660306150181E-2</v>
      </c>
    </row>
    <row r="87" spans="1:18" x14ac:dyDescent="0.2">
      <c r="A87" s="2">
        <v>44593</v>
      </c>
      <c r="B87">
        <v>6.5999999999999943</v>
      </c>
      <c r="C87">
        <v>7</v>
      </c>
      <c r="D87">
        <f t="shared" si="1"/>
        <v>2.5</v>
      </c>
      <c r="E87">
        <v>0.18223525880839575</v>
      </c>
      <c r="F87">
        <v>-0.30000000000000071</v>
      </c>
      <c r="G87" s="3">
        <v>9.15</v>
      </c>
      <c r="H87">
        <v>9.7399999999999949</v>
      </c>
      <c r="I87">
        <v>1.1099999999999994</v>
      </c>
      <c r="J87">
        <v>11.5</v>
      </c>
      <c r="K87">
        <v>0.13390141004382894</v>
      </c>
      <c r="L87" s="4">
        <v>0.12329161566573554</v>
      </c>
      <c r="M87">
        <v>0.22097662475268565</v>
      </c>
      <c r="N87">
        <v>1.7291650039956892</v>
      </c>
      <c r="O87">
        <v>-6.6622571335273051E-4</v>
      </c>
      <c r="P87">
        <v>69.800000000000011</v>
      </c>
      <c r="Q87">
        <v>31.199999999999989</v>
      </c>
      <c r="R87">
        <v>7.474171364215465E-3</v>
      </c>
    </row>
    <row r="88" spans="1:18" x14ac:dyDescent="0.2">
      <c r="A88" s="2">
        <v>44621</v>
      </c>
      <c r="B88">
        <v>3.5999999999999943</v>
      </c>
      <c r="C88">
        <v>3</v>
      </c>
      <c r="D88">
        <f t="shared" si="1"/>
        <v>-4</v>
      </c>
      <c r="E88">
        <v>0.14802904337315348</v>
      </c>
      <c r="F88">
        <v>0</v>
      </c>
      <c r="G88" s="3">
        <v>16.690000000000001</v>
      </c>
      <c r="H88">
        <v>18.689999999999998</v>
      </c>
      <c r="I88">
        <v>4.2199999999999989</v>
      </c>
      <c r="J88">
        <v>0</v>
      </c>
      <c r="K88">
        <v>0.14578445766450931</v>
      </c>
      <c r="L88" s="4">
        <v>0.16334045844351253</v>
      </c>
      <c r="M88">
        <v>0.22529121177108635</v>
      </c>
      <c r="N88">
        <v>8.1836993862936396</v>
      </c>
      <c r="O88">
        <v>-2.0963777013315976E-2</v>
      </c>
      <c r="P88">
        <v>54.400000000000006</v>
      </c>
      <c r="Q88">
        <v>-25.400000000000006</v>
      </c>
      <c r="R88">
        <v>0.29327949053460589</v>
      </c>
    </row>
    <row r="89" spans="1:18" x14ac:dyDescent="0.2">
      <c r="A89" s="2">
        <v>44652</v>
      </c>
      <c r="B89">
        <v>-1.7000000000000028</v>
      </c>
      <c r="C89">
        <v>-9.5999999999999943</v>
      </c>
      <c r="D89">
        <f t="shared" si="1"/>
        <v>-12.599999999999994</v>
      </c>
      <c r="E89">
        <v>0.1126160519784738</v>
      </c>
      <c r="F89">
        <v>-9.9999999999999645E-2</v>
      </c>
      <c r="G89" s="3">
        <v>17.829999999999998</v>
      </c>
      <c r="H89">
        <v>20.370000000000005</v>
      </c>
      <c r="I89">
        <v>5.2800000000000011</v>
      </c>
      <c r="J89">
        <v>-3</v>
      </c>
      <c r="K89">
        <v>0.17062276031309831</v>
      </c>
      <c r="L89" s="4">
        <v>0.16576526029247041</v>
      </c>
      <c r="M89">
        <v>0.20276505216467489</v>
      </c>
      <c r="N89">
        <v>-8.1563599660436665</v>
      </c>
      <c r="O89">
        <v>-1.7529883926384215E-2</v>
      </c>
      <c r="P89">
        <v>32.300000000000011</v>
      </c>
      <c r="Q89">
        <v>-34.799999999999997</v>
      </c>
      <c r="R89">
        <v>-0.28386664672226836</v>
      </c>
    </row>
    <row r="90" spans="1:18" x14ac:dyDescent="0.2">
      <c r="A90" s="2">
        <v>44682</v>
      </c>
      <c r="B90">
        <v>-1.2999999999999972</v>
      </c>
      <c r="C90">
        <v>-9.7000000000000028</v>
      </c>
      <c r="D90">
        <f t="shared" si="1"/>
        <v>-0.10000000000000853</v>
      </c>
      <c r="E90">
        <v>0.11604042344784204</v>
      </c>
      <c r="F90">
        <v>-0.10000000000000009</v>
      </c>
      <c r="G90" s="3">
        <v>17.100000000000001</v>
      </c>
      <c r="H90">
        <v>19.870000000000005</v>
      </c>
      <c r="I90">
        <v>-1.7399999999999949</v>
      </c>
      <c r="J90">
        <v>-6</v>
      </c>
      <c r="K90">
        <v>0.15656347798146109</v>
      </c>
      <c r="L90" s="4">
        <v>0.13815311124094309</v>
      </c>
      <c r="M90">
        <v>0.16946196283748516</v>
      </c>
      <c r="N90">
        <v>0.18153792663110835</v>
      </c>
      <c r="O90">
        <v>-2.2272591040149337E-2</v>
      </c>
      <c r="P90">
        <v>42.300000000000011</v>
      </c>
      <c r="Q90">
        <v>-23.099999999999994</v>
      </c>
      <c r="R90">
        <v>-0.20732891689193789</v>
      </c>
    </row>
    <row r="91" spans="1:18" x14ac:dyDescent="0.2">
      <c r="A91" s="2">
        <v>44713</v>
      </c>
      <c r="B91">
        <v>-1.2000000000000028</v>
      </c>
      <c r="C91">
        <v>-9.4000000000000057</v>
      </c>
      <c r="D91">
        <f t="shared" si="1"/>
        <v>0.29999999999999716</v>
      </c>
      <c r="E91">
        <v>0.1166832002222673</v>
      </c>
      <c r="F91">
        <v>0.10000000000000009</v>
      </c>
      <c r="G91" s="3">
        <v>15.9</v>
      </c>
      <c r="H91">
        <v>19.180000000000007</v>
      </c>
      <c r="I91">
        <v>-2.9099999999999966</v>
      </c>
      <c r="J91">
        <v>-1.5</v>
      </c>
      <c r="K91">
        <v>0.16554613768211168</v>
      </c>
      <c r="L91" s="4">
        <v>0.1150007510541311</v>
      </c>
      <c r="M91">
        <v>0.14324081461077398</v>
      </c>
      <c r="N91">
        <v>6.9635669354788376</v>
      </c>
      <c r="O91">
        <v>-9.5369112676166878E-3</v>
      </c>
      <c r="P91">
        <v>24.599999999999994</v>
      </c>
      <c r="Q91">
        <v>-16.400000000000006</v>
      </c>
      <c r="R91">
        <v>-0.10190763832660998</v>
      </c>
    </row>
    <row r="92" spans="1:18" x14ac:dyDescent="0.2">
      <c r="A92" s="2">
        <v>44743</v>
      </c>
      <c r="B92">
        <v>0.59999999999999432</v>
      </c>
      <c r="C92">
        <v>-9.0999999999999943</v>
      </c>
      <c r="D92">
        <f t="shared" si="1"/>
        <v>0.30000000000001137</v>
      </c>
      <c r="E92">
        <v>0.13693291864973589</v>
      </c>
      <c r="F92">
        <v>-0.10000000000000009</v>
      </c>
      <c r="G92" s="3">
        <v>15.1</v>
      </c>
      <c r="H92">
        <v>18.400000000000006</v>
      </c>
      <c r="I92">
        <v>-2.9200000000000017</v>
      </c>
      <c r="J92">
        <v>-1.5</v>
      </c>
      <c r="K92">
        <v>0.16849109717408517</v>
      </c>
      <c r="L92" s="4">
        <v>8.8657347035305811E-2</v>
      </c>
      <c r="M92">
        <v>0.1207657936428006</v>
      </c>
      <c r="N92">
        <v>-6.2022456948893563</v>
      </c>
      <c r="O92">
        <v>-5.6370204511164701E-3</v>
      </c>
      <c r="P92">
        <v>5.9000000000000057</v>
      </c>
      <c r="Q92">
        <v>-16.900000000000006</v>
      </c>
      <c r="R92">
        <v>1.8074031770067833E-2</v>
      </c>
    </row>
    <row r="93" spans="1:18" x14ac:dyDescent="0.2">
      <c r="A93" s="2">
        <v>44774</v>
      </c>
      <c r="B93">
        <v>0.90000000000000568</v>
      </c>
      <c r="C93">
        <v>-9.4000000000000057</v>
      </c>
      <c r="D93">
        <f t="shared" si="1"/>
        <v>-0.30000000000001137</v>
      </c>
      <c r="E93">
        <v>0.13711336857634882</v>
      </c>
      <c r="F93">
        <v>-0.10000000000000009</v>
      </c>
      <c r="G93" s="3">
        <v>14.3</v>
      </c>
      <c r="H93">
        <v>17.709999999999994</v>
      </c>
      <c r="I93">
        <v>-0.51999999999999602</v>
      </c>
      <c r="J93">
        <v>0</v>
      </c>
      <c r="K93">
        <v>0.1927530170431011</v>
      </c>
      <c r="L93" s="4">
        <v>0.10145742066730423</v>
      </c>
      <c r="M93">
        <v>0.112437602917556</v>
      </c>
      <c r="N93">
        <v>-3.1830648949115385</v>
      </c>
      <c r="O93">
        <v>-1.2432278298312838E-2</v>
      </c>
      <c r="P93">
        <v>13.099999999999994</v>
      </c>
      <c r="Q93">
        <v>-9.7000000000000028</v>
      </c>
      <c r="R93">
        <v>3.6602306303604948E-2</v>
      </c>
    </row>
    <row r="94" spans="1:18" x14ac:dyDescent="0.2">
      <c r="A94" s="2">
        <v>44805</v>
      </c>
      <c r="B94">
        <v>-2</v>
      </c>
      <c r="C94">
        <v>-10.900000000000006</v>
      </c>
      <c r="D94">
        <f t="shared" si="1"/>
        <v>-1.5</v>
      </c>
      <c r="E94">
        <v>0.11255630987004395</v>
      </c>
      <c r="F94">
        <v>0.10000000000000009</v>
      </c>
      <c r="G94" s="3">
        <v>13.68</v>
      </c>
      <c r="H94">
        <v>17.11</v>
      </c>
      <c r="I94">
        <v>-1.0900000000000034</v>
      </c>
      <c r="J94">
        <v>-0.5</v>
      </c>
      <c r="K94">
        <v>0.22596120169692391</v>
      </c>
      <c r="L94" s="4">
        <v>0.11447778655715157</v>
      </c>
      <c r="M94">
        <v>0.10282422950744907</v>
      </c>
      <c r="N94">
        <v>3.2401653102975843</v>
      </c>
      <c r="O94">
        <v>-1.9682683856647287E-2</v>
      </c>
      <c r="P94">
        <v>3</v>
      </c>
      <c r="Q94">
        <v>-7.2999999999999972</v>
      </c>
      <c r="R94">
        <v>-9.4901629382047048E-3</v>
      </c>
    </row>
    <row r="95" spans="1:18" x14ac:dyDescent="0.2">
      <c r="A95" s="2">
        <v>44835</v>
      </c>
      <c r="B95">
        <v>-1.5</v>
      </c>
      <c r="C95">
        <v>-10.200000000000003</v>
      </c>
      <c r="D95">
        <f t="shared" si="1"/>
        <v>0.70000000000000284</v>
      </c>
      <c r="E95">
        <v>0.10931632793680168</v>
      </c>
      <c r="F95">
        <v>0</v>
      </c>
      <c r="G95" s="3">
        <v>12.63</v>
      </c>
      <c r="H95">
        <v>16.159999999999997</v>
      </c>
      <c r="I95">
        <v>-1.9000000000000057</v>
      </c>
      <c r="J95">
        <v>0</v>
      </c>
      <c r="K95">
        <v>0.23909601188829832</v>
      </c>
      <c r="L95" s="4">
        <v>0.11937565571577946</v>
      </c>
      <c r="M95">
        <v>0.10098205786480552</v>
      </c>
      <c r="N95">
        <v>0.7743470038203526</v>
      </c>
      <c r="O95">
        <v>-4.5150788304086475E-2</v>
      </c>
      <c r="P95">
        <v>-6.0999999999999943</v>
      </c>
      <c r="Q95">
        <v>-5.7000000000000028</v>
      </c>
      <c r="R95">
        <v>2.140599835118806E-2</v>
      </c>
    </row>
    <row r="96" spans="1:18" x14ac:dyDescent="0.2">
      <c r="A96" s="2">
        <v>44866</v>
      </c>
      <c r="B96">
        <v>-0.20000000000000284</v>
      </c>
      <c r="C96">
        <v>-7.9000000000000057</v>
      </c>
      <c r="D96">
        <f t="shared" si="1"/>
        <v>2.2999999999999972</v>
      </c>
      <c r="E96">
        <v>0.12537939592557135</v>
      </c>
      <c r="F96">
        <v>-0.19999999999999973</v>
      </c>
      <c r="G96" s="3">
        <v>11.98</v>
      </c>
      <c r="H96">
        <v>15.060000000000002</v>
      </c>
      <c r="I96">
        <v>-0.84999999999999432</v>
      </c>
      <c r="J96">
        <v>0</v>
      </c>
      <c r="K96">
        <v>0.24374028888782306</v>
      </c>
      <c r="L96" s="4">
        <v>0.14177990159092402</v>
      </c>
      <c r="M96">
        <v>9.3863208184178815E-2</v>
      </c>
      <c r="N96">
        <v>0.57249367573386678</v>
      </c>
      <c r="O96">
        <v>1.1960998647195353E-2</v>
      </c>
      <c r="P96">
        <v>-8.0999999999999943</v>
      </c>
      <c r="Q96">
        <v>-4.5999999999999943</v>
      </c>
      <c r="R96">
        <v>-4.3100849374093642E-3</v>
      </c>
    </row>
    <row r="97" spans="1:18" x14ac:dyDescent="0.2">
      <c r="A97" s="2">
        <v>44896</v>
      </c>
      <c r="B97">
        <v>-2.2000000000000028</v>
      </c>
      <c r="C97">
        <v>-10.400000000000006</v>
      </c>
      <c r="D97">
        <f t="shared" si="1"/>
        <v>-2.5</v>
      </c>
      <c r="E97">
        <v>0.13619505103596641</v>
      </c>
      <c r="F97">
        <v>0</v>
      </c>
      <c r="G97" s="3">
        <v>11.94</v>
      </c>
      <c r="H97">
        <v>14.310000000000002</v>
      </c>
      <c r="I97">
        <v>-0.70000000000000284</v>
      </c>
      <c r="J97">
        <v>0</v>
      </c>
      <c r="K97">
        <v>0.23365622189569613</v>
      </c>
      <c r="L97" s="4">
        <v>0.14109706806315669</v>
      </c>
      <c r="M97">
        <v>9.7583821046752561E-2</v>
      </c>
      <c r="N97">
        <v>39.206009517088006</v>
      </c>
      <c r="O97">
        <v>3.6065472715160141E-2</v>
      </c>
      <c r="P97">
        <v>-5.7000000000000028</v>
      </c>
      <c r="Q97">
        <v>-3.5</v>
      </c>
      <c r="R97">
        <v>7.8386536166497933E-2</v>
      </c>
    </row>
    <row r="98" spans="1:18" x14ac:dyDescent="0.2">
      <c r="A98" s="2">
        <v>44927</v>
      </c>
      <c r="B98">
        <v>-2</v>
      </c>
      <c r="C98">
        <v>-6</v>
      </c>
      <c r="D98">
        <f t="shared" si="1"/>
        <v>4.4000000000000057</v>
      </c>
      <c r="E98">
        <v>0.14862547349622601</v>
      </c>
      <c r="F98">
        <v>-0.10000000000000009</v>
      </c>
      <c r="G98" s="3">
        <v>11.77</v>
      </c>
      <c r="H98">
        <v>13.719999999999999</v>
      </c>
      <c r="I98">
        <v>-0.21999999999999886</v>
      </c>
      <c r="J98">
        <v>0</v>
      </c>
      <c r="K98">
        <v>0.24353888695983184</v>
      </c>
      <c r="L98" s="4">
        <v>0.18021328425361061</v>
      </c>
      <c r="M98">
        <v>9.3529380886900659E-2</v>
      </c>
      <c r="N98">
        <v>-29.08947052846446</v>
      </c>
      <c r="O98">
        <v>2.558267315807683E-2</v>
      </c>
      <c r="P98">
        <v>-30.099999999999994</v>
      </c>
      <c r="Q98">
        <v>9.9999999999994316E-2</v>
      </c>
      <c r="R98">
        <v>4.5459845759360462E-2</v>
      </c>
    </row>
    <row r="99" spans="1:18" x14ac:dyDescent="0.2">
      <c r="A99" s="2">
        <v>44958</v>
      </c>
      <c r="B99">
        <v>-1.2000000000000028</v>
      </c>
      <c r="C99">
        <v>-7.0999999999999943</v>
      </c>
      <c r="D99">
        <f t="shared" si="1"/>
        <v>-1.0999999999999943</v>
      </c>
      <c r="E99">
        <v>0.1655359469289488</v>
      </c>
      <c r="F99">
        <v>-0.10999999999999988</v>
      </c>
      <c r="G99" s="3">
        <v>10.99</v>
      </c>
      <c r="H99">
        <v>12.689999999999998</v>
      </c>
      <c r="I99">
        <v>0.43000000000000682</v>
      </c>
      <c r="J99">
        <v>0</v>
      </c>
      <c r="K99">
        <v>0.25893944520747714</v>
      </c>
      <c r="L99" s="4">
        <v>0.17275449555804046</v>
      </c>
      <c r="M99">
        <v>8.8625081577562437E-2</v>
      </c>
      <c r="N99">
        <v>2.427019877780495</v>
      </c>
      <c r="O99">
        <v>2.5524190930617863E-2</v>
      </c>
      <c r="P99">
        <v>-40.6</v>
      </c>
      <c r="Q99">
        <v>-16.799999999999997</v>
      </c>
      <c r="R99">
        <v>5.5171553123235739E-2</v>
      </c>
    </row>
    <row r="100" spans="1:18" x14ac:dyDescent="0.2">
      <c r="A100" s="2">
        <v>44986</v>
      </c>
      <c r="B100">
        <v>1.4000000000000057</v>
      </c>
      <c r="C100">
        <v>-3.5999999999999943</v>
      </c>
      <c r="D100">
        <f t="shared" si="1"/>
        <v>3.5</v>
      </c>
      <c r="E100">
        <v>0.16768699305026824</v>
      </c>
      <c r="F100">
        <v>9.9999999999997868E-3</v>
      </c>
      <c r="G100" s="3">
        <v>3.51</v>
      </c>
      <c r="H100">
        <v>3.7199999999999989</v>
      </c>
      <c r="I100">
        <v>2.1400000000000006</v>
      </c>
      <c r="J100">
        <v>0</v>
      </c>
      <c r="K100">
        <v>0.25946997012318418</v>
      </c>
      <c r="L100" s="4">
        <v>0.16733255147764536</v>
      </c>
      <c r="M100">
        <v>8.0997285255091755E-2</v>
      </c>
      <c r="N100">
        <v>9.1832783939990605</v>
      </c>
      <c r="O100">
        <v>-3.8916120789723507E-2</v>
      </c>
      <c r="P100">
        <v>-27.200000000000003</v>
      </c>
      <c r="Q100">
        <v>50.5</v>
      </c>
      <c r="R100">
        <v>4.4616414167248486E-2</v>
      </c>
    </row>
    <row r="101" spans="1:18" x14ac:dyDescent="0.2">
      <c r="A101" s="2">
        <v>45017</v>
      </c>
      <c r="B101">
        <v>5.2000000000000028</v>
      </c>
      <c r="C101">
        <v>9.2000000000000028</v>
      </c>
      <c r="D101">
        <f t="shared" si="1"/>
        <v>12.799999999999997</v>
      </c>
      <c r="E101">
        <v>0.16859893468808962</v>
      </c>
      <c r="F101">
        <v>-0.20000000000000018</v>
      </c>
      <c r="G101" s="3">
        <v>2.31</v>
      </c>
      <c r="H101">
        <v>1.9899999999999949</v>
      </c>
      <c r="I101">
        <v>2</v>
      </c>
      <c r="J101">
        <v>0</v>
      </c>
      <c r="K101">
        <v>0.24352966455477709</v>
      </c>
      <c r="L101" s="4">
        <v>0.17729685360230718</v>
      </c>
      <c r="M101">
        <v>0.10005610783885222</v>
      </c>
      <c r="N101">
        <v>-0.56122907364357388</v>
      </c>
      <c r="O101">
        <v>3.3615977558447696E-2</v>
      </c>
      <c r="P101">
        <v>-34.599999999999994</v>
      </c>
      <c r="Q101">
        <v>48.400000000000006</v>
      </c>
      <c r="R101">
        <v>6.2298735960180096E-2</v>
      </c>
    </row>
    <row r="102" spans="1:18" x14ac:dyDescent="0.2">
      <c r="A102" s="2">
        <v>45047</v>
      </c>
      <c r="B102">
        <v>7.2999999999999972</v>
      </c>
      <c r="C102">
        <v>11.299999999999997</v>
      </c>
      <c r="D102">
        <f t="shared" si="1"/>
        <v>2.0999999999999943</v>
      </c>
      <c r="E102">
        <v>0.19048922361068921</v>
      </c>
      <c r="F102">
        <v>-0.12999999999999989</v>
      </c>
      <c r="G102" s="3">
        <v>2.5099999999999998</v>
      </c>
      <c r="H102">
        <v>2.1200000000000045</v>
      </c>
      <c r="I102">
        <v>2.019999999999996</v>
      </c>
      <c r="J102">
        <v>0</v>
      </c>
      <c r="K102">
        <v>0.23600795446169842</v>
      </c>
      <c r="L102" s="4">
        <v>0.2080528521027718</v>
      </c>
      <c r="M102">
        <v>0.12928331883950794</v>
      </c>
      <c r="N102">
        <v>1.9977349690592376</v>
      </c>
      <c r="O102">
        <v>3.2076257301270061E-3</v>
      </c>
      <c r="P102">
        <v>-24.700000000000003</v>
      </c>
      <c r="Q102">
        <v>42.800000000000011</v>
      </c>
      <c r="R102">
        <v>-2.2258816070992893E-2</v>
      </c>
    </row>
    <row r="103" spans="1:18" x14ac:dyDescent="0.2">
      <c r="A103" s="2">
        <v>45078</v>
      </c>
      <c r="B103">
        <v>6.0999999999999943</v>
      </c>
      <c r="C103">
        <v>12.900000000000006</v>
      </c>
      <c r="D103">
        <f t="shared" si="1"/>
        <v>1.6000000000000085</v>
      </c>
      <c r="E103">
        <v>0.18187833982288693</v>
      </c>
      <c r="F103">
        <v>-6.999999999999984E-2</v>
      </c>
      <c r="G103" s="3">
        <v>3.25</v>
      </c>
      <c r="H103">
        <v>2.4399999999999977</v>
      </c>
      <c r="I103">
        <v>0.98000000000000398</v>
      </c>
      <c r="J103">
        <v>0</v>
      </c>
      <c r="K103">
        <v>0.24935572474561529</v>
      </c>
      <c r="L103" s="4">
        <v>0.23441611638994031</v>
      </c>
      <c r="M103">
        <v>0.15413161180895485</v>
      </c>
      <c r="N103">
        <v>4.7639699902944415</v>
      </c>
      <c r="O103">
        <v>-1.9682625164529455E-2</v>
      </c>
      <c r="P103">
        <v>-36</v>
      </c>
      <c r="Q103">
        <v>20.099999999999994</v>
      </c>
      <c r="R103">
        <v>5.0545304448147199E-2</v>
      </c>
    </row>
    <row r="104" spans="1:18" x14ac:dyDescent="0.2">
      <c r="A104" s="2">
        <v>45108</v>
      </c>
      <c r="B104">
        <v>6</v>
      </c>
      <c r="C104">
        <v>13.700000000000003</v>
      </c>
      <c r="D104">
        <f t="shared" si="1"/>
        <v>0.79999999999999716</v>
      </c>
      <c r="E104">
        <v>0.17434112681657132</v>
      </c>
      <c r="F104">
        <v>-0.10000000000000009</v>
      </c>
      <c r="G104" s="3">
        <v>4.3</v>
      </c>
      <c r="H104">
        <v>3.1800000000000068</v>
      </c>
      <c r="I104">
        <v>0.56000000000000227</v>
      </c>
      <c r="J104">
        <v>1</v>
      </c>
      <c r="K104">
        <v>0.25355804659779935</v>
      </c>
      <c r="L104" s="4">
        <v>0.28102711057015517</v>
      </c>
      <c r="M104">
        <v>0.17344359664058229</v>
      </c>
      <c r="N104">
        <v>-7.3519798267175531</v>
      </c>
      <c r="O104">
        <v>-3.0121924758379492E-3</v>
      </c>
      <c r="P104">
        <v>-31.099999999999994</v>
      </c>
      <c r="Q104">
        <v>17.599999999999994</v>
      </c>
      <c r="R104">
        <v>8.2382427859551299E-2</v>
      </c>
    </row>
    <row r="105" spans="1:18" x14ac:dyDescent="0.2">
      <c r="A105" s="2">
        <v>45139</v>
      </c>
      <c r="B105">
        <v>6.5999999999999943</v>
      </c>
      <c r="C105">
        <v>14.400000000000006</v>
      </c>
      <c r="D105">
        <f t="shared" si="1"/>
        <v>0.70000000000000284</v>
      </c>
      <c r="E105">
        <v>0.1690628866361108</v>
      </c>
      <c r="F105">
        <v>-4.0000000000000036E-2</v>
      </c>
      <c r="G105" s="3">
        <v>5.15</v>
      </c>
      <c r="H105">
        <v>3.9500000000000028</v>
      </c>
      <c r="I105">
        <v>2.4599999999999937</v>
      </c>
      <c r="J105">
        <v>3.5</v>
      </c>
      <c r="K105">
        <v>0.2466442321444986</v>
      </c>
      <c r="L105" s="4">
        <v>0.28988037690133894</v>
      </c>
      <c r="M105">
        <v>0.18246638609655985</v>
      </c>
      <c r="N105">
        <v>-3.0441124914870699</v>
      </c>
      <c r="O105">
        <v>1.2876505122331849E-2</v>
      </c>
      <c r="P105">
        <v>-24.099999999999994</v>
      </c>
      <c r="Q105">
        <v>8.2000000000000028</v>
      </c>
      <c r="R105">
        <v>5.1813008009672146E-2</v>
      </c>
    </row>
    <row r="106" spans="1:18" x14ac:dyDescent="0.2">
      <c r="A106" s="2">
        <v>45170</v>
      </c>
      <c r="B106">
        <v>6.7000000000000028</v>
      </c>
      <c r="C106">
        <v>13.799999999999997</v>
      </c>
      <c r="D106">
        <f t="shared" si="1"/>
        <v>-0.60000000000000853</v>
      </c>
      <c r="E106">
        <v>0.16894688396842028</v>
      </c>
      <c r="F106">
        <v>6.999999999999984E-2</v>
      </c>
      <c r="G106" s="3">
        <v>6</v>
      </c>
      <c r="H106">
        <v>4.5900000000000034</v>
      </c>
      <c r="I106">
        <v>3.25</v>
      </c>
      <c r="J106">
        <v>1</v>
      </c>
      <c r="K106">
        <v>0.22878633983995389</v>
      </c>
      <c r="L106" s="4">
        <v>0.28535445114227809</v>
      </c>
      <c r="M106">
        <v>0.20718928923261015</v>
      </c>
      <c r="N106">
        <v>1.2537654510963279</v>
      </c>
      <c r="O106">
        <v>-1.418054275482028E-2</v>
      </c>
      <c r="P106">
        <v>-13.900000000000006</v>
      </c>
      <c r="Q106">
        <v>4.7999999999999972</v>
      </c>
      <c r="R106">
        <v>1.3933089096574314E-2</v>
      </c>
    </row>
    <row r="107" spans="1:18" x14ac:dyDescent="0.2">
      <c r="A107" s="2">
        <v>45200</v>
      </c>
      <c r="B107">
        <v>6.2999999999999972</v>
      </c>
      <c r="C107">
        <v>13.799999999999997</v>
      </c>
      <c r="D107">
        <f t="shared" si="1"/>
        <v>0</v>
      </c>
      <c r="E107">
        <v>0.18102151662228705</v>
      </c>
      <c r="F107">
        <v>-0.11999999999999966</v>
      </c>
      <c r="G107" s="3">
        <v>6.69</v>
      </c>
      <c r="H107">
        <v>5.5</v>
      </c>
      <c r="I107">
        <v>0.76999999999999602</v>
      </c>
      <c r="J107">
        <v>2</v>
      </c>
      <c r="K107">
        <v>0.20640644799434971</v>
      </c>
      <c r="L107" s="4">
        <v>0.2920010718833097</v>
      </c>
      <c r="M107">
        <v>0.22359269580748631</v>
      </c>
      <c r="N107">
        <v>3.2433879669844288</v>
      </c>
      <c r="O107">
        <v>-2.1967025066375712E-2</v>
      </c>
      <c r="P107">
        <v>-22.099999999999994</v>
      </c>
      <c r="Q107">
        <v>-7.0999999999999943</v>
      </c>
      <c r="R107">
        <v>5.1616729072998524E-3</v>
      </c>
    </row>
    <row r="108" spans="1:18" x14ac:dyDescent="0.2">
      <c r="A108" s="2">
        <v>45231</v>
      </c>
      <c r="B108">
        <v>5.2999999999999972</v>
      </c>
      <c r="C108">
        <v>10.599999999999994</v>
      </c>
      <c r="D108">
        <f t="shared" si="1"/>
        <v>-3.2000000000000028</v>
      </c>
      <c r="E108">
        <v>0.17442123572961532</v>
      </c>
      <c r="F108">
        <v>-1.0000000000000231E-2</v>
      </c>
      <c r="G108" s="3">
        <v>7.48</v>
      </c>
      <c r="H108">
        <v>6.3599999999999994</v>
      </c>
      <c r="I108">
        <v>0.51000000000000512</v>
      </c>
      <c r="J108">
        <v>0</v>
      </c>
      <c r="K108">
        <v>0.20490500216430019</v>
      </c>
      <c r="L108" s="4">
        <v>0.26992538661951171</v>
      </c>
      <c r="M108">
        <v>0.23827313068902511</v>
      </c>
      <c r="N108">
        <v>-1.6959467958739651</v>
      </c>
      <c r="O108">
        <v>1.2334407237686307E-2</v>
      </c>
      <c r="P108">
        <v>-24.299999999999997</v>
      </c>
      <c r="Q108">
        <v>-7.4000000000000057</v>
      </c>
      <c r="R108">
        <v>-7.1585067995465934E-2</v>
      </c>
    </row>
    <row r="109" spans="1:18" x14ac:dyDescent="0.2">
      <c r="A109" s="2">
        <v>45261</v>
      </c>
      <c r="B109">
        <v>3.7999999999999972</v>
      </c>
      <c r="C109">
        <v>10.700000000000003</v>
      </c>
      <c r="D109">
        <f t="shared" si="1"/>
        <v>0.10000000000000853</v>
      </c>
      <c r="E109">
        <v>0.15389611381826529</v>
      </c>
      <c r="F109">
        <v>0.10000000000000009</v>
      </c>
      <c r="G109" s="3">
        <v>7.42</v>
      </c>
      <c r="H109">
        <v>6.8299999999999983</v>
      </c>
      <c r="I109">
        <v>-0.84000000000000341</v>
      </c>
      <c r="J109">
        <v>1</v>
      </c>
      <c r="K109">
        <v>0.20390538179796214</v>
      </c>
      <c r="L109" s="4">
        <v>0.26400499507457131</v>
      </c>
      <c r="M109">
        <v>0.24318624433658598</v>
      </c>
      <c r="N109">
        <v>40.444712580488016</v>
      </c>
      <c r="O109">
        <v>2.7849305240168931E-2</v>
      </c>
      <c r="P109">
        <v>-28</v>
      </c>
      <c r="Q109">
        <v>-6.2000000000000028</v>
      </c>
      <c r="R109">
        <v>4.4627998709625416E-3</v>
      </c>
    </row>
    <row r="110" spans="1:18" x14ac:dyDescent="0.2">
      <c r="A110" s="2">
        <v>45292</v>
      </c>
      <c r="B110">
        <v>5.2999999999999972</v>
      </c>
      <c r="C110">
        <v>9.5</v>
      </c>
      <c r="D110">
        <f t="shared" si="1"/>
        <v>-1.2000000000000028</v>
      </c>
      <c r="E110">
        <v>0.13648421866202987</v>
      </c>
      <c r="F110">
        <v>-0.10000000000000009</v>
      </c>
      <c r="G110" s="3">
        <v>7.44</v>
      </c>
      <c r="H110">
        <v>7.1500000000000057</v>
      </c>
      <c r="I110">
        <v>-0.15999999999999659</v>
      </c>
      <c r="J110">
        <v>0</v>
      </c>
      <c r="K110">
        <v>0.1941708171288119</v>
      </c>
      <c r="L110" s="4">
        <v>0.23442496784563938</v>
      </c>
      <c r="M110">
        <v>0.23069438471113624</v>
      </c>
      <c r="N110">
        <v>-28.340041690458861</v>
      </c>
      <c r="O110">
        <v>1.0479178034810133E-2</v>
      </c>
      <c r="P110">
        <v>-13</v>
      </c>
      <c r="Q110">
        <v>-11</v>
      </c>
      <c r="R110">
        <v>-2.3810918092609157E-2</v>
      </c>
    </row>
    <row r="111" spans="1:18" x14ac:dyDescent="0.2">
      <c r="A111" s="2">
        <v>45323</v>
      </c>
      <c r="B111">
        <v>8.9000000000000057</v>
      </c>
      <c r="C111">
        <v>12.900000000000006</v>
      </c>
      <c r="D111">
        <f t="shared" si="1"/>
        <v>3.4000000000000057</v>
      </c>
      <c r="E111">
        <v>0.14860256807769745</v>
      </c>
      <c r="F111">
        <v>-0.10999999999999988</v>
      </c>
      <c r="G111" s="3">
        <v>7.69</v>
      </c>
      <c r="H111">
        <v>7.5900000000000034</v>
      </c>
      <c r="I111">
        <v>0.12000000000000455</v>
      </c>
      <c r="J111">
        <v>0</v>
      </c>
      <c r="K111">
        <v>0.18966972453342268</v>
      </c>
      <c r="L111" s="4">
        <v>0.2387785517658394</v>
      </c>
      <c r="M111">
        <v>0.23290449825598025</v>
      </c>
      <c r="N111">
        <v>3.8233117217177863</v>
      </c>
      <c r="O111">
        <v>-2.2202864698778413E-2</v>
      </c>
      <c r="P111">
        <v>3.7999999999999972</v>
      </c>
      <c r="Q111">
        <v>1.2999999999999972</v>
      </c>
      <c r="R111">
        <v>3.1500833842541986E-2</v>
      </c>
    </row>
    <row r="112" spans="1:18" x14ac:dyDescent="0.2">
      <c r="A112" s="2">
        <v>45352</v>
      </c>
      <c r="B112">
        <v>4.5</v>
      </c>
      <c r="C112">
        <v>12.099999999999994</v>
      </c>
      <c r="D112">
        <f t="shared" si="1"/>
        <v>-0.80000000000001137</v>
      </c>
      <c r="E112">
        <v>0.12134395809565057</v>
      </c>
      <c r="F112">
        <v>-8.9999999999999858E-2</v>
      </c>
      <c r="G112" s="3">
        <v>7.72</v>
      </c>
      <c r="H112">
        <v>7.8400000000000034</v>
      </c>
      <c r="I112">
        <v>1.730000000000004</v>
      </c>
      <c r="J112">
        <v>0</v>
      </c>
      <c r="K112">
        <v>0.18421713692858876</v>
      </c>
      <c r="L112" s="4">
        <v>0.21625549432612234</v>
      </c>
      <c r="M112">
        <v>0.23113119843322627</v>
      </c>
      <c r="N112">
        <v>11.432508280943821</v>
      </c>
      <c r="O112">
        <v>-4.8147315299740256E-3</v>
      </c>
      <c r="P112">
        <v>1.7999999999999972</v>
      </c>
      <c r="Q112">
        <v>-18.700000000000003</v>
      </c>
      <c r="R112">
        <v>2.3288246635324583E-3</v>
      </c>
    </row>
    <row r="113" spans="1:18" x14ac:dyDescent="0.2">
      <c r="A113" s="2">
        <v>45383</v>
      </c>
      <c r="B113">
        <v>5.2999999999999972</v>
      </c>
      <c r="C113">
        <v>9.2999999999999972</v>
      </c>
      <c r="D113">
        <f t="shared" si="1"/>
        <v>-2.7999999999999972</v>
      </c>
      <c r="E113">
        <v>0.14188538803983475</v>
      </c>
      <c r="F113">
        <v>-0.12000000000000011</v>
      </c>
      <c r="G113" s="3">
        <v>7.84</v>
      </c>
      <c r="H113">
        <v>8.269999999999996</v>
      </c>
      <c r="I113">
        <v>1.269999999999996</v>
      </c>
      <c r="J113">
        <v>0</v>
      </c>
      <c r="K113">
        <v>0.1742965495703559</v>
      </c>
      <c r="L113" s="4">
        <v>0.2162374303697423</v>
      </c>
      <c r="M113">
        <v>0.22988568715103064</v>
      </c>
      <c r="N113">
        <v>-4.8804502894805353</v>
      </c>
      <c r="O113">
        <v>1.319359979285295E-2</v>
      </c>
      <c r="P113">
        <v>7.9000000000000057</v>
      </c>
      <c r="Q113">
        <v>-9.2999999999999972</v>
      </c>
      <c r="R113">
        <v>1.3286588923985043E-2</v>
      </c>
    </row>
    <row r="114" spans="1:18" x14ac:dyDescent="0.2">
      <c r="A114" s="2">
        <v>45413</v>
      </c>
      <c r="B114">
        <v>6.2999999999999972</v>
      </c>
      <c r="C114">
        <v>8.7999999999999972</v>
      </c>
      <c r="D114">
        <f t="shared" si="1"/>
        <v>-0.5</v>
      </c>
      <c r="E114">
        <v>0.14795523077614314</v>
      </c>
      <c r="F114">
        <v>4.9999999999999822E-2</v>
      </c>
      <c r="G114" s="3">
        <v>8.3000000000000007</v>
      </c>
      <c r="H114">
        <v>8.64</v>
      </c>
      <c r="I114">
        <v>1.1599999999999966</v>
      </c>
      <c r="J114">
        <v>0</v>
      </c>
      <c r="K114">
        <v>0.21824504638641207</v>
      </c>
      <c r="L114" s="4">
        <v>0.21403577512203742</v>
      </c>
      <c r="M114">
        <v>0.2283356596098578</v>
      </c>
      <c r="N114">
        <v>2.2347072586711647</v>
      </c>
      <c r="O114">
        <v>1.2685679066809286E-2</v>
      </c>
      <c r="P114">
        <v>-1.9000000000000057</v>
      </c>
      <c r="Q114">
        <v>-8.4000000000000057</v>
      </c>
      <c r="R114">
        <v>-2.5620716865425663E-2</v>
      </c>
    </row>
    <row r="115" spans="1:18" x14ac:dyDescent="0.2">
      <c r="A115" s="2">
        <v>45444</v>
      </c>
      <c r="B115">
        <v>2.7999999999999972</v>
      </c>
      <c r="C115">
        <v>7.4000000000000057</v>
      </c>
      <c r="D115">
        <f t="shared" si="1"/>
        <v>-1.3999999999999915</v>
      </c>
      <c r="E115">
        <v>0.14549098018134377</v>
      </c>
      <c r="F115">
        <v>-0.18999999999999995</v>
      </c>
      <c r="G115" s="3">
        <v>8.59</v>
      </c>
      <c r="H115">
        <v>8.730000000000004</v>
      </c>
      <c r="I115">
        <v>0.40000000000000568</v>
      </c>
      <c r="J115">
        <v>0</v>
      </c>
      <c r="K115">
        <v>0.18935357130253161</v>
      </c>
      <c r="L115" s="4">
        <v>0.22068047137622138</v>
      </c>
      <c r="M115">
        <v>0.22590915912192866</v>
      </c>
      <c r="N115">
        <v>2.5401792177373324</v>
      </c>
      <c r="O115">
        <v>1.8864604061779033E-3</v>
      </c>
      <c r="P115">
        <v>3.5</v>
      </c>
      <c r="Q115">
        <v>-5.4000000000000057</v>
      </c>
      <c r="R115">
        <v>-3.1962893470272036E-2</v>
      </c>
    </row>
    <row r="116" spans="1:18" x14ac:dyDescent="0.2">
      <c r="A116" s="2">
        <v>45474</v>
      </c>
      <c r="B116">
        <v>4</v>
      </c>
      <c r="C116">
        <v>7</v>
      </c>
      <c r="D116">
        <f t="shared" si="1"/>
        <v>-0.40000000000000568</v>
      </c>
      <c r="E116">
        <v>0.17023038635347909</v>
      </c>
      <c r="F116">
        <v>-4.0000000000000036E-2</v>
      </c>
      <c r="G116" s="3">
        <v>9.1300000000000008</v>
      </c>
      <c r="H116">
        <v>8.5999999999999943</v>
      </c>
      <c r="I116">
        <v>1.0499999999999972</v>
      </c>
      <c r="J116">
        <v>2</v>
      </c>
      <c r="K116">
        <v>0.18653811685694777</v>
      </c>
      <c r="L116" s="4">
        <v>0.20708211929747655</v>
      </c>
      <c r="M116">
        <v>0.23318567676280622</v>
      </c>
      <c r="N116">
        <v>-5.7060627042437062</v>
      </c>
      <c r="O116">
        <v>-9.2945296450608339E-3</v>
      </c>
      <c r="P116">
        <v>12.700000000000003</v>
      </c>
      <c r="Q116">
        <v>0.90000000000000568</v>
      </c>
      <c r="R116">
        <v>-3.0269035923584653E-3</v>
      </c>
    </row>
    <row r="117" spans="1:18" x14ac:dyDescent="0.2">
      <c r="A117" s="2">
        <v>45505</v>
      </c>
      <c r="B117">
        <v>3.2000000000000028</v>
      </c>
      <c r="C117">
        <v>5.5999999999999943</v>
      </c>
      <c r="D117">
        <f t="shared" si="1"/>
        <v>-1.4000000000000057</v>
      </c>
      <c r="E117">
        <v>0.16044566310383246</v>
      </c>
      <c r="F117">
        <v>0</v>
      </c>
      <c r="G117" s="3">
        <v>9.0500000000000007</v>
      </c>
      <c r="H117">
        <v>8.4399999999999977</v>
      </c>
      <c r="I117">
        <v>0.37999999999999545</v>
      </c>
      <c r="J117">
        <v>0</v>
      </c>
      <c r="K117">
        <v>0.18186165432980128</v>
      </c>
      <c r="L117" s="4">
        <v>0.19522570210360746</v>
      </c>
      <c r="M117">
        <v>0.2208438474198855</v>
      </c>
      <c r="N117">
        <v>-3.4843923041215845</v>
      </c>
      <c r="O117">
        <v>1.4306654134115249E-2</v>
      </c>
      <c r="P117">
        <v>-6.7999999999999972</v>
      </c>
      <c r="Q117">
        <v>2.0999999999999943</v>
      </c>
      <c r="R117">
        <v>1.8890952557051754E-2</v>
      </c>
    </row>
    <row r="118" spans="1:18" x14ac:dyDescent="0.2">
      <c r="A118" s="2">
        <v>45536</v>
      </c>
      <c r="B118">
        <v>3</v>
      </c>
      <c r="C118">
        <v>6.5</v>
      </c>
      <c r="D118">
        <f t="shared" si="1"/>
        <v>0.90000000000000568</v>
      </c>
      <c r="E118">
        <v>0.15471685496648169</v>
      </c>
      <c r="F118">
        <v>-9.9999999999997868E-3</v>
      </c>
      <c r="G118" s="3">
        <v>8.6300000000000008</v>
      </c>
      <c r="H118">
        <v>8.2600000000000051</v>
      </c>
      <c r="I118">
        <v>1.3100000000000023</v>
      </c>
      <c r="J118">
        <v>1</v>
      </c>
      <c r="K118">
        <v>0.17902114663107027</v>
      </c>
      <c r="L118" s="4">
        <v>0.1998396422149209</v>
      </c>
      <c r="M118">
        <v>0.19687193245605994</v>
      </c>
      <c r="N118">
        <v>2.07153019562314</v>
      </c>
      <c r="O118">
        <v>1.9190152667853511E-2</v>
      </c>
      <c r="P118">
        <v>-3.5999999999999943</v>
      </c>
      <c r="Q118">
        <v>8.7000000000000028</v>
      </c>
      <c r="R118">
        <v>2.2998857028778907E-2</v>
      </c>
    </row>
    <row r="119" spans="1:18" x14ac:dyDescent="0.2">
      <c r="A119" s="2">
        <v>45566</v>
      </c>
      <c r="B119">
        <v>5.5</v>
      </c>
      <c r="C119">
        <v>4.7000000000000028</v>
      </c>
      <c r="D119">
        <f t="shared" si="1"/>
        <v>-1.7999999999999972</v>
      </c>
      <c r="E119">
        <v>0.15593465339426715</v>
      </c>
      <c r="F119">
        <v>-9.0000000000000302E-2</v>
      </c>
      <c r="G119" s="3">
        <v>8.5399999999999991</v>
      </c>
      <c r="H119">
        <v>8.1800000000000068</v>
      </c>
      <c r="I119">
        <v>0</v>
      </c>
      <c r="J119">
        <v>2</v>
      </c>
      <c r="K119">
        <v>0.18805768762764186</v>
      </c>
      <c r="L119" s="4">
        <v>0.20207753743138168</v>
      </c>
      <c r="M119">
        <v>0.16874398873248797</v>
      </c>
      <c r="N119">
        <v>1.9131712189883672</v>
      </c>
      <c r="O119">
        <v>3.2103390868408965E-2</v>
      </c>
      <c r="P119">
        <v>9</v>
      </c>
      <c r="Q119">
        <v>21.200000000000003</v>
      </c>
      <c r="R119">
        <v>5.2582652113632555E-2</v>
      </c>
    </row>
    <row r="120" spans="1:18" x14ac:dyDescent="0.2">
      <c r="A120" s="2">
        <v>45597</v>
      </c>
      <c r="B120">
        <v>3.7999999999999972</v>
      </c>
      <c r="C120">
        <v>5.7999999999999972</v>
      </c>
      <c r="D120">
        <f t="shared" si="1"/>
        <v>1.0999999999999943</v>
      </c>
      <c r="E120">
        <v>0.15319909354436345</v>
      </c>
      <c r="F120">
        <v>0</v>
      </c>
      <c r="G120" s="3">
        <v>8.8800000000000008</v>
      </c>
      <c r="H120">
        <v>8.2800000000000011</v>
      </c>
      <c r="I120">
        <v>0.76000000000000512</v>
      </c>
      <c r="J120">
        <v>0</v>
      </c>
      <c r="K120">
        <v>0.19545899007194278</v>
      </c>
      <c r="L120" s="4">
        <v>0.21469825670458342</v>
      </c>
      <c r="M120">
        <v>0.14938898827129332</v>
      </c>
      <c r="N120">
        <v>-1.6179918073479342</v>
      </c>
      <c r="O120">
        <v>-3.4205089817973544E-3</v>
      </c>
      <c r="P120">
        <v>15</v>
      </c>
      <c r="Q120">
        <v>10.700000000000003</v>
      </c>
      <c r="R120">
        <v>4.6005342413090844E-2</v>
      </c>
    </row>
    <row r="121" spans="1:18" x14ac:dyDescent="0.2">
      <c r="A121" s="2">
        <v>45627</v>
      </c>
      <c r="B121">
        <v>8.7000000000000028</v>
      </c>
      <c r="C121">
        <v>5</v>
      </c>
      <c r="D121">
        <f t="shared" si="1"/>
        <v>-0.79999999999999716</v>
      </c>
      <c r="E121">
        <v>0.15799500389966115</v>
      </c>
      <c r="F121">
        <v>0</v>
      </c>
      <c r="G121" s="3">
        <v>9.52</v>
      </c>
      <c r="H121">
        <v>8.9300000000000068</v>
      </c>
      <c r="I121">
        <v>4.9999999999997158E-2</v>
      </c>
      <c r="J121">
        <v>0</v>
      </c>
      <c r="K121">
        <v>0.19966383743055904</v>
      </c>
      <c r="L121" s="4">
        <v>0.23931092640955298</v>
      </c>
      <c r="M121">
        <v>0.11308313003817139</v>
      </c>
      <c r="N121">
        <v>46.979365930430049</v>
      </c>
      <c r="O121">
        <v>-2.4177919386369595E-2</v>
      </c>
      <c r="P121">
        <v>0.20000000000000284</v>
      </c>
      <c r="Q121">
        <v>5.4000000000000057</v>
      </c>
      <c r="R121">
        <v>1.5493979363345289E-2</v>
      </c>
    </row>
    <row r="122" spans="1:18" x14ac:dyDescent="0.2">
      <c r="A122" s="2">
        <v>45658</v>
      </c>
      <c r="B122">
        <v>1</v>
      </c>
      <c r="C122">
        <v>4.5999999999999943</v>
      </c>
      <c r="D122">
        <f t="shared" si="1"/>
        <v>-0.40000000000000568</v>
      </c>
      <c r="E122">
        <v>0.15389281908312857</v>
      </c>
      <c r="F122">
        <v>0.10000000000000009</v>
      </c>
      <c r="G122" s="3">
        <v>9.92</v>
      </c>
      <c r="H122">
        <v>9.3199999999999932</v>
      </c>
      <c r="I122">
        <v>0.39000000000000057</v>
      </c>
      <c r="J122">
        <v>0</v>
      </c>
      <c r="K122">
        <v>0.1918072527903083</v>
      </c>
      <c r="L122" s="4">
        <v>0.210769162601677</v>
      </c>
      <c r="M122">
        <v>9.7549426212279133E-2</v>
      </c>
      <c r="N122">
        <v>-31.683779679022223</v>
      </c>
      <c r="O122">
        <v>-1.2105693573280618E-2</v>
      </c>
      <c r="P122">
        <v>4.5</v>
      </c>
      <c r="Q122">
        <v>5.2000000000000028</v>
      </c>
      <c r="R122">
        <v>-1.8232176816282752E-2</v>
      </c>
    </row>
    <row r="123" spans="1:18" x14ac:dyDescent="0.2">
      <c r="A123" s="2">
        <v>45689</v>
      </c>
      <c r="B123">
        <v>-0.90000000000000568</v>
      </c>
      <c r="C123">
        <v>1</v>
      </c>
      <c r="D123">
        <f t="shared" si="1"/>
        <v>-3.5999999999999943</v>
      </c>
      <c r="E123">
        <v>0.1441256394033672</v>
      </c>
      <c r="F123">
        <v>0</v>
      </c>
      <c r="G123" s="3">
        <v>10.06</v>
      </c>
      <c r="H123">
        <v>9.5499999999999972</v>
      </c>
      <c r="I123">
        <v>0.51999999999999602</v>
      </c>
      <c r="J123">
        <v>0</v>
      </c>
      <c r="K123">
        <v>0.19179845078751723</v>
      </c>
      <c r="L123" s="4">
        <v>0.18847580853541679</v>
      </c>
      <c r="M123">
        <v>8.5825743132626586E-2</v>
      </c>
      <c r="N123">
        <v>-6.2030411985816158E-2</v>
      </c>
      <c r="O123">
        <v>1.9021057563778143E-2</v>
      </c>
      <c r="P123">
        <v>0</v>
      </c>
      <c r="Q123">
        <v>-9.5</v>
      </c>
      <c r="R123">
        <v>-7.9458233811967816E-2</v>
      </c>
    </row>
    <row r="124" spans="1:18" x14ac:dyDescent="0.2">
      <c r="A124" s="2">
        <v>45717</v>
      </c>
      <c r="B124">
        <v>0.20000000000000284</v>
      </c>
      <c r="C124">
        <v>2.7999999999999972</v>
      </c>
      <c r="D124">
        <f t="shared" si="1"/>
        <v>1.7999999999999972</v>
      </c>
      <c r="E124">
        <v>0.15685601198421839</v>
      </c>
      <c r="F124">
        <v>-0.10000000000000009</v>
      </c>
      <c r="G124" s="3">
        <v>10.34</v>
      </c>
      <c r="H124">
        <v>9.6500000000000057</v>
      </c>
      <c r="I124">
        <v>-0.17000000000000171</v>
      </c>
      <c r="J124">
        <v>0</v>
      </c>
      <c r="K124">
        <v>0.18381835413229619</v>
      </c>
      <c r="L124" s="4">
        <v>0.16984503710472998</v>
      </c>
      <c r="M124">
        <v>7.3941103240571016E-2</v>
      </c>
      <c r="N124">
        <v>8.2201525418582406</v>
      </c>
      <c r="O124">
        <v>1.8499967811425932E-2</v>
      </c>
      <c r="P124">
        <v>-14.599999999999994</v>
      </c>
      <c r="Q124">
        <v>1.9000000000000057</v>
      </c>
      <c r="R124">
        <v>-7.5205214752266158E-2</v>
      </c>
    </row>
    <row r="125" spans="1:18" x14ac:dyDescent="0.2">
      <c r="A125" s="2">
        <v>45748</v>
      </c>
      <c r="B125">
        <v>1.2999999999999972</v>
      </c>
      <c r="C125">
        <v>2.9000000000000057</v>
      </c>
      <c r="D125">
        <f t="shared" si="1"/>
        <v>0.10000000000000853</v>
      </c>
      <c r="E125">
        <v>0.16942890978219127</v>
      </c>
      <c r="F125">
        <v>0</v>
      </c>
      <c r="G125" s="3">
        <v>10.23</v>
      </c>
      <c r="H125">
        <v>9.230000000000004</v>
      </c>
      <c r="I125">
        <v>-1.0000000000005116E-2</v>
      </c>
      <c r="J125">
        <v>0</v>
      </c>
      <c r="K125">
        <v>0.16971877304848526</v>
      </c>
      <c r="L125" s="4">
        <v>0.15102532707174565</v>
      </c>
      <c r="M125">
        <v>5.6880153416271728E-2</v>
      </c>
      <c r="N125">
        <v>-0.67402003085797446</v>
      </c>
      <c r="O125">
        <v>2.3448519195278905E-2</v>
      </c>
      <c r="P125">
        <v>-1.4000000000000057</v>
      </c>
      <c r="Q125">
        <v>13.400000000000006</v>
      </c>
      <c r="R125">
        <v>-3.0664301633649416E-2</v>
      </c>
    </row>
    <row r="126" spans="1:18" x14ac:dyDescent="0.2">
      <c r="A126" s="2">
        <v>45778</v>
      </c>
      <c r="B126">
        <v>1.2000000000000028</v>
      </c>
      <c r="C126">
        <v>3.5999999999999943</v>
      </c>
      <c r="D126">
        <f t="shared" si="1"/>
        <v>0.69999999999998863</v>
      </c>
      <c r="E126">
        <v>0.15169930235698503</v>
      </c>
      <c r="F126">
        <v>-9.9999999999999645E-2</v>
      </c>
      <c r="G126" s="3">
        <v>9.8800000000000008</v>
      </c>
      <c r="H126">
        <v>8.9399999999999977</v>
      </c>
      <c r="I126">
        <v>-0.48999999999999488</v>
      </c>
      <c r="J126">
        <v>0</v>
      </c>
      <c r="K126">
        <v>0.13994852046378292</v>
      </c>
      <c r="L126" s="4">
        <v>0.14362817353601964</v>
      </c>
      <c r="M126">
        <v>4.0728335267280702E-2</v>
      </c>
      <c r="N126">
        <v>1.665124943487541</v>
      </c>
      <c r="O126">
        <v>4.9591783686638635E-2</v>
      </c>
      <c r="P126">
        <v>-8.7999999999999972</v>
      </c>
      <c r="Q126">
        <v>1</v>
      </c>
      <c r="R126">
        <v>-3.9371459515887608E-2</v>
      </c>
    </row>
    <row r="127" spans="1:18" x14ac:dyDescent="0.2">
      <c r="A127" s="2">
        <v>45809</v>
      </c>
      <c r="B127">
        <v>2.0999999999999943</v>
      </c>
      <c r="C127">
        <v>3.4000000000000057</v>
      </c>
      <c r="D127">
        <f t="shared" si="1"/>
        <v>-0.19999999999998863</v>
      </c>
      <c r="E127">
        <v>0.15564011160096847</v>
      </c>
      <c r="F127" t="s">
        <v>16</v>
      </c>
      <c r="G127" s="3">
        <v>9.4</v>
      </c>
      <c r="H127">
        <v>8.7000000000000028</v>
      </c>
      <c r="I127">
        <v>-0.59000000000000341</v>
      </c>
      <c r="J127">
        <v>-1</v>
      </c>
      <c r="K127">
        <v>0.15306700738500512</v>
      </c>
      <c r="L127" s="4">
        <v>0.13413790535373038</v>
      </c>
      <c r="M127">
        <v>2.6298642864656996E-2</v>
      </c>
      <c r="N127">
        <v>3.5757097351422118</v>
      </c>
      <c r="O127">
        <v>1.5874765770362842E-4</v>
      </c>
      <c r="P127">
        <v>-7.4000000000000057</v>
      </c>
      <c r="Q127">
        <v>0.90000000000000568</v>
      </c>
      <c r="R127">
        <v>-1.934905732634018E-2</v>
      </c>
    </row>
    <row r="128" spans="1:18" x14ac:dyDescent="0.2">
      <c r="A128" s="2">
        <v>45839</v>
      </c>
      <c r="B128">
        <v>1.5</v>
      </c>
      <c r="C128">
        <v>5.2000000000000028</v>
      </c>
      <c r="D128">
        <f t="shared" si="1"/>
        <v>1.7999999999999972</v>
      </c>
      <c r="E128">
        <v>0.13498720908804795</v>
      </c>
      <c r="F128" t="s">
        <v>16</v>
      </c>
      <c r="G128" s="3">
        <v>8.7899999999999991</v>
      </c>
      <c r="H128">
        <v>8.5300000000000011</v>
      </c>
      <c r="I128">
        <v>1.0000000000005116E-2</v>
      </c>
      <c r="J128">
        <v>-2</v>
      </c>
      <c r="K128">
        <v>0.14997938579369996</v>
      </c>
      <c r="L128" s="4">
        <v>0.1297490149034437</v>
      </c>
      <c r="M128">
        <v>1.385485768390371E-4</v>
      </c>
      <c r="N128">
        <v>-4.3040282760832014</v>
      </c>
      <c r="O128">
        <v>1.2200778031854043E-2</v>
      </c>
      <c r="P128">
        <v>7.7000000000000028</v>
      </c>
      <c r="Q128">
        <v>0.20000000000000284</v>
      </c>
      <c r="R128">
        <v>1.3280370402748432E-3</v>
      </c>
    </row>
    <row r="129" spans="1:18" x14ac:dyDescent="0.2">
      <c r="A129" s="2">
        <v>45870</v>
      </c>
      <c r="B129">
        <v>1</v>
      </c>
      <c r="C129">
        <v>5.2000000000000028</v>
      </c>
      <c r="D129">
        <f t="shared" si="1"/>
        <v>0</v>
      </c>
      <c r="E129">
        <v>0.13633241076887415</v>
      </c>
      <c r="F129">
        <v>-0.10000000000000009</v>
      </c>
      <c r="G129" s="3">
        <v>8.14</v>
      </c>
      <c r="H129">
        <v>8.0400000000000063</v>
      </c>
      <c r="I129">
        <v>4.0000000000006253E-2</v>
      </c>
      <c r="J129">
        <v>0</v>
      </c>
      <c r="K129">
        <v>0.15031772615778327</v>
      </c>
      <c r="L129" s="4">
        <v>0.11939387296497062</v>
      </c>
      <c r="M129">
        <v>-8.9952554128375217E-3</v>
      </c>
      <c r="N129">
        <v>-6.1079992732293391</v>
      </c>
      <c r="O129">
        <v>-1.0570663739136066E-2</v>
      </c>
      <c r="P129">
        <v>-5.7000000000000028</v>
      </c>
      <c r="Q129">
        <v>-5.0999999999999943</v>
      </c>
      <c r="R129">
        <v>1.705995294705609E-2</v>
      </c>
    </row>
    <row r="130" spans="1:18" x14ac:dyDescent="0.2">
      <c r="A130" s="2">
        <v>45901</v>
      </c>
      <c r="B130">
        <v>1.0999999999999943</v>
      </c>
      <c r="C130">
        <v>3.2999999999999972</v>
      </c>
      <c r="D130">
        <f t="shared" si="1"/>
        <v>-1.9000000000000057</v>
      </c>
      <c r="E130">
        <v>0.14770595218189975</v>
      </c>
      <c r="F130">
        <v>0.10000000000000009</v>
      </c>
      <c r="G130" s="3">
        <v>7.98</v>
      </c>
      <c r="H130">
        <v>7.6500000000000057</v>
      </c>
      <c r="I130">
        <v>0.65000000000000568</v>
      </c>
      <c r="J130">
        <v>-1</v>
      </c>
      <c r="K130">
        <v>0.14423787153143452</v>
      </c>
      <c r="L130" s="4">
        <v>0.10812663830492375</v>
      </c>
      <c r="M130">
        <v>-1.1790524645903688E-2</v>
      </c>
      <c r="N130">
        <v>3.2192371355411495</v>
      </c>
      <c r="O130">
        <v>1.1625671531872328E-2</v>
      </c>
      <c r="P130">
        <v>0.40000000000000568</v>
      </c>
      <c r="Q130">
        <v>-4.7000000000000028</v>
      </c>
      <c r="R130">
        <v>3.4866106216155934E-2</v>
      </c>
    </row>
    <row r="131" spans="1:18" x14ac:dyDescent="0.2">
      <c r="A131" s="2">
        <v>45931</v>
      </c>
      <c r="B131">
        <v>2.5</v>
      </c>
      <c r="C131">
        <v>6.7999999999999972</v>
      </c>
      <c r="D131">
        <f t="shared" ref="D131:D133" si="2">C131-C130</f>
        <v>3.5</v>
      </c>
      <c r="E131">
        <v>0.14617892538087163</v>
      </c>
      <c r="F131">
        <v>0</v>
      </c>
      <c r="G131" s="3">
        <v>7.71</v>
      </c>
      <c r="H131">
        <v>6.9399999999999977</v>
      </c>
      <c r="I131">
        <v>1.0300000000000011</v>
      </c>
      <c r="J131">
        <v>-0.5</v>
      </c>
      <c r="K131">
        <v>0.12659297757260424</v>
      </c>
      <c r="L131" s="4">
        <v>9.4642030234430408E-2</v>
      </c>
      <c r="M131">
        <v>-1.149643470927797E-2</v>
      </c>
      <c r="N131">
        <v>3.1493917006416154</v>
      </c>
      <c r="O131">
        <v>3.3997709545221966E-2</v>
      </c>
      <c r="P131">
        <v>-9.9999999999994316E-2</v>
      </c>
      <c r="Q131">
        <v>-6.7000000000000028</v>
      </c>
      <c r="R131">
        <v>-2.5010805247656975E-2</v>
      </c>
    </row>
    <row r="132" spans="1:18" x14ac:dyDescent="0.2">
      <c r="A132" s="2">
        <v>45962</v>
      </c>
      <c r="B132">
        <v>0.40000000000000568</v>
      </c>
      <c r="C132">
        <v>3.5</v>
      </c>
      <c r="D132">
        <f t="shared" si="2"/>
        <v>-3.2999999999999972</v>
      </c>
      <c r="E132">
        <v>0.13802982637992445</v>
      </c>
      <c r="F132">
        <v>-0.10000000000000009</v>
      </c>
      <c r="G132" s="3">
        <v>6.64</v>
      </c>
      <c r="H132">
        <v>6.1200000000000045</v>
      </c>
      <c r="I132">
        <v>-0.68999999999999773</v>
      </c>
      <c r="J132">
        <v>0</v>
      </c>
      <c r="K132">
        <v>0.12958234928076373</v>
      </c>
      <c r="L132" s="4">
        <v>9.0130098514569656E-2</v>
      </c>
      <c r="M132">
        <v>-8.1555505923809335E-3</v>
      </c>
      <c r="N132">
        <v>-1.9309393501157075</v>
      </c>
      <c r="O132">
        <v>1.7427491356841074E-2</v>
      </c>
      <c r="P132">
        <v>-14.400000000000006</v>
      </c>
      <c r="Q132">
        <v>1.5</v>
      </c>
      <c r="R132">
        <v>-7.1627528592372869E-3</v>
      </c>
    </row>
    <row r="133" spans="1:18" x14ac:dyDescent="0.2">
      <c r="A133" s="2">
        <v>45992</v>
      </c>
      <c r="B133">
        <v>3.7000000000000028</v>
      </c>
      <c r="C133">
        <v>6</v>
      </c>
      <c r="D133">
        <f t="shared" si="2"/>
        <v>2.5</v>
      </c>
      <c r="E133">
        <v>0.14178417988792602</v>
      </c>
      <c r="F133">
        <v>0.10000000000000009</v>
      </c>
      <c r="G133" s="3">
        <v>5.59</v>
      </c>
      <c r="H133">
        <v>5.4399999999999977</v>
      </c>
      <c r="I133">
        <v>-0.93999999999999773</v>
      </c>
      <c r="J133">
        <v>-0.5</v>
      </c>
      <c r="K133">
        <v>0.12331073869421094</v>
      </c>
      <c r="L133" s="4">
        <v>7.8640423000742254E-2</v>
      </c>
      <c r="M133">
        <v>1.2942372515820422E-2</v>
      </c>
      <c r="N133">
        <v>41.845252459740948</v>
      </c>
      <c r="O133">
        <v>1.1978815256984632E-2</v>
      </c>
      <c r="P133">
        <v>10.799999999999997</v>
      </c>
      <c r="Q133">
        <v>15.700000000000003</v>
      </c>
      <c r="R133">
        <v>-2.4470612760533861E-2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Grigoreva</dc:creator>
  <cp:lastModifiedBy>Alexandra Grigoreva</cp:lastModifiedBy>
  <dcterms:created xsi:type="dcterms:W3CDTF">2026-05-12T09:28:56Z</dcterms:created>
  <dcterms:modified xsi:type="dcterms:W3CDTF">2026-05-29T18:57:30Z</dcterms:modified>
</cp:coreProperties>
</file>